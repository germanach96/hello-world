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ty-my.sharepoint.com/personal/german_alonso_cotyinc_com/Documents/Documents/GACH/"/>
    </mc:Choice>
  </mc:AlternateContent>
  <xr:revisionPtr revIDLastSave="213" documentId="11_A72A3C3DDAEA74B1C59B52B59856889F738591FB" xr6:coauthVersionLast="47" xr6:coauthVersionMax="47" xr10:uidLastSave="{521C28E4-0A24-4BD9-B0AC-4D95870921AA}"/>
  <bookViews>
    <workbookView xWindow="-110" yWindow="-110" windowWidth="19420" windowHeight="10300" activeTab="1" xr2:uid="{00000000-000D-0000-FFFF-FFFF00000000}"/>
  </bookViews>
  <sheets>
    <sheet name="Calendario" sheetId="1" r:id="rId1"/>
    <sheet name="chosen" sheetId="2" r:id="rId2"/>
  </sheets>
  <definedNames>
    <definedName name="_xlnm._FilterDatabase" localSheetId="0" hidden="1">Calendario!$A$1:$H$152</definedName>
  </definedNames>
  <calcPr calcId="0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</futureMetadata>
  <valueMetadata count="3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</valueMetadata>
</metadata>
</file>

<file path=xl/sharedStrings.xml><?xml version="1.0" encoding="utf-8"?>
<sst xmlns="http://schemas.openxmlformats.org/spreadsheetml/2006/main" count="352" uniqueCount="49">
  <si>
    <t>Jor.</t>
  </si>
  <si>
    <t>Fecha</t>
  </si>
  <si>
    <t>Hora</t>
  </si>
  <si>
    <t>Equipo Local</t>
  </si>
  <si>
    <t>Escudo</t>
  </si>
  <si>
    <t>Equipo Visitante</t>
  </si>
  <si>
    <t>AEK</t>
  </si>
  <si>
    <t>LASK</t>
  </si>
  <si>
    <t>Brugge</t>
  </si>
  <si>
    <t>Aston Villa</t>
  </si>
  <si>
    <t>Borussia Dortmund</t>
  </si>
  <si>
    <t>Villarreal</t>
  </si>
  <si>
    <t>Porto</t>
  </si>
  <si>
    <t>Manchester City</t>
  </si>
  <si>
    <t>Lille</t>
  </si>
  <si>
    <t>Betis</t>
  </si>
  <si>
    <t>Real Madrid</t>
  </si>
  <si>
    <t>Inter Milan</t>
  </si>
  <si>
    <t>Barcelona</t>
  </si>
  <si>
    <t>Feyenoord</t>
  </si>
  <si>
    <t>Stuttgart</t>
  </si>
  <si>
    <t>Viking</t>
  </si>
  <si>
    <t>Liverpool</t>
  </si>
  <si>
    <t>Atlético Madrid</t>
  </si>
  <si>
    <t>PSG</t>
  </si>
  <si>
    <t>Slovan Bratislava</t>
  </si>
  <si>
    <t>Sporting Portugal</t>
  </si>
  <si>
    <t>Galatasaray</t>
  </si>
  <si>
    <t>Napoli</t>
  </si>
  <si>
    <t>Arsenal</t>
  </si>
  <si>
    <t>Fenerbahçe</t>
  </si>
  <si>
    <t>Roma</t>
  </si>
  <si>
    <t>PSV Eindhoven</t>
  </si>
  <si>
    <t>Shakhtar Donetsk</t>
  </si>
  <si>
    <t>Como</t>
  </si>
  <si>
    <t>Leipzig</t>
  </si>
  <si>
    <t>Bayern München</t>
  </si>
  <si>
    <t>Bodø/Glimt</t>
  </si>
  <si>
    <t>Manchester United</t>
  </si>
  <si>
    <t>Sabah</t>
  </si>
  <si>
    <t>Slavia Praha</t>
  </si>
  <si>
    <t>Lens</t>
  </si>
  <si>
    <t>Notas:</t>
  </si>
  <si>
    <t>Datos extraídos de la tabla de calendario (columnas A:K) de la pestaña "League" del archivo Excel-Champions-26-27.xlsx.</t>
  </si>
  <si>
    <t>Los escudos son los mismos del archivo original: imágenes dentro de la celda, por lo que acompañan a la fila al ordenar o filtrar.</t>
  </si>
  <si>
    <t>Las columnas "Gol" (celdas amarillas) están vacías en el origen: son las casillas donde se introducen los resultados.</t>
  </si>
  <si>
    <t>Fecha y hora se muestran tal y como estaban calculadas en el archivo original (horario CET, el que traía el fichero).</t>
  </si>
  <si>
    <t>Total de partidos: 144 (8 jornadas de la fase liga, 36 equipos).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</si>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</sst>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hh:mm"/>
    <numFmt numFmtId="166" formatCode="&quot;€&quot;#,##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9"/>
      <color rgb="FF444444"/>
      <name val="Arial"/>
    </font>
    <font>
      <i/>
      <sz val="9"/>
      <color rgb="FF444444"/>
      <name val="Arial"/>
    </font>
    <font>
      <sz val="10"/>
      <color theme="0"/>
      <name val="Arial"/>
      <family val="2"/>
    </font>
    <font>
      <b/>
      <sz val="10"/>
      <name val="Arial"/>
    </font>
    <font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0B1E5B"/>
      </patternFill>
    </fill>
    <fill>
      <patternFill patternType="solid">
        <fgColor rgb="FFEDF1FA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7C0D8"/>
      </left>
      <right style="thin">
        <color rgb="FFB7C0D8"/>
      </right>
      <top style="thin">
        <color rgb="FFB7C0D8"/>
      </top>
      <bottom style="thin">
        <color rgb="FFB7C0D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0" fillId="0" borderId="0" xfId="0" applyFill="1"/>
    <xf numFmtId="0" fontId="5" fillId="4" borderId="1" xfId="0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6">
  <rv s="0">
    <v>0</v>
    <v>4</v>
  </rv>
  <rv s="0">
    <v>1</v>
    <v>4</v>
  </rv>
  <rv s="0">
    <v>2</v>
    <v>4</v>
  </rv>
  <rv s="0">
    <v>3</v>
    <v>4</v>
  </rv>
  <rv s="0">
    <v>4</v>
    <v>4</v>
  </rv>
  <rv s="0">
    <v>5</v>
    <v>4</v>
  </rv>
  <rv s="0">
    <v>6</v>
    <v>4</v>
  </rv>
  <rv s="0">
    <v>7</v>
    <v>4</v>
  </rv>
  <rv s="0">
    <v>8</v>
    <v>4</v>
  </rv>
  <rv s="0">
    <v>9</v>
    <v>4</v>
  </rv>
  <rv s="0">
    <v>10</v>
    <v>4</v>
  </rv>
  <rv s="0">
    <v>11</v>
    <v>4</v>
  </rv>
  <rv s="0">
    <v>12</v>
    <v>4</v>
  </rv>
  <rv s="0">
    <v>13</v>
    <v>4</v>
  </rv>
  <rv s="0">
    <v>14</v>
    <v>4</v>
  </rv>
  <rv s="0">
    <v>15</v>
    <v>4</v>
  </rv>
  <rv s="0">
    <v>16</v>
    <v>4</v>
  </rv>
  <rv s="0">
    <v>17</v>
    <v>4</v>
  </rv>
  <rv s="0">
    <v>18</v>
    <v>4</v>
  </rv>
  <rv s="0">
    <v>19</v>
    <v>4</v>
  </rv>
  <rv s="0">
    <v>20</v>
    <v>4</v>
  </rv>
  <rv s="0">
    <v>21</v>
    <v>4</v>
  </rv>
  <rv s="0">
    <v>22</v>
    <v>4</v>
  </rv>
  <rv s="0">
    <v>23</v>
    <v>4</v>
  </rv>
  <rv s="0">
    <v>24</v>
    <v>4</v>
  </rv>
  <rv s="0">
    <v>25</v>
    <v>4</v>
  </rv>
  <rv s="0">
    <v>26</v>
    <v>4</v>
  </rv>
  <rv s="0">
    <v>27</v>
    <v>4</v>
  </rv>
  <rv s="0">
    <v>28</v>
    <v>4</v>
  </rv>
  <rv s="0">
    <v>29</v>
    <v>4</v>
  </rv>
  <rv s="0">
    <v>30</v>
    <v>4</v>
  </rv>
  <rv s="0">
    <v>31</v>
    <v>4</v>
  </rv>
  <rv s="0">
    <v>32</v>
    <v>4</v>
  </rv>
  <rv s="0">
    <v>33</v>
    <v>4</v>
  </rv>
  <rv s="0">
    <v>34</v>
    <v>4</v>
  </rv>
  <rv s="0">
    <v>35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52"/>
  <sheetViews>
    <sheetView zoomScale="80" zoomScaleNormal="80" workbookViewId="0">
      <pane ySplit="1" topLeftCell="A4" activePane="bottomLeft" state="frozen"/>
      <selection pane="bottomLeft" activeCell="H1" sqref="A1:H1048576"/>
    </sheetView>
  </sheetViews>
  <sheetFormatPr defaultRowHeight="14.5" x14ac:dyDescent="0.35"/>
  <cols>
    <col min="1" max="1" width="6" customWidth="1"/>
    <col min="2" max="2" width="12" customWidth="1"/>
    <col min="3" max="3" width="8" customWidth="1"/>
    <col min="4" max="4" width="22" customWidth="1"/>
    <col min="5" max="5" width="6.453125" customWidth="1"/>
    <col min="6" max="6" width="7.26953125" style="14" customWidth="1"/>
    <col min="7" max="7" width="6.453125" customWidth="1"/>
    <col min="8" max="8" width="22" customWidth="1"/>
  </cols>
  <sheetData>
    <row r="1" spans="1:8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</v>
      </c>
      <c r="G1" s="1" t="s">
        <v>4</v>
      </c>
      <c r="H1" s="1" t="s">
        <v>5</v>
      </c>
    </row>
    <row r="2" spans="1:8" ht="21" hidden="1" customHeight="1" x14ac:dyDescent="0.35">
      <c r="A2" s="2">
        <v>1</v>
      </c>
      <c r="B2" s="3">
        <v>46273.78125</v>
      </c>
      <c r="C2" s="4">
        <v>46273.78125</v>
      </c>
      <c r="D2" s="5" t="s">
        <v>6</v>
      </c>
      <c r="E2" s="2" t="e" vm="1">
        <v>#VALUE!</v>
      </c>
      <c r="F2" s="15">
        <v>0</v>
      </c>
      <c r="G2" s="2" t="e" vm="2">
        <v>#VALUE!</v>
      </c>
      <c r="H2" s="6" t="s">
        <v>7</v>
      </c>
    </row>
    <row r="3" spans="1:8" ht="21" hidden="1" customHeight="1" x14ac:dyDescent="0.35">
      <c r="A3" s="7">
        <v>4</v>
      </c>
      <c r="B3" s="8">
        <v>46330.78125</v>
      </c>
      <c r="C3" s="9">
        <v>46330.78125</v>
      </c>
      <c r="D3" s="10" t="s">
        <v>6</v>
      </c>
      <c r="E3" s="7" t="e" vm="1">
        <v>#VALUE!</v>
      </c>
      <c r="F3" s="15">
        <v>0</v>
      </c>
      <c r="G3" s="7" t="e" vm="3">
        <v>#VALUE!</v>
      </c>
      <c r="H3" s="11" t="s">
        <v>16</v>
      </c>
    </row>
    <row r="4" spans="1:8" ht="21" customHeight="1" x14ac:dyDescent="0.35">
      <c r="A4" s="7">
        <v>4</v>
      </c>
      <c r="B4" s="8">
        <v>46329.875</v>
      </c>
      <c r="C4" s="9">
        <v>46329.875</v>
      </c>
      <c r="D4" s="10" t="s">
        <v>23</v>
      </c>
      <c r="E4" s="7" t="e" vm="4">
        <v>#VALUE!</v>
      </c>
      <c r="F4" s="15">
        <v>2</v>
      </c>
      <c r="G4" s="7" t="e" vm="5">
        <v>#VALUE!</v>
      </c>
      <c r="H4" s="11" t="s">
        <v>36</v>
      </c>
    </row>
    <row r="5" spans="1:8" ht="21" hidden="1" customHeight="1" x14ac:dyDescent="0.35">
      <c r="A5" s="2">
        <v>7</v>
      </c>
      <c r="B5" s="3">
        <v>46406.875</v>
      </c>
      <c r="C5" s="4">
        <v>46406.875</v>
      </c>
      <c r="D5" s="5" t="s">
        <v>6</v>
      </c>
      <c r="E5" s="2" t="e" vm="1">
        <v>#VALUE!</v>
      </c>
      <c r="F5" s="15">
        <v>0</v>
      </c>
      <c r="G5" s="2" t="e" vm="6">
        <v>#VALUE!</v>
      </c>
      <c r="H5" s="6" t="s">
        <v>31</v>
      </c>
    </row>
    <row r="6" spans="1:8" ht="21" hidden="1" customHeight="1" x14ac:dyDescent="0.35">
      <c r="A6" s="7">
        <v>2</v>
      </c>
      <c r="B6" s="8">
        <v>46308.875</v>
      </c>
      <c r="C6" s="9">
        <v>46308.875</v>
      </c>
      <c r="D6" s="10" t="s">
        <v>29</v>
      </c>
      <c r="E6" s="7" t="e" vm="7">
        <v>#VALUE!</v>
      </c>
      <c r="F6" s="15">
        <v>0</v>
      </c>
      <c r="G6" s="7" t="e" vm="8">
        <v>#VALUE!</v>
      </c>
      <c r="H6" s="11" t="s">
        <v>14</v>
      </c>
    </row>
    <row r="7" spans="1:8" ht="21" hidden="1" customHeight="1" x14ac:dyDescent="0.35">
      <c r="A7" s="2">
        <v>5</v>
      </c>
      <c r="B7" s="3">
        <v>46350.875</v>
      </c>
      <c r="C7" s="4">
        <v>46350.875</v>
      </c>
      <c r="D7" s="5" t="s">
        <v>29</v>
      </c>
      <c r="E7" s="2" t="e" vm="7">
        <v>#VALUE!</v>
      </c>
      <c r="F7" s="15">
        <v>0</v>
      </c>
      <c r="G7" s="2" t="e" vm="9">
        <v>#VALUE!</v>
      </c>
      <c r="H7" s="6" t="s">
        <v>10</v>
      </c>
    </row>
    <row r="8" spans="1:8" ht="21" hidden="1" customHeight="1" x14ac:dyDescent="0.35">
      <c r="A8" s="7">
        <v>6</v>
      </c>
      <c r="B8" s="8">
        <v>46365.875</v>
      </c>
      <c r="C8" s="9">
        <v>46365.875</v>
      </c>
      <c r="D8" s="10" t="s">
        <v>29</v>
      </c>
      <c r="E8" s="7" t="e" vm="7">
        <v>#VALUE!</v>
      </c>
      <c r="F8" s="15">
        <v>0</v>
      </c>
      <c r="G8" s="7" t="e" vm="3">
        <v>#VALUE!</v>
      </c>
      <c r="H8" s="11" t="s">
        <v>16</v>
      </c>
    </row>
    <row r="9" spans="1:8" ht="21" hidden="1" customHeight="1" x14ac:dyDescent="0.35">
      <c r="A9" s="7">
        <v>8</v>
      </c>
      <c r="B9" s="8">
        <v>46414.875</v>
      </c>
      <c r="C9" s="9">
        <v>46414.875</v>
      </c>
      <c r="D9" s="10" t="s">
        <v>29</v>
      </c>
      <c r="E9" s="7" t="e" vm="7">
        <v>#VALUE!</v>
      </c>
      <c r="F9" s="15">
        <v>0</v>
      </c>
      <c r="G9" s="7" t="e" vm="10">
        <v>#VALUE!</v>
      </c>
      <c r="H9" s="11" t="s">
        <v>39</v>
      </c>
    </row>
    <row r="10" spans="1:8" ht="21" hidden="1" customHeight="1" x14ac:dyDescent="0.35">
      <c r="A10" s="7">
        <v>2</v>
      </c>
      <c r="B10" s="8">
        <v>46309.875</v>
      </c>
      <c r="C10" s="9">
        <v>46309.875</v>
      </c>
      <c r="D10" s="10" t="s">
        <v>9</v>
      </c>
      <c r="E10" s="7" t="e" vm="11">
        <v>#VALUE!</v>
      </c>
      <c r="F10" s="15">
        <v>0</v>
      </c>
      <c r="G10" s="7" t="e" vm="12">
        <v>#VALUE!</v>
      </c>
      <c r="H10" s="11" t="s">
        <v>30</v>
      </c>
    </row>
    <row r="11" spans="1:8" ht="21" hidden="1" customHeight="1" x14ac:dyDescent="0.35">
      <c r="A11" s="2">
        <v>3</v>
      </c>
      <c r="B11" s="3">
        <v>46316.875</v>
      </c>
      <c r="C11" s="4">
        <v>46316.875</v>
      </c>
      <c r="D11" s="5" t="s">
        <v>9</v>
      </c>
      <c r="E11" s="2" t="e" vm="11">
        <v>#VALUE!</v>
      </c>
      <c r="F11" s="15">
        <v>0</v>
      </c>
      <c r="G11" s="2" t="e" vm="13">
        <v>#VALUE!</v>
      </c>
      <c r="H11" s="6" t="s">
        <v>21</v>
      </c>
    </row>
    <row r="12" spans="1:8" ht="21" hidden="1" customHeight="1" x14ac:dyDescent="0.35">
      <c r="A12" s="7">
        <v>6</v>
      </c>
      <c r="B12" s="8">
        <v>46364.875</v>
      </c>
      <c r="C12" s="9">
        <v>46364.875</v>
      </c>
      <c r="D12" s="10" t="s">
        <v>9</v>
      </c>
      <c r="E12" s="7" t="e" vm="11">
        <v>#VALUE!</v>
      </c>
      <c r="F12" s="15">
        <v>0</v>
      </c>
      <c r="G12" s="7" t="e" vm="14">
        <v>#VALUE!</v>
      </c>
      <c r="H12" s="11" t="s">
        <v>24</v>
      </c>
    </row>
    <row r="13" spans="1:8" ht="21" hidden="1" customHeight="1" x14ac:dyDescent="0.35">
      <c r="A13" s="2">
        <v>7</v>
      </c>
      <c r="B13" s="3">
        <v>46406.875</v>
      </c>
      <c r="C13" s="4">
        <v>46406.875</v>
      </c>
      <c r="D13" s="5" t="s">
        <v>9</v>
      </c>
      <c r="E13" s="2" t="e" vm="11">
        <v>#VALUE!</v>
      </c>
      <c r="F13" s="15">
        <v>0</v>
      </c>
      <c r="G13" s="2" t="e" vm="9">
        <v>#VALUE!</v>
      </c>
      <c r="H13" s="6" t="s">
        <v>10</v>
      </c>
    </row>
    <row r="14" spans="1:8" ht="21" hidden="1" customHeight="1" x14ac:dyDescent="0.35">
      <c r="A14" s="7">
        <v>2</v>
      </c>
      <c r="B14" s="8">
        <v>46308.875</v>
      </c>
      <c r="C14" s="9">
        <v>46308.875</v>
      </c>
      <c r="D14" s="10" t="s">
        <v>23</v>
      </c>
      <c r="E14" s="7" t="e" vm="4">
        <v>#VALUE!</v>
      </c>
      <c r="F14" s="15">
        <v>0</v>
      </c>
      <c r="G14" s="7" t="e" vm="15">
        <v>#VALUE!</v>
      </c>
      <c r="H14" s="11" t="s">
        <v>38</v>
      </c>
    </row>
    <row r="15" spans="1:8" ht="21" customHeight="1" x14ac:dyDescent="0.35">
      <c r="A15" s="7">
        <v>4</v>
      </c>
      <c r="B15" s="8">
        <v>46329.875</v>
      </c>
      <c r="C15" s="9">
        <v>46329.875</v>
      </c>
      <c r="D15" s="10" t="s">
        <v>18</v>
      </c>
      <c r="E15" s="7" t="e" vm="16">
        <v>#VALUE!</v>
      </c>
      <c r="F15" s="15">
        <v>1</v>
      </c>
      <c r="G15" s="7" t="e" vm="11">
        <v>#VALUE!</v>
      </c>
      <c r="H15" s="11" t="s">
        <v>9</v>
      </c>
    </row>
    <row r="16" spans="1:8" ht="21" hidden="1" customHeight="1" x14ac:dyDescent="0.35">
      <c r="A16" s="2">
        <v>5</v>
      </c>
      <c r="B16" s="3">
        <v>46351.875</v>
      </c>
      <c r="C16" s="4">
        <v>46351.875</v>
      </c>
      <c r="D16" s="5" t="s">
        <v>23</v>
      </c>
      <c r="E16" s="2" t="e" vm="4">
        <v>#VALUE!</v>
      </c>
      <c r="F16" s="15">
        <v>0</v>
      </c>
      <c r="G16" s="2" t="e" vm="13">
        <v>#VALUE!</v>
      </c>
      <c r="H16" s="6" t="s">
        <v>21</v>
      </c>
    </row>
    <row r="17" spans="1:8" ht="21" customHeight="1" x14ac:dyDescent="0.35">
      <c r="A17" s="7">
        <v>4</v>
      </c>
      <c r="B17" s="8">
        <v>46330.875</v>
      </c>
      <c r="C17" s="9">
        <v>46330.875</v>
      </c>
      <c r="D17" s="10" t="s">
        <v>10</v>
      </c>
      <c r="E17" s="7" t="e" vm="9">
        <v>#VALUE!</v>
      </c>
      <c r="F17" s="15">
        <v>2</v>
      </c>
      <c r="G17" s="7" t="e" vm="17">
        <v>#VALUE!</v>
      </c>
      <c r="H17" s="11" t="s">
        <v>15</v>
      </c>
    </row>
    <row r="18" spans="1:8" ht="21" hidden="1" customHeight="1" x14ac:dyDescent="0.35">
      <c r="A18" s="2">
        <v>1</v>
      </c>
      <c r="B18" s="3">
        <v>46274.78125</v>
      </c>
      <c r="C18" s="4">
        <v>46274.78125</v>
      </c>
      <c r="D18" s="5" t="s">
        <v>18</v>
      </c>
      <c r="E18" s="2" t="e" vm="16">
        <v>#VALUE!</v>
      </c>
      <c r="F18" s="15">
        <v>0</v>
      </c>
      <c r="G18" s="2" t="e" vm="18">
        <v>#VALUE!</v>
      </c>
      <c r="H18" s="6" t="s">
        <v>19</v>
      </c>
    </row>
    <row r="19" spans="1:8" ht="21" customHeight="1" x14ac:dyDescent="0.35">
      <c r="A19" s="7">
        <v>4</v>
      </c>
      <c r="B19" s="8">
        <v>46330.875</v>
      </c>
      <c r="C19" s="9">
        <v>46330.875</v>
      </c>
      <c r="D19" s="10" t="s">
        <v>12</v>
      </c>
      <c r="E19" s="7" t="e" vm="19">
        <v>#VALUE!</v>
      </c>
      <c r="F19" s="15">
        <v>2</v>
      </c>
      <c r="G19" s="7" t="e" vm="20">
        <v>#VALUE!</v>
      </c>
      <c r="H19" s="11" t="s">
        <v>28</v>
      </c>
    </row>
    <row r="20" spans="1:8" ht="21" hidden="1" customHeight="1" x14ac:dyDescent="0.35">
      <c r="A20" s="7">
        <v>6</v>
      </c>
      <c r="B20" s="8">
        <v>46364.875</v>
      </c>
      <c r="C20" s="9">
        <v>46364.875</v>
      </c>
      <c r="D20" s="10" t="s">
        <v>18</v>
      </c>
      <c r="E20" s="7" t="e" vm="16">
        <v>#VALUE!</v>
      </c>
      <c r="F20" s="15">
        <v>0</v>
      </c>
      <c r="G20" s="7" t="e" vm="21">
        <v>#VALUE!</v>
      </c>
      <c r="H20" s="11" t="s">
        <v>13</v>
      </c>
    </row>
    <row r="21" spans="1:8" ht="21" customHeight="1" x14ac:dyDescent="0.35">
      <c r="A21" s="2">
        <v>5</v>
      </c>
      <c r="B21" s="3">
        <v>46351.875</v>
      </c>
      <c r="C21" s="4">
        <v>46351.875</v>
      </c>
      <c r="D21" s="5" t="s">
        <v>17</v>
      </c>
      <c r="E21" s="2" t="e" vm="22">
        <v>#VALUE!</v>
      </c>
      <c r="F21" s="15">
        <v>2</v>
      </c>
      <c r="G21" s="2" t="e" vm="23">
        <v>#VALUE!</v>
      </c>
      <c r="H21" s="6" t="s">
        <v>20</v>
      </c>
    </row>
    <row r="22" spans="1:8" ht="21" hidden="1" customHeight="1" x14ac:dyDescent="0.35">
      <c r="A22" s="2">
        <v>1</v>
      </c>
      <c r="B22" s="3">
        <v>46275.875</v>
      </c>
      <c r="C22" s="4">
        <v>46275.875</v>
      </c>
      <c r="D22" s="5" t="s">
        <v>36</v>
      </c>
      <c r="E22" s="2" t="e" vm="5">
        <v>#VALUE!</v>
      </c>
      <c r="F22" s="15">
        <v>0</v>
      </c>
      <c r="G22" s="2" t="e" vm="24">
        <v>#VALUE!</v>
      </c>
      <c r="H22" s="6" t="s">
        <v>37</v>
      </c>
    </row>
    <row r="23" spans="1:8" ht="21" hidden="1" customHeight="1" x14ac:dyDescent="0.35">
      <c r="A23" s="2">
        <v>3</v>
      </c>
      <c r="B23" s="3">
        <v>46316.875</v>
      </c>
      <c r="C23" s="4">
        <v>46316.875</v>
      </c>
      <c r="D23" s="5" t="s">
        <v>36</v>
      </c>
      <c r="E23" s="2" t="e" vm="5">
        <v>#VALUE!</v>
      </c>
      <c r="F23" s="15">
        <v>0</v>
      </c>
      <c r="G23" s="2" t="e" vm="7">
        <v>#VALUE!</v>
      </c>
      <c r="H23" s="6" t="s">
        <v>29</v>
      </c>
    </row>
    <row r="24" spans="1:8" ht="21" customHeight="1" x14ac:dyDescent="0.35">
      <c r="A24" s="2">
        <v>5</v>
      </c>
      <c r="B24" s="3">
        <v>46351.875</v>
      </c>
      <c r="C24" s="4">
        <v>46351.875</v>
      </c>
      <c r="D24" s="5" t="s">
        <v>26</v>
      </c>
      <c r="E24" s="2" t="e" vm="25">
        <v>#VALUE!</v>
      </c>
      <c r="F24" s="15">
        <v>2</v>
      </c>
      <c r="G24" s="2" t="e" vm="15">
        <v>#VALUE!</v>
      </c>
      <c r="H24" s="6" t="s">
        <v>38</v>
      </c>
    </row>
    <row r="25" spans="1:8" ht="21" customHeight="1" x14ac:dyDescent="0.35">
      <c r="A25" s="7">
        <v>6</v>
      </c>
      <c r="B25" s="8">
        <v>46364.875</v>
      </c>
      <c r="C25" s="9">
        <v>46364.875</v>
      </c>
      <c r="D25" s="10" t="s">
        <v>6</v>
      </c>
      <c r="E25" s="7" t="e" vm="1">
        <v>#VALUE!</v>
      </c>
      <c r="F25" s="15">
        <v>2</v>
      </c>
      <c r="G25" s="7" t="e" vm="26">
        <v>#VALUE!</v>
      </c>
      <c r="H25" s="11" t="s">
        <v>27</v>
      </c>
    </row>
    <row r="26" spans="1:8" ht="21" hidden="1" customHeight="1" x14ac:dyDescent="0.35">
      <c r="A26" s="7">
        <v>2</v>
      </c>
      <c r="B26" s="8">
        <v>46309.875</v>
      </c>
      <c r="C26" s="9">
        <v>46309.875</v>
      </c>
      <c r="D26" s="10" t="s">
        <v>15</v>
      </c>
      <c r="E26" s="7" t="e" vm="17">
        <v>#VALUE!</v>
      </c>
      <c r="F26" s="15">
        <v>0</v>
      </c>
      <c r="G26" s="7" t="e" vm="19">
        <v>#VALUE!</v>
      </c>
      <c r="H26" s="11" t="s">
        <v>12</v>
      </c>
    </row>
    <row r="27" spans="1:8" ht="21" hidden="1" customHeight="1" x14ac:dyDescent="0.35">
      <c r="A27" s="2">
        <v>3</v>
      </c>
      <c r="B27" s="3">
        <v>46316.875</v>
      </c>
      <c r="C27" s="4">
        <v>46316.875</v>
      </c>
      <c r="D27" s="5" t="s">
        <v>15</v>
      </c>
      <c r="E27" s="2" t="e" vm="17">
        <v>#VALUE!</v>
      </c>
      <c r="F27" s="15">
        <v>0</v>
      </c>
      <c r="G27" s="2" t="e" vm="18">
        <v>#VALUE!</v>
      </c>
      <c r="H27" s="6" t="s">
        <v>19</v>
      </c>
    </row>
    <row r="28" spans="1:8" ht="21" customHeight="1" x14ac:dyDescent="0.35">
      <c r="A28" s="7">
        <v>6</v>
      </c>
      <c r="B28" s="8">
        <v>46364.875</v>
      </c>
      <c r="C28" s="9">
        <v>46364.875</v>
      </c>
      <c r="D28" s="10" t="s">
        <v>36</v>
      </c>
      <c r="E28" s="7" t="e" vm="5">
        <v>#VALUE!</v>
      </c>
      <c r="F28" s="15">
        <v>1</v>
      </c>
      <c r="G28" s="7" t="e" vm="27">
        <v>#VALUE!</v>
      </c>
      <c r="H28" s="11" t="s">
        <v>40</v>
      </c>
    </row>
    <row r="29" spans="1:8" ht="21" hidden="1" customHeight="1" x14ac:dyDescent="0.35">
      <c r="A29" s="2">
        <v>7</v>
      </c>
      <c r="B29" s="3">
        <v>46407.875</v>
      </c>
      <c r="C29" s="4">
        <v>46407.875</v>
      </c>
      <c r="D29" s="5" t="s">
        <v>15</v>
      </c>
      <c r="E29" s="2" t="e" vm="17">
        <v>#VALUE!</v>
      </c>
      <c r="F29" s="15">
        <v>0</v>
      </c>
      <c r="G29" s="2" t="e" vm="7">
        <v>#VALUE!</v>
      </c>
      <c r="H29" s="6" t="s">
        <v>29</v>
      </c>
    </row>
    <row r="30" spans="1:8" ht="21" hidden="1" customHeight="1" x14ac:dyDescent="0.35">
      <c r="A30" s="7">
        <v>2</v>
      </c>
      <c r="B30" s="8">
        <v>46309.875</v>
      </c>
      <c r="C30" s="9">
        <v>46309.875</v>
      </c>
      <c r="D30" s="10" t="s">
        <v>37</v>
      </c>
      <c r="E30" s="7" t="e" vm="24">
        <v>#VALUE!</v>
      </c>
      <c r="F30" s="15">
        <v>0</v>
      </c>
      <c r="G30" s="7" t="e" vm="9">
        <v>#VALUE!</v>
      </c>
      <c r="H30" s="11" t="s">
        <v>10</v>
      </c>
    </row>
    <row r="31" spans="1:8" ht="21" hidden="1" customHeight="1" x14ac:dyDescent="0.35">
      <c r="A31" s="7">
        <v>4</v>
      </c>
      <c r="B31" s="8">
        <v>46329.875</v>
      </c>
      <c r="C31" s="9">
        <v>46329.875</v>
      </c>
      <c r="D31" s="10" t="s">
        <v>37</v>
      </c>
      <c r="E31" s="7" t="e" vm="24">
        <v>#VALUE!</v>
      </c>
      <c r="F31" s="15">
        <v>0</v>
      </c>
      <c r="G31" s="7" t="e" vm="8">
        <v>#VALUE!</v>
      </c>
      <c r="H31" s="11" t="s">
        <v>14</v>
      </c>
    </row>
    <row r="32" spans="1:8" ht="21" hidden="1" customHeight="1" x14ac:dyDescent="0.35">
      <c r="A32" s="2">
        <v>5</v>
      </c>
      <c r="B32" s="3">
        <v>46350.78125</v>
      </c>
      <c r="C32" s="4">
        <v>46350.78125</v>
      </c>
      <c r="D32" s="5" t="s">
        <v>37</v>
      </c>
      <c r="E32" s="2" t="e" vm="24">
        <v>#VALUE!</v>
      </c>
      <c r="F32" s="15">
        <v>0</v>
      </c>
      <c r="G32" s="2" t="e" vm="2">
        <v>#VALUE!</v>
      </c>
      <c r="H32" s="6" t="s">
        <v>7</v>
      </c>
    </row>
    <row r="33" spans="1:8" ht="21" hidden="1" customHeight="1" x14ac:dyDescent="0.35">
      <c r="A33" s="2">
        <v>7</v>
      </c>
      <c r="B33" s="3">
        <v>46406.78125</v>
      </c>
      <c r="C33" s="4">
        <v>46406.78125</v>
      </c>
      <c r="D33" s="5" t="s">
        <v>37</v>
      </c>
      <c r="E33" s="2" t="e" vm="24">
        <v>#VALUE!</v>
      </c>
      <c r="F33" s="15">
        <v>0</v>
      </c>
      <c r="G33" s="2" t="e" vm="4">
        <v>#VALUE!</v>
      </c>
      <c r="H33" s="6" t="s">
        <v>23</v>
      </c>
    </row>
    <row r="34" spans="1:8" ht="21" hidden="1" customHeight="1" x14ac:dyDescent="0.35">
      <c r="A34" s="2">
        <v>1</v>
      </c>
      <c r="B34" s="3">
        <v>46273.875</v>
      </c>
      <c r="C34" s="4">
        <v>46273.875</v>
      </c>
      <c r="D34" s="5" t="s">
        <v>10</v>
      </c>
      <c r="E34" s="2" t="e" vm="9">
        <v>#VALUE!</v>
      </c>
      <c r="F34" s="15">
        <v>0</v>
      </c>
      <c r="G34" s="2" t="e" vm="28">
        <v>#VALUE!</v>
      </c>
      <c r="H34" s="6" t="s">
        <v>11</v>
      </c>
    </row>
    <row r="35" spans="1:8" ht="21" customHeight="1" x14ac:dyDescent="0.35">
      <c r="A35" s="7">
        <v>6</v>
      </c>
      <c r="B35" s="8">
        <v>46364.875</v>
      </c>
      <c r="C35" s="9">
        <v>46364.875</v>
      </c>
      <c r="D35" s="10" t="s">
        <v>28</v>
      </c>
      <c r="E35" s="7" t="e" vm="20">
        <v>#VALUE!</v>
      </c>
      <c r="F35" s="15">
        <v>2</v>
      </c>
      <c r="G35" s="7" t="e" vm="29">
        <v>#VALUE!</v>
      </c>
      <c r="H35" s="11" t="s">
        <v>8</v>
      </c>
    </row>
    <row r="36" spans="1:8" ht="21" customHeight="1" x14ac:dyDescent="0.35">
      <c r="A36" s="7">
        <v>6</v>
      </c>
      <c r="B36" s="8">
        <v>46364.875</v>
      </c>
      <c r="C36" s="9">
        <v>46364.875</v>
      </c>
      <c r="D36" s="10" t="s">
        <v>31</v>
      </c>
      <c r="E36" s="7" t="e" vm="6">
        <v>#VALUE!</v>
      </c>
      <c r="F36" s="15">
        <v>2</v>
      </c>
      <c r="G36" s="7" t="e" vm="25">
        <v>#VALUE!</v>
      </c>
      <c r="H36" s="11" t="s">
        <v>26</v>
      </c>
    </row>
    <row r="37" spans="1:8" ht="21" customHeight="1" x14ac:dyDescent="0.35">
      <c r="A37" s="7">
        <v>6</v>
      </c>
      <c r="B37" s="8">
        <v>46365.78125</v>
      </c>
      <c r="C37" s="9">
        <v>46365.78125</v>
      </c>
      <c r="D37" s="10" t="s">
        <v>15</v>
      </c>
      <c r="E37" s="7" t="e" vm="17">
        <v>#VALUE!</v>
      </c>
      <c r="F37" s="15">
        <v>2</v>
      </c>
      <c r="G37" s="7" t="e" vm="30">
        <v>#VALUE!</v>
      </c>
      <c r="H37" s="11" t="s">
        <v>34</v>
      </c>
    </row>
    <row r="38" spans="1:8" ht="21" hidden="1" customHeight="1" x14ac:dyDescent="0.35">
      <c r="A38" s="2">
        <v>1</v>
      </c>
      <c r="B38" s="3">
        <v>46273.78125</v>
      </c>
      <c r="C38" s="4">
        <v>46273.78125</v>
      </c>
      <c r="D38" s="5" t="s">
        <v>8</v>
      </c>
      <c r="E38" s="2" t="e" vm="29">
        <v>#VALUE!</v>
      </c>
      <c r="F38" s="15">
        <v>0</v>
      </c>
      <c r="G38" s="2" t="e" vm="11">
        <v>#VALUE!</v>
      </c>
      <c r="H38" s="6" t="s">
        <v>9</v>
      </c>
    </row>
    <row r="39" spans="1:8" ht="21" hidden="1" customHeight="1" x14ac:dyDescent="0.35">
      <c r="A39" s="2">
        <v>3</v>
      </c>
      <c r="B39" s="3">
        <v>46316.875</v>
      </c>
      <c r="C39" s="4">
        <v>46316.875</v>
      </c>
      <c r="D39" s="5" t="s">
        <v>8</v>
      </c>
      <c r="E39" s="2" t="e" vm="29">
        <v>#VALUE!</v>
      </c>
      <c r="F39" s="15">
        <v>0</v>
      </c>
      <c r="G39" s="2" t="e" vm="31">
        <v>#VALUE!</v>
      </c>
      <c r="H39" s="6" t="s">
        <v>41</v>
      </c>
    </row>
    <row r="40" spans="1:8" ht="21" hidden="1" customHeight="1" x14ac:dyDescent="0.35">
      <c r="A40" s="2">
        <v>5</v>
      </c>
      <c r="B40" s="3">
        <v>46351.875</v>
      </c>
      <c r="C40" s="4">
        <v>46351.875</v>
      </c>
      <c r="D40" s="5" t="s">
        <v>8</v>
      </c>
      <c r="E40" s="2" t="e" vm="29">
        <v>#VALUE!</v>
      </c>
      <c r="F40" s="15">
        <v>0</v>
      </c>
      <c r="G40" s="2" t="e" vm="32">
        <v>#VALUE!</v>
      </c>
      <c r="H40" s="6" t="s">
        <v>22</v>
      </c>
    </row>
    <row r="41" spans="1:8" ht="21" hidden="1" customHeight="1" x14ac:dyDescent="0.35">
      <c r="A41" s="7">
        <v>8</v>
      </c>
      <c r="B41" s="8">
        <v>46414.875</v>
      </c>
      <c r="C41" s="9">
        <v>46414.875</v>
      </c>
      <c r="D41" s="10" t="s">
        <v>8</v>
      </c>
      <c r="E41" s="7" t="e" vm="29">
        <v>#VALUE!</v>
      </c>
      <c r="F41" s="15">
        <v>0</v>
      </c>
      <c r="G41" s="7" t="e" vm="24">
        <v>#VALUE!</v>
      </c>
      <c r="H41" s="11" t="s">
        <v>37</v>
      </c>
    </row>
    <row r="42" spans="1:8" ht="21" hidden="1" customHeight="1" x14ac:dyDescent="0.35">
      <c r="A42" s="2">
        <v>1</v>
      </c>
      <c r="B42" s="3">
        <v>46275.875</v>
      </c>
      <c r="C42" s="4">
        <v>46275.875</v>
      </c>
      <c r="D42" s="5" t="s">
        <v>34</v>
      </c>
      <c r="E42" s="2" t="e" vm="30">
        <v>#VALUE!</v>
      </c>
      <c r="F42" s="15">
        <v>0</v>
      </c>
      <c r="G42" s="2" t="e" vm="33">
        <v>#VALUE!</v>
      </c>
      <c r="H42" s="6" t="s">
        <v>35</v>
      </c>
    </row>
    <row r="43" spans="1:8" ht="21" hidden="1" customHeight="1" x14ac:dyDescent="0.35">
      <c r="A43" s="2">
        <v>3</v>
      </c>
      <c r="B43" s="3">
        <v>46316.78125</v>
      </c>
      <c r="C43" s="4">
        <v>46316.78125</v>
      </c>
      <c r="D43" s="5" t="s">
        <v>34</v>
      </c>
      <c r="E43" s="2" t="e" vm="30">
        <v>#VALUE!</v>
      </c>
      <c r="F43" s="15">
        <v>0</v>
      </c>
      <c r="G43" s="2" t="e" vm="15">
        <v>#VALUE!</v>
      </c>
      <c r="H43" s="6" t="s">
        <v>38</v>
      </c>
    </row>
    <row r="44" spans="1:8" ht="21" hidden="1" customHeight="1" x14ac:dyDescent="0.35">
      <c r="A44" s="2">
        <v>5</v>
      </c>
      <c r="B44" s="3">
        <v>46350.875</v>
      </c>
      <c r="C44" s="4">
        <v>46350.875</v>
      </c>
      <c r="D44" s="5" t="s">
        <v>34</v>
      </c>
      <c r="E44" s="2" t="e" vm="30">
        <v>#VALUE!</v>
      </c>
      <c r="F44" s="15">
        <v>0</v>
      </c>
      <c r="G44" s="2" t="e" vm="1">
        <v>#VALUE!</v>
      </c>
      <c r="H44" s="6" t="s">
        <v>6</v>
      </c>
    </row>
    <row r="45" spans="1:8" ht="21" hidden="1" customHeight="1" x14ac:dyDescent="0.35">
      <c r="A45" s="2">
        <v>7</v>
      </c>
      <c r="B45" s="3">
        <v>46407.875</v>
      </c>
      <c r="C45" s="4">
        <v>46407.875</v>
      </c>
      <c r="D45" s="5" t="s">
        <v>34</v>
      </c>
      <c r="E45" s="2" t="e" vm="30">
        <v>#VALUE!</v>
      </c>
      <c r="F45" s="15">
        <v>0</v>
      </c>
      <c r="G45" s="2" t="e" vm="14">
        <v>#VALUE!</v>
      </c>
      <c r="H45" s="6" t="s">
        <v>24</v>
      </c>
    </row>
    <row r="46" spans="1:8" ht="21" hidden="1" customHeight="1" x14ac:dyDescent="0.35">
      <c r="A46" s="2">
        <v>1</v>
      </c>
      <c r="B46" s="3">
        <v>46275.78125</v>
      </c>
      <c r="C46" s="4">
        <v>46275.78125</v>
      </c>
      <c r="D46" s="5" t="s">
        <v>30</v>
      </c>
      <c r="E46" s="2" t="e" vm="12">
        <v>#VALUE!</v>
      </c>
      <c r="F46" s="15">
        <v>0</v>
      </c>
      <c r="G46" s="2" t="e" vm="6">
        <v>#VALUE!</v>
      </c>
      <c r="H46" s="6" t="s">
        <v>31</v>
      </c>
    </row>
    <row r="47" spans="1:8" ht="21" hidden="1" customHeight="1" x14ac:dyDescent="0.35">
      <c r="A47" s="2">
        <v>3</v>
      </c>
      <c r="B47" s="3">
        <v>46315.78125</v>
      </c>
      <c r="C47" s="4">
        <v>46315.78125</v>
      </c>
      <c r="D47" s="5" t="s">
        <v>30</v>
      </c>
      <c r="E47" s="2" t="e" vm="12">
        <v>#VALUE!</v>
      </c>
      <c r="F47" s="15">
        <v>0</v>
      </c>
      <c r="G47" s="2" t="e" vm="27">
        <v>#VALUE!</v>
      </c>
      <c r="H47" s="6" t="s">
        <v>40</v>
      </c>
    </row>
    <row r="48" spans="1:8" ht="21" hidden="1" customHeight="1" x14ac:dyDescent="0.35">
      <c r="A48" s="7">
        <v>4</v>
      </c>
      <c r="B48" s="8">
        <v>46330.78125</v>
      </c>
      <c r="C48" s="9">
        <v>46330.78125</v>
      </c>
      <c r="D48" s="10" t="s">
        <v>30</v>
      </c>
      <c r="E48" s="7" t="e" vm="12">
        <v>#VALUE!</v>
      </c>
      <c r="F48" s="15">
        <v>0</v>
      </c>
      <c r="G48" s="7" t="e" vm="32">
        <v>#VALUE!</v>
      </c>
      <c r="H48" s="11" t="s">
        <v>22</v>
      </c>
    </row>
    <row r="49" spans="1:8" ht="21" hidden="1" customHeight="1" x14ac:dyDescent="0.35">
      <c r="A49" s="2">
        <v>7</v>
      </c>
      <c r="B49" s="3">
        <v>46407.78125</v>
      </c>
      <c r="C49" s="4">
        <v>46407.78125</v>
      </c>
      <c r="D49" s="5" t="s">
        <v>30</v>
      </c>
      <c r="E49" s="2" t="e" vm="12">
        <v>#VALUE!</v>
      </c>
      <c r="F49" s="15">
        <v>0</v>
      </c>
      <c r="G49" s="2" t="e" vm="28">
        <v>#VALUE!</v>
      </c>
      <c r="H49" s="6" t="s">
        <v>11</v>
      </c>
    </row>
    <row r="50" spans="1:8" ht="21" hidden="1" customHeight="1" x14ac:dyDescent="0.35">
      <c r="A50" s="7">
        <v>2</v>
      </c>
      <c r="B50" s="8">
        <v>46309.78125</v>
      </c>
      <c r="C50" s="9">
        <v>46309.78125</v>
      </c>
      <c r="D50" s="10" t="s">
        <v>19</v>
      </c>
      <c r="E50" s="7" t="e" vm="18">
        <v>#VALUE!</v>
      </c>
      <c r="F50" s="15">
        <v>0</v>
      </c>
      <c r="G50" s="7" t="e" vm="30">
        <v>#VALUE!</v>
      </c>
      <c r="H50" s="11" t="s">
        <v>34</v>
      </c>
    </row>
    <row r="51" spans="1:8" ht="21" hidden="1" customHeight="1" x14ac:dyDescent="0.35">
      <c r="A51" s="7">
        <v>4</v>
      </c>
      <c r="B51" s="8">
        <v>46329.875</v>
      </c>
      <c r="C51" s="9">
        <v>46329.875</v>
      </c>
      <c r="D51" s="10" t="s">
        <v>19</v>
      </c>
      <c r="E51" s="7" t="e" vm="18">
        <v>#VALUE!</v>
      </c>
      <c r="F51" s="15">
        <v>0</v>
      </c>
      <c r="G51" s="7" t="e" vm="22">
        <v>#VALUE!</v>
      </c>
      <c r="H51" s="11" t="s">
        <v>17</v>
      </c>
    </row>
    <row r="52" spans="1:8" ht="21" hidden="1" customHeight="1" x14ac:dyDescent="0.35">
      <c r="A52" s="2">
        <v>5</v>
      </c>
      <c r="B52" s="3">
        <v>46350.875</v>
      </c>
      <c r="C52" s="4">
        <v>46350.875</v>
      </c>
      <c r="D52" s="5" t="s">
        <v>19</v>
      </c>
      <c r="E52" s="2" t="e" vm="18">
        <v>#VALUE!</v>
      </c>
      <c r="F52" s="15">
        <v>0</v>
      </c>
      <c r="G52" s="2" t="e" vm="19">
        <v>#VALUE!</v>
      </c>
      <c r="H52" s="6" t="s">
        <v>12</v>
      </c>
    </row>
    <row r="53" spans="1:8" ht="21" hidden="1" customHeight="1" x14ac:dyDescent="0.35">
      <c r="A53" s="7">
        <v>8</v>
      </c>
      <c r="B53" s="8">
        <v>46414.875</v>
      </c>
      <c r="C53" s="9">
        <v>46414.875</v>
      </c>
      <c r="D53" s="10" t="s">
        <v>19</v>
      </c>
      <c r="E53" s="7" t="e" vm="18">
        <v>#VALUE!</v>
      </c>
      <c r="F53" s="15">
        <v>0</v>
      </c>
      <c r="G53" s="7" t="e" vm="33">
        <v>#VALUE!</v>
      </c>
      <c r="H53" s="11" t="s">
        <v>35</v>
      </c>
    </row>
    <row r="54" spans="1:8" ht="21" hidden="1" customHeight="1" x14ac:dyDescent="0.35">
      <c r="A54" s="7">
        <v>2</v>
      </c>
      <c r="B54" s="8">
        <v>46308.875</v>
      </c>
      <c r="C54" s="9">
        <v>46308.875</v>
      </c>
      <c r="D54" s="10" t="s">
        <v>27</v>
      </c>
      <c r="E54" s="7" t="e" vm="26">
        <v>#VALUE!</v>
      </c>
      <c r="F54" s="15">
        <v>0</v>
      </c>
      <c r="G54" s="7" t="e" vm="16">
        <v>#VALUE!</v>
      </c>
      <c r="H54" s="11" t="s">
        <v>18</v>
      </c>
    </row>
    <row r="55" spans="1:8" ht="21" hidden="1" customHeight="1" x14ac:dyDescent="0.35">
      <c r="A55" s="7">
        <v>4</v>
      </c>
      <c r="B55" s="8">
        <v>46329.78125</v>
      </c>
      <c r="C55" s="9">
        <v>46329.78125</v>
      </c>
      <c r="D55" s="10" t="s">
        <v>27</v>
      </c>
      <c r="E55" s="7" t="e" vm="26">
        <v>#VALUE!</v>
      </c>
      <c r="F55" s="15">
        <v>0</v>
      </c>
      <c r="G55" s="7" t="e" vm="23">
        <v>#VALUE!</v>
      </c>
      <c r="H55" s="11" t="s">
        <v>20</v>
      </c>
    </row>
    <row r="56" spans="1:8" ht="21" hidden="1" customHeight="1" x14ac:dyDescent="0.35">
      <c r="A56" s="2">
        <v>5</v>
      </c>
      <c r="B56" s="3">
        <v>46350.78125</v>
      </c>
      <c r="C56" s="4">
        <v>46350.78125</v>
      </c>
      <c r="D56" s="5" t="s">
        <v>27</v>
      </c>
      <c r="E56" s="2" t="e" vm="26">
        <v>#VALUE!</v>
      </c>
      <c r="F56" s="15">
        <v>0</v>
      </c>
      <c r="G56" s="2" t="e" vm="11">
        <v>#VALUE!</v>
      </c>
      <c r="H56" s="6" t="s">
        <v>9</v>
      </c>
    </row>
    <row r="57" spans="1:8" ht="21" hidden="1" customHeight="1" x14ac:dyDescent="0.35">
      <c r="A57" s="2">
        <v>7</v>
      </c>
      <c r="B57" s="3">
        <v>46406.78125</v>
      </c>
      <c r="C57" s="4">
        <v>46406.78125</v>
      </c>
      <c r="D57" s="5" t="s">
        <v>27</v>
      </c>
      <c r="E57" s="2" t="e" vm="26">
        <v>#VALUE!</v>
      </c>
      <c r="F57" s="15">
        <v>0</v>
      </c>
      <c r="G57" s="2" t="e" vm="18">
        <v>#VALUE!</v>
      </c>
      <c r="H57" s="6" t="s">
        <v>19</v>
      </c>
    </row>
    <row r="58" spans="1:8" ht="21" hidden="1" customHeight="1" x14ac:dyDescent="0.35">
      <c r="A58" s="7">
        <v>2</v>
      </c>
      <c r="B58" s="8">
        <v>46308.875</v>
      </c>
      <c r="C58" s="9">
        <v>46308.875</v>
      </c>
      <c r="D58" s="10" t="s">
        <v>17</v>
      </c>
      <c r="E58" s="7" t="e" vm="22">
        <v>#VALUE!</v>
      </c>
      <c r="F58" s="15">
        <v>0</v>
      </c>
      <c r="G58" s="7" t="e" vm="29">
        <v>#VALUE!</v>
      </c>
      <c r="H58" s="11" t="s">
        <v>8</v>
      </c>
    </row>
    <row r="59" spans="1:8" ht="21" hidden="1" customHeight="1" x14ac:dyDescent="0.35">
      <c r="A59" s="2">
        <v>3</v>
      </c>
      <c r="B59" s="3">
        <v>46316.875</v>
      </c>
      <c r="C59" s="4">
        <v>46316.875</v>
      </c>
      <c r="D59" s="5" t="s">
        <v>17</v>
      </c>
      <c r="E59" s="2" t="e" vm="22">
        <v>#VALUE!</v>
      </c>
      <c r="F59" s="15">
        <v>0</v>
      </c>
      <c r="G59" s="2" t="e" vm="34">
        <v>#VALUE!</v>
      </c>
      <c r="H59" s="6" t="s">
        <v>33</v>
      </c>
    </row>
    <row r="60" spans="1:8" ht="21" customHeight="1" x14ac:dyDescent="0.35">
      <c r="A60" s="7">
        <v>6</v>
      </c>
      <c r="B60" s="8">
        <v>46365.875</v>
      </c>
      <c r="C60" s="9">
        <v>46365.875</v>
      </c>
      <c r="D60" s="10" t="s">
        <v>10</v>
      </c>
      <c r="E60" s="7" t="e" vm="9">
        <v>#VALUE!</v>
      </c>
      <c r="F60" s="15">
        <v>2</v>
      </c>
      <c r="G60" s="7" t="e" vm="22">
        <v>#VALUE!</v>
      </c>
      <c r="H60" s="11" t="s">
        <v>17</v>
      </c>
    </row>
    <row r="61" spans="1:8" ht="21" hidden="1" customHeight="1" x14ac:dyDescent="0.35">
      <c r="A61" s="2">
        <v>7</v>
      </c>
      <c r="B61" s="3">
        <v>46406.875</v>
      </c>
      <c r="C61" s="4">
        <v>46406.875</v>
      </c>
      <c r="D61" s="5" t="s">
        <v>17</v>
      </c>
      <c r="E61" s="2" t="e" vm="22">
        <v>#VALUE!</v>
      </c>
      <c r="F61" s="15">
        <v>0</v>
      </c>
      <c r="G61" s="2" t="e" vm="32">
        <v>#VALUE!</v>
      </c>
      <c r="H61" s="6" t="s">
        <v>22</v>
      </c>
    </row>
    <row r="62" spans="1:8" ht="21" hidden="1" customHeight="1" x14ac:dyDescent="0.35">
      <c r="A62" s="7">
        <v>2</v>
      </c>
      <c r="B62" s="8">
        <v>46309.78125</v>
      </c>
      <c r="C62" s="9">
        <v>46309.78125</v>
      </c>
      <c r="D62" s="10" t="s">
        <v>7</v>
      </c>
      <c r="E62" s="7" t="e" vm="2">
        <v>#VALUE!</v>
      </c>
      <c r="F62" s="15">
        <v>0</v>
      </c>
      <c r="G62" s="7" t="e" vm="32">
        <v>#VALUE!</v>
      </c>
      <c r="H62" s="11" t="s">
        <v>22</v>
      </c>
    </row>
    <row r="63" spans="1:8" ht="21" hidden="1" customHeight="1" x14ac:dyDescent="0.35">
      <c r="A63" s="7">
        <v>4</v>
      </c>
      <c r="B63" s="8">
        <v>46329.875</v>
      </c>
      <c r="C63" s="9">
        <v>46329.875</v>
      </c>
      <c r="D63" s="10" t="s">
        <v>7</v>
      </c>
      <c r="E63" s="7" t="e" vm="2">
        <v>#VALUE!</v>
      </c>
      <c r="F63" s="15">
        <v>0</v>
      </c>
      <c r="G63" s="7" t="e" vm="35">
        <v>#VALUE!</v>
      </c>
      <c r="H63" s="11" t="s">
        <v>25</v>
      </c>
    </row>
    <row r="64" spans="1:8" ht="21" hidden="1" customHeight="1" x14ac:dyDescent="0.35">
      <c r="A64" s="7">
        <v>6</v>
      </c>
      <c r="B64" s="8">
        <v>46365.875</v>
      </c>
      <c r="C64" s="9">
        <v>46365.875</v>
      </c>
      <c r="D64" s="10" t="s">
        <v>7</v>
      </c>
      <c r="E64" s="7" t="e" vm="2">
        <v>#VALUE!</v>
      </c>
      <c r="F64" s="15">
        <v>0</v>
      </c>
      <c r="G64" s="7" t="e" vm="12">
        <v>#VALUE!</v>
      </c>
      <c r="H64" s="11" t="s">
        <v>30</v>
      </c>
    </row>
    <row r="65" spans="1:8" ht="21" hidden="1" customHeight="1" x14ac:dyDescent="0.35">
      <c r="A65" s="7">
        <v>8</v>
      </c>
      <c r="B65" s="8">
        <v>46414.875</v>
      </c>
      <c r="C65" s="9">
        <v>46414.875</v>
      </c>
      <c r="D65" s="10" t="s">
        <v>7</v>
      </c>
      <c r="E65" s="7" t="e" vm="2">
        <v>#VALUE!</v>
      </c>
      <c r="F65" s="15">
        <v>0</v>
      </c>
      <c r="G65" s="7" t="e" vm="19">
        <v>#VALUE!</v>
      </c>
      <c r="H65" s="11" t="s">
        <v>12</v>
      </c>
    </row>
    <row r="66" spans="1:8" ht="21" hidden="1" customHeight="1" x14ac:dyDescent="0.35">
      <c r="A66" s="7">
        <v>2</v>
      </c>
      <c r="B66" s="8">
        <v>46308.875</v>
      </c>
      <c r="C66" s="9">
        <v>46308.875</v>
      </c>
      <c r="D66" s="10" t="s">
        <v>35</v>
      </c>
      <c r="E66" s="7" t="e" vm="33">
        <v>#VALUE!</v>
      </c>
      <c r="F66" s="15">
        <v>0</v>
      </c>
      <c r="G66" s="7" t="e" vm="36">
        <v>#VALUE!</v>
      </c>
      <c r="H66" s="11" t="s">
        <v>32</v>
      </c>
    </row>
    <row r="67" spans="1:8" ht="21" hidden="1" customHeight="1" x14ac:dyDescent="0.35">
      <c r="A67" s="7">
        <v>4</v>
      </c>
      <c r="B67" s="8">
        <v>46330.875</v>
      </c>
      <c r="C67" s="9">
        <v>46330.875</v>
      </c>
      <c r="D67" s="10" t="s">
        <v>35</v>
      </c>
      <c r="E67" s="7" t="e" vm="33">
        <v>#VALUE!</v>
      </c>
      <c r="F67" s="15">
        <v>0</v>
      </c>
      <c r="G67" s="7" t="e" vm="21">
        <v>#VALUE!</v>
      </c>
      <c r="H67" s="11" t="s">
        <v>13</v>
      </c>
    </row>
    <row r="68" spans="1:8" ht="21" hidden="1" customHeight="1" x14ac:dyDescent="0.35">
      <c r="A68" s="2">
        <v>5</v>
      </c>
      <c r="B68" s="3">
        <v>46350.875</v>
      </c>
      <c r="C68" s="4">
        <v>46350.875</v>
      </c>
      <c r="D68" s="5" t="s">
        <v>35</v>
      </c>
      <c r="E68" s="2" t="e" vm="33">
        <v>#VALUE!</v>
      </c>
      <c r="F68" s="15">
        <v>0</v>
      </c>
      <c r="G68" s="2" t="e" vm="31">
        <v>#VALUE!</v>
      </c>
      <c r="H68" s="6" t="s">
        <v>41</v>
      </c>
    </row>
    <row r="69" spans="1:8" ht="21" hidden="1" customHeight="1" x14ac:dyDescent="0.35">
      <c r="A69" s="2">
        <v>7</v>
      </c>
      <c r="B69" s="3">
        <v>46407.875</v>
      </c>
      <c r="C69" s="4">
        <v>46407.875</v>
      </c>
      <c r="D69" s="5" t="s">
        <v>35</v>
      </c>
      <c r="E69" s="2" t="e" vm="33">
        <v>#VALUE!</v>
      </c>
      <c r="F69" s="15">
        <v>0</v>
      </c>
      <c r="G69" s="2" t="e" vm="34">
        <v>#VALUE!</v>
      </c>
      <c r="H69" s="6" t="s">
        <v>33</v>
      </c>
    </row>
    <row r="70" spans="1:8" ht="21" hidden="1" customHeight="1" x14ac:dyDescent="0.35">
      <c r="A70" s="7">
        <v>2</v>
      </c>
      <c r="B70" s="8">
        <v>46308.78125</v>
      </c>
      <c r="C70" s="9">
        <v>46308.78125</v>
      </c>
      <c r="D70" s="10" t="s">
        <v>41</v>
      </c>
      <c r="E70" s="7" t="e" vm="31">
        <v>#VALUE!</v>
      </c>
      <c r="F70" s="15">
        <v>0</v>
      </c>
      <c r="G70" s="7" t="e" vm="25">
        <v>#VALUE!</v>
      </c>
      <c r="H70" s="11" t="s">
        <v>26</v>
      </c>
    </row>
    <row r="71" spans="1:8" ht="21" hidden="1" customHeight="1" x14ac:dyDescent="0.35">
      <c r="A71" s="7">
        <v>4</v>
      </c>
      <c r="B71" s="8">
        <v>46330.875</v>
      </c>
      <c r="C71" s="9">
        <v>46330.875</v>
      </c>
      <c r="D71" s="10" t="s">
        <v>41</v>
      </c>
      <c r="E71" s="7" t="e" vm="31">
        <v>#VALUE!</v>
      </c>
      <c r="F71" s="15">
        <v>0</v>
      </c>
      <c r="G71" s="7" t="e" vm="30">
        <v>#VALUE!</v>
      </c>
      <c r="H71" s="11" t="s">
        <v>34</v>
      </c>
    </row>
    <row r="72" spans="1:8" ht="21" hidden="1" customHeight="1" x14ac:dyDescent="0.35">
      <c r="A72" s="7">
        <v>6</v>
      </c>
      <c r="B72" s="8">
        <v>46365.875</v>
      </c>
      <c r="C72" s="9">
        <v>46365.875</v>
      </c>
      <c r="D72" s="10" t="s">
        <v>41</v>
      </c>
      <c r="E72" s="7" t="e" vm="31">
        <v>#VALUE!</v>
      </c>
      <c r="F72" s="15">
        <v>0</v>
      </c>
      <c r="G72" s="7" t="e" vm="24">
        <v>#VALUE!</v>
      </c>
      <c r="H72" s="11" t="s">
        <v>37</v>
      </c>
    </row>
    <row r="73" spans="1:8" ht="21" hidden="1" customHeight="1" x14ac:dyDescent="0.35">
      <c r="A73" s="2">
        <v>7</v>
      </c>
      <c r="B73" s="3">
        <v>46407.875</v>
      </c>
      <c r="C73" s="4">
        <v>46407.875</v>
      </c>
      <c r="D73" s="5" t="s">
        <v>41</v>
      </c>
      <c r="E73" s="2" t="e" vm="31">
        <v>#VALUE!</v>
      </c>
      <c r="F73" s="15">
        <v>0</v>
      </c>
      <c r="G73" s="2" t="e" vm="21">
        <v>#VALUE!</v>
      </c>
      <c r="H73" s="6" t="s">
        <v>13</v>
      </c>
    </row>
    <row r="74" spans="1:8" ht="21" hidden="1" customHeight="1" x14ac:dyDescent="0.35">
      <c r="A74" s="2">
        <v>1</v>
      </c>
      <c r="B74" s="3">
        <v>46273.875</v>
      </c>
      <c r="C74" s="4">
        <v>46273.875</v>
      </c>
      <c r="D74" s="5" t="s">
        <v>14</v>
      </c>
      <c r="E74" s="2" t="e" vm="8">
        <v>#VALUE!</v>
      </c>
      <c r="F74" s="15">
        <v>0</v>
      </c>
      <c r="G74" s="2" t="e" vm="17">
        <v>#VALUE!</v>
      </c>
      <c r="H74" s="6" t="s">
        <v>15</v>
      </c>
    </row>
    <row r="75" spans="1:8" ht="21" hidden="1" customHeight="1" x14ac:dyDescent="0.35">
      <c r="A75" s="2">
        <v>3</v>
      </c>
      <c r="B75" s="3">
        <v>46316.78125</v>
      </c>
      <c r="C75" s="4">
        <v>46316.78125</v>
      </c>
      <c r="D75" s="5" t="s">
        <v>14</v>
      </c>
      <c r="E75" s="2" t="e" vm="8">
        <v>#VALUE!</v>
      </c>
      <c r="F75" s="15">
        <v>0</v>
      </c>
      <c r="G75" s="2" t="e" vm="26">
        <v>#VALUE!</v>
      </c>
      <c r="H75" s="6" t="s">
        <v>27</v>
      </c>
    </row>
    <row r="76" spans="1:8" ht="21" hidden="1" customHeight="1" x14ac:dyDescent="0.35">
      <c r="A76" s="2">
        <v>5</v>
      </c>
      <c r="B76" s="3">
        <v>46351.875</v>
      </c>
      <c r="C76" s="4">
        <v>46351.875</v>
      </c>
      <c r="D76" s="5" t="s">
        <v>14</v>
      </c>
      <c r="E76" s="2" t="e" vm="8">
        <v>#VALUE!</v>
      </c>
      <c r="F76" s="15">
        <v>0</v>
      </c>
      <c r="G76" s="2" t="e" vm="5">
        <v>#VALUE!</v>
      </c>
      <c r="H76" s="6" t="s">
        <v>36</v>
      </c>
    </row>
    <row r="77" spans="1:8" ht="21" hidden="1" customHeight="1" x14ac:dyDescent="0.35">
      <c r="A77" s="2">
        <v>7</v>
      </c>
      <c r="B77" s="3">
        <v>46406.875</v>
      </c>
      <c r="C77" s="4">
        <v>46406.875</v>
      </c>
      <c r="D77" s="5" t="s">
        <v>14</v>
      </c>
      <c r="E77" s="2" t="e" vm="8">
        <v>#VALUE!</v>
      </c>
      <c r="F77" s="15">
        <v>0</v>
      </c>
      <c r="G77" s="2" t="e" vm="35">
        <v>#VALUE!</v>
      </c>
      <c r="H77" s="6" t="s">
        <v>25</v>
      </c>
    </row>
    <row r="78" spans="1:8" ht="21" hidden="1" customHeight="1" x14ac:dyDescent="0.35">
      <c r="A78" s="2">
        <v>1</v>
      </c>
      <c r="B78" s="3">
        <v>46274.875</v>
      </c>
      <c r="C78" s="4">
        <v>46274.875</v>
      </c>
      <c r="D78" s="5" t="s">
        <v>22</v>
      </c>
      <c r="E78" s="2" t="e" vm="32">
        <v>#VALUE!</v>
      </c>
      <c r="F78" s="15">
        <v>0</v>
      </c>
      <c r="G78" s="2" t="e" vm="4">
        <v>#VALUE!</v>
      </c>
      <c r="H78" s="6" t="s">
        <v>23</v>
      </c>
    </row>
    <row r="79" spans="1:8" ht="21" hidden="1" customHeight="1" x14ac:dyDescent="0.35">
      <c r="A79" s="2">
        <v>3</v>
      </c>
      <c r="B79" s="3">
        <v>46315.875</v>
      </c>
      <c r="C79" s="4">
        <v>46315.875</v>
      </c>
      <c r="D79" s="5" t="s">
        <v>22</v>
      </c>
      <c r="E79" s="2" t="e" vm="32">
        <v>#VALUE!</v>
      </c>
      <c r="F79" s="15">
        <v>0</v>
      </c>
      <c r="G79" s="2" t="e" vm="28">
        <v>#VALUE!</v>
      </c>
      <c r="H79" s="6" t="s">
        <v>11</v>
      </c>
    </row>
    <row r="80" spans="1:8" ht="21" hidden="1" customHeight="1" x14ac:dyDescent="0.35">
      <c r="A80" s="7">
        <v>6</v>
      </c>
      <c r="B80" s="8">
        <v>46365.875</v>
      </c>
      <c r="C80" s="9">
        <v>46365.875</v>
      </c>
      <c r="D80" s="10" t="s">
        <v>22</v>
      </c>
      <c r="E80" s="7" t="e" vm="32">
        <v>#VALUE!</v>
      </c>
      <c r="F80" s="15">
        <v>0</v>
      </c>
      <c r="G80" s="7" t="e" vm="19">
        <v>#VALUE!</v>
      </c>
      <c r="H80" s="11" t="s">
        <v>12</v>
      </c>
    </row>
    <row r="81" spans="1:8" ht="21" hidden="1" customHeight="1" x14ac:dyDescent="0.35">
      <c r="A81" s="7">
        <v>8</v>
      </c>
      <c r="B81" s="8">
        <v>46414.875</v>
      </c>
      <c r="C81" s="9">
        <v>46414.875</v>
      </c>
      <c r="D81" s="10" t="s">
        <v>22</v>
      </c>
      <c r="E81" s="7" t="e" vm="32">
        <v>#VALUE!</v>
      </c>
      <c r="F81" s="15">
        <v>0</v>
      </c>
      <c r="G81" s="7" t="e" vm="31">
        <v>#VALUE!</v>
      </c>
      <c r="H81" s="11" t="s">
        <v>41</v>
      </c>
    </row>
    <row r="82" spans="1:8" ht="21" hidden="1" customHeight="1" x14ac:dyDescent="0.35">
      <c r="A82" s="7">
        <v>2</v>
      </c>
      <c r="B82" s="8">
        <v>46309.875</v>
      </c>
      <c r="C82" s="9">
        <v>46309.875</v>
      </c>
      <c r="D82" s="10" t="s">
        <v>13</v>
      </c>
      <c r="E82" s="7" t="e" vm="21">
        <v>#VALUE!</v>
      </c>
      <c r="F82" s="15">
        <v>0</v>
      </c>
      <c r="G82" s="7" t="e" vm="14">
        <v>#VALUE!</v>
      </c>
      <c r="H82" s="11" t="s">
        <v>24</v>
      </c>
    </row>
    <row r="83" spans="1:8" ht="21" hidden="1" customHeight="1" x14ac:dyDescent="0.35">
      <c r="A83" s="2">
        <v>3</v>
      </c>
      <c r="B83" s="3">
        <v>46315.875</v>
      </c>
      <c r="C83" s="4">
        <v>46315.875</v>
      </c>
      <c r="D83" s="5" t="s">
        <v>13</v>
      </c>
      <c r="E83" s="2" t="e" vm="21">
        <v>#VALUE!</v>
      </c>
      <c r="F83" s="15">
        <v>0</v>
      </c>
      <c r="G83" s="2" t="e" vm="1">
        <v>#VALUE!</v>
      </c>
      <c r="H83" s="6" t="s">
        <v>6</v>
      </c>
    </row>
    <row r="84" spans="1:8" ht="21" hidden="1" customHeight="1" x14ac:dyDescent="0.35">
      <c r="A84" s="2">
        <v>5</v>
      </c>
      <c r="B84" s="3">
        <v>46350.875</v>
      </c>
      <c r="C84" s="4">
        <v>46350.875</v>
      </c>
      <c r="D84" s="5" t="s">
        <v>13</v>
      </c>
      <c r="E84" s="2" t="e" vm="21">
        <v>#VALUE!</v>
      </c>
      <c r="F84" s="15">
        <v>0</v>
      </c>
      <c r="G84" s="2" t="e" vm="20">
        <v>#VALUE!</v>
      </c>
      <c r="H84" s="6" t="s">
        <v>28</v>
      </c>
    </row>
    <row r="85" spans="1:8" ht="21" hidden="1" customHeight="1" x14ac:dyDescent="0.35">
      <c r="A85" s="7">
        <v>8</v>
      </c>
      <c r="B85" s="8">
        <v>46414.875</v>
      </c>
      <c r="C85" s="9">
        <v>46414.875</v>
      </c>
      <c r="D85" s="10" t="s">
        <v>13</v>
      </c>
      <c r="E85" s="7" t="e" vm="21">
        <v>#VALUE!</v>
      </c>
      <c r="F85" s="15">
        <v>0</v>
      </c>
      <c r="G85" s="7" t="e" vm="25">
        <v>#VALUE!</v>
      </c>
      <c r="H85" s="11" t="s">
        <v>26</v>
      </c>
    </row>
    <row r="86" spans="1:8" ht="21" hidden="1" customHeight="1" x14ac:dyDescent="0.35">
      <c r="A86" s="2">
        <v>1</v>
      </c>
      <c r="B86" s="3">
        <v>46275.875</v>
      </c>
      <c r="C86" s="4">
        <v>46275.875</v>
      </c>
      <c r="D86" s="5" t="s">
        <v>38</v>
      </c>
      <c r="E86" s="2" t="e" vm="15">
        <v>#VALUE!</v>
      </c>
      <c r="F86" s="15">
        <v>0</v>
      </c>
      <c r="G86" s="2" t="e" vm="10">
        <v>#VALUE!</v>
      </c>
      <c r="H86" s="6" t="s">
        <v>39</v>
      </c>
    </row>
    <row r="87" spans="1:8" ht="21" hidden="1" customHeight="1" x14ac:dyDescent="0.35">
      <c r="A87" s="7">
        <v>4</v>
      </c>
      <c r="B87" s="8">
        <v>46329.875</v>
      </c>
      <c r="C87" s="9">
        <v>46329.875</v>
      </c>
      <c r="D87" s="10" t="s">
        <v>38</v>
      </c>
      <c r="E87" s="7" t="e" vm="15">
        <v>#VALUE!</v>
      </c>
      <c r="F87" s="15">
        <v>0</v>
      </c>
      <c r="G87" s="7" t="e" vm="6">
        <v>#VALUE!</v>
      </c>
      <c r="H87" s="11" t="s">
        <v>31</v>
      </c>
    </row>
    <row r="88" spans="1:8" ht="21" hidden="1" customHeight="1" x14ac:dyDescent="0.35">
      <c r="A88" s="7">
        <v>6</v>
      </c>
      <c r="B88" s="8">
        <v>46364.875</v>
      </c>
      <c r="C88" s="9">
        <v>46364.875</v>
      </c>
      <c r="D88" s="10" t="s">
        <v>38</v>
      </c>
      <c r="E88" s="7" t="e" vm="15">
        <v>#VALUE!</v>
      </c>
      <c r="F88" s="15">
        <v>0</v>
      </c>
      <c r="G88" s="7" t="e" vm="33">
        <v>#VALUE!</v>
      </c>
      <c r="H88" s="11" t="s">
        <v>35</v>
      </c>
    </row>
    <row r="89" spans="1:8" ht="21" hidden="1" customHeight="1" x14ac:dyDescent="0.35">
      <c r="A89" s="2">
        <v>7</v>
      </c>
      <c r="B89" s="3">
        <v>46407.875</v>
      </c>
      <c r="C89" s="4">
        <v>46407.875</v>
      </c>
      <c r="D89" s="5" t="s">
        <v>38</v>
      </c>
      <c r="E89" s="2" t="e" vm="15">
        <v>#VALUE!</v>
      </c>
      <c r="F89" s="15">
        <v>0</v>
      </c>
      <c r="G89" s="2" t="e" vm="5">
        <v>#VALUE!</v>
      </c>
      <c r="H89" s="6" t="s">
        <v>36</v>
      </c>
    </row>
    <row r="90" spans="1:8" ht="21" hidden="1" customHeight="1" x14ac:dyDescent="0.35">
      <c r="A90" s="2">
        <v>1</v>
      </c>
      <c r="B90" s="3">
        <v>46274.875</v>
      </c>
      <c r="C90" s="4">
        <v>46274.875</v>
      </c>
      <c r="D90" s="5" t="s">
        <v>28</v>
      </c>
      <c r="E90" s="2" t="e" vm="20">
        <v>#VALUE!</v>
      </c>
      <c r="F90" s="15">
        <v>0</v>
      </c>
      <c r="G90" s="2" t="e" vm="7">
        <v>#VALUE!</v>
      </c>
      <c r="H90" s="6" t="s">
        <v>29</v>
      </c>
    </row>
    <row r="91" spans="1:8" ht="21" hidden="1" customHeight="1" x14ac:dyDescent="0.35">
      <c r="A91" s="2">
        <v>3</v>
      </c>
      <c r="B91" s="3">
        <v>46315.875</v>
      </c>
      <c r="C91" s="4">
        <v>46315.875</v>
      </c>
      <c r="D91" s="5" t="s">
        <v>28</v>
      </c>
      <c r="E91" s="2" t="e" vm="20">
        <v>#VALUE!</v>
      </c>
      <c r="F91" s="15">
        <v>0</v>
      </c>
      <c r="G91" s="2" t="e" vm="24">
        <v>#VALUE!</v>
      </c>
      <c r="H91" s="6" t="s">
        <v>37</v>
      </c>
    </row>
    <row r="92" spans="1:8" ht="21" customHeight="1" x14ac:dyDescent="0.35">
      <c r="A92" s="2">
        <v>7</v>
      </c>
      <c r="B92" s="3">
        <v>46406.875</v>
      </c>
      <c r="C92" s="4">
        <v>46406.875</v>
      </c>
      <c r="D92" s="5" t="s">
        <v>12</v>
      </c>
      <c r="E92" s="2" t="e" vm="19">
        <v>#VALUE!</v>
      </c>
      <c r="F92" s="15">
        <v>2</v>
      </c>
      <c r="G92" s="2" t="e" vm="27">
        <v>#VALUE!</v>
      </c>
      <c r="H92" s="6" t="s">
        <v>40</v>
      </c>
    </row>
    <row r="93" spans="1:8" ht="21" hidden="1" customHeight="1" x14ac:dyDescent="0.35">
      <c r="A93" s="7">
        <v>8</v>
      </c>
      <c r="B93" s="8">
        <v>46414.875</v>
      </c>
      <c r="C93" s="9">
        <v>46414.875</v>
      </c>
      <c r="D93" s="10" t="s">
        <v>28</v>
      </c>
      <c r="E93" s="7" t="e" vm="20">
        <v>#VALUE!</v>
      </c>
      <c r="F93" s="15">
        <v>0</v>
      </c>
      <c r="G93" s="7" t="e" vm="13">
        <v>#VALUE!</v>
      </c>
      <c r="H93" s="11" t="s">
        <v>21</v>
      </c>
    </row>
    <row r="94" spans="1:8" ht="21" hidden="1" customHeight="1" x14ac:dyDescent="0.35">
      <c r="A94" s="2">
        <v>1</v>
      </c>
      <c r="B94" s="3">
        <v>46273.875</v>
      </c>
      <c r="C94" s="4">
        <v>46273.875</v>
      </c>
      <c r="D94" s="5" t="s">
        <v>12</v>
      </c>
      <c r="E94" s="2" t="e" vm="19">
        <v>#VALUE!</v>
      </c>
      <c r="F94" s="15">
        <v>0</v>
      </c>
      <c r="G94" s="2" t="e" vm="21">
        <v>#VALUE!</v>
      </c>
      <c r="H94" s="6" t="s">
        <v>13</v>
      </c>
    </row>
    <row r="95" spans="1:8" ht="21" hidden="1" customHeight="1" x14ac:dyDescent="0.35">
      <c r="A95" s="2">
        <v>3</v>
      </c>
      <c r="B95" s="3">
        <v>46315.875</v>
      </c>
      <c r="C95" s="4">
        <v>46315.875</v>
      </c>
      <c r="D95" s="5" t="s">
        <v>12</v>
      </c>
      <c r="E95" s="2" t="e" vm="19">
        <v>#VALUE!</v>
      </c>
      <c r="F95" s="15">
        <v>0</v>
      </c>
      <c r="G95" s="2" t="e" vm="36">
        <v>#VALUE!</v>
      </c>
      <c r="H95" s="6" t="s">
        <v>32</v>
      </c>
    </row>
    <row r="96" spans="1:8" ht="21" customHeight="1" x14ac:dyDescent="0.35">
      <c r="A96" s="7">
        <v>8</v>
      </c>
      <c r="B96" s="8">
        <v>46414.875</v>
      </c>
      <c r="C96" s="9">
        <v>46414.875</v>
      </c>
      <c r="D96" s="10" t="s">
        <v>23</v>
      </c>
      <c r="E96" s="7" t="e" vm="4">
        <v>#VALUE!</v>
      </c>
      <c r="F96" s="15">
        <v>2</v>
      </c>
      <c r="G96" s="7" t="e" vm="12">
        <v>#VALUE!</v>
      </c>
      <c r="H96" s="11" t="s">
        <v>30</v>
      </c>
    </row>
    <row r="97" spans="1:8" ht="21" customHeight="1" x14ac:dyDescent="0.35">
      <c r="A97" s="7">
        <v>8</v>
      </c>
      <c r="B97" s="8">
        <v>46414.875</v>
      </c>
      <c r="C97" s="9">
        <v>46414.875</v>
      </c>
      <c r="D97" s="10" t="s">
        <v>18</v>
      </c>
      <c r="E97" s="7" t="e" vm="16">
        <v>#VALUE!</v>
      </c>
      <c r="F97" s="15">
        <v>1</v>
      </c>
      <c r="G97" s="7" t="e" vm="30">
        <v>#VALUE!</v>
      </c>
      <c r="H97" s="11" t="s">
        <v>34</v>
      </c>
    </row>
    <row r="98" spans="1:8" ht="21" hidden="1" customHeight="1" x14ac:dyDescent="0.35">
      <c r="A98" s="2">
        <v>1</v>
      </c>
      <c r="B98" s="3">
        <v>46274.875</v>
      </c>
      <c r="C98" s="4">
        <v>46274.875</v>
      </c>
      <c r="D98" s="5" t="s">
        <v>24</v>
      </c>
      <c r="E98" s="2" t="e" vm="14">
        <v>#VALUE!</v>
      </c>
      <c r="F98" s="15">
        <v>0</v>
      </c>
      <c r="G98" s="2" t="e" vm="35">
        <v>#VALUE!</v>
      </c>
      <c r="H98" s="6" t="s">
        <v>25</v>
      </c>
    </row>
    <row r="99" spans="1:8" ht="21" hidden="1" customHeight="1" x14ac:dyDescent="0.35">
      <c r="A99" s="2">
        <v>3</v>
      </c>
      <c r="B99" s="3">
        <v>46315.875</v>
      </c>
      <c r="C99" s="4">
        <v>46315.875</v>
      </c>
      <c r="D99" s="5" t="s">
        <v>24</v>
      </c>
      <c r="E99" s="2" t="e" vm="14">
        <v>#VALUE!</v>
      </c>
      <c r="F99" s="15">
        <v>0</v>
      </c>
      <c r="G99" s="2" t="e" vm="16">
        <v>#VALUE!</v>
      </c>
      <c r="H99" s="6" t="s">
        <v>18</v>
      </c>
    </row>
    <row r="100" spans="1:8" ht="21" hidden="1" customHeight="1" x14ac:dyDescent="0.35">
      <c r="A100" s="2">
        <v>5</v>
      </c>
      <c r="B100" s="3">
        <v>46351.875</v>
      </c>
      <c r="C100" s="4">
        <v>46351.875</v>
      </c>
      <c r="D100" s="5" t="s">
        <v>24</v>
      </c>
      <c r="E100" s="2" t="e" vm="14">
        <v>#VALUE!</v>
      </c>
      <c r="F100" s="15">
        <v>0</v>
      </c>
      <c r="G100" s="2" t="e" vm="6">
        <v>#VALUE!</v>
      </c>
      <c r="H100" s="6" t="s">
        <v>31</v>
      </c>
    </row>
    <row r="101" spans="1:8" ht="21" hidden="1" customHeight="1" x14ac:dyDescent="0.35">
      <c r="A101" s="7">
        <v>8</v>
      </c>
      <c r="B101" s="8">
        <v>46414.875</v>
      </c>
      <c r="C101" s="9">
        <v>46414.875</v>
      </c>
      <c r="D101" s="10" t="s">
        <v>24</v>
      </c>
      <c r="E101" s="7" t="e" vm="14">
        <v>#VALUE!</v>
      </c>
      <c r="F101" s="15">
        <v>0</v>
      </c>
      <c r="G101" s="7" t="e" vm="26">
        <v>#VALUE!</v>
      </c>
      <c r="H101" s="11" t="s">
        <v>27</v>
      </c>
    </row>
    <row r="102" spans="1:8" ht="21" hidden="1" customHeight="1" x14ac:dyDescent="0.35">
      <c r="A102" s="2">
        <v>1</v>
      </c>
      <c r="B102" s="3">
        <v>46275.78125</v>
      </c>
      <c r="C102" s="4">
        <v>46275.78125</v>
      </c>
      <c r="D102" s="5" t="s">
        <v>32</v>
      </c>
      <c r="E102" s="2" t="e" vm="36">
        <v>#VALUE!</v>
      </c>
      <c r="F102" s="15">
        <v>0</v>
      </c>
      <c r="G102" s="2" t="e" vm="34">
        <v>#VALUE!</v>
      </c>
      <c r="H102" s="6" t="s">
        <v>33</v>
      </c>
    </row>
    <row r="103" spans="1:8" ht="21" hidden="1" customHeight="1" x14ac:dyDescent="0.35">
      <c r="A103" s="7">
        <v>4</v>
      </c>
      <c r="B103" s="8">
        <v>46330.875</v>
      </c>
      <c r="C103" s="9">
        <v>46330.875</v>
      </c>
      <c r="D103" s="10" t="s">
        <v>32</v>
      </c>
      <c r="E103" s="7" t="e" vm="36">
        <v>#VALUE!</v>
      </c>
      <c r="F103" s="15">
        <v>0</v>
      </c>
      <c r="G103" s="7" t="e" vm="29">
        <v>#VALUE!</v>
      </c>
      <c r="H103" s="11" t="s">
        <v>8</v>
      </c>
    </row>
    <row r="104" spans="1:8" ht="21" hidden="1" customHeight="1" x14ac:dyDescent="0.35">
      <c r="A104" s="7">
        <v>6</v>
      </c>
      <c r="B104" s="8">
        <v>46365.875</v>
      </c>
      <c r="C104" s="9">
        <v>46365.875</v>
      </c>
      <c r="D104" s="10" t="s">
        <v>32</v>
      </c>
      <c r="E104" s="7" t="e" vm="36">
        <v>#VALUE!</v>
      </c>
      <c r="F104" s="15">
        <v>0</v>
      </c>
      <c r="G104" s="7" t="e" vm="4">
        <v>#VALUE!</v>
      </c>
      <c r="H104" s="11" t="s">
        <v>23</v>
      </c>
    </row>
    <row r="105" spans="1:8" ht="21" hidden="1" customHeight="1" x14ac:dyDescent="0.35">
      <c r="A105" s="7">
        <v>8</v>
      </c>
      <c r="B105" s="8">
        <v>46414.875</v>
      </c>
      <c r="C105" s="9">
        <v>46414.875</v>
      </c>
      <c r="D105" s="10" t="s">
        <v>32</v>
      </c>
      <c r="E105" s="7" t="e" vm="36">
        <v>#VALUE!</v>
      </c>
      <c r="F105" s="15">
        <v>0</v>
      </c>
      <c r="G105" s="7" t="e" vm="23">
        <v>#VALUE!</v>
      </c>
      <c r="H105" s="11" t="s">
        <v>20</v>
      </c>
    </row>
    <row r="106" spans="1:8" ht="21" hidden="1" customHeight="1" x14ac:dyDescent="0.35">
      <c r="A106" s="2">
        <v>1</v>
      </c>
      <c r="B106" s="3">
        <v>46273.875</v>
      </c>
      <c r="C106" s="4">
        <v>46273.875</v>
      </c>
      <c r="D106" s="5" t="s">
        <v>16</v>
      </c>
      <c r="E106" s="2" t="e" vm="3">
        <v>#VALUE!</v>
      </c>
      <c r="F106" s="15">
        <v>0</v>
      </c>
      <c r="G106" s="2" t="e" vm="22">
        <v>#VALUE!</v>
      </c>
      <c r="H106" s="6" t="s">
        <v>17</v>
      </c>
    </row>
    <row r="107" spans="1:8" ht="21" hidden="1" customHeight="1" x14ac:dyDescent="0.35">
      <c r="A107" s="2">
        <v>3</v>
      </c>
      <c r="B107" s="3">
        <v>46316.875</v>
      </c>
      <c r="C107" s="4">
        <v>46316.875</v>
      </c>
      <c r="D107" s="5" t="s">
        <v>16</v>
      </c>
      <c r="E107" s="2" t="e" vm="3">
        <v>#VALUE!</v>
      </c>
      <c r="F107" s="15">
        <v>0</v>
      </c>
      <c r="G107" s="2" t="e" vm="33">
        <v>#VALUE!</v>
      </c>
      <c r="H107" s="6" t="s">
        <v>35</v>
      </c>
    </row>
    <row r="108" spans="1:8" ht="21" hidden="1" customHeight="1" x14ac:dyDescent="0.35">
      <c r="A108" s="2">
        <v>5</v>
      </c>
      <c r="B108" s="3">
        <v>46350.875</v>
      </c>
      <c r="C108" s="4">
        <v>46350.875</v>
      </c>
      <c r="D108" s="5" t="s">
        <v>16</v>
      </c>
      <c r="E108" s="2" t="e" vm="3">
        <v>#VALUE!</v>
      </c>
      <c r="F108" s="15">
        <v>0</v>
      </c>
      <c r="G108" s="2" t="e" vm="36">
        <v>#VALUE!</v>
      </c>
      <c r="H108" s="6" t="s">
        <v>32</v>
      </c>
    </row>
    <row r="109" spans="1:8" ht="21" hidden="1" customHeight="1" x14ac:dyDescent="0.35">
      <c r="A109" s="2">
        <v>7</v>
      </c>
      <c r="B109" s="3">
        <v>46406.875</v>
      </c>
      <c r="C109" s="4">
        <v>46406.875</v>
      </c>
      <c r="D109" s="5" t="s">
        <v>16</v>
      </c>
      <c r="E109" s="2" t="e" vm="3">
        <v>#VALUE!</v>
      </c>
      <c r="F109" s="15">
        <v>0</v>
      </c>
      <c r="G109" s="2" t="e" vm="2">
        <v>#VALUE!</v>
      </c>
      <c r="H109" s="6" t="s">
        <v>7</v>
      </c>
    </row>
    <row r="110" spans="1:8" ht="21" hidden="1" customHeight="1" x14ac:dyDescent="0.35">
      <c r="A110" s="7">
        <v>2</v>
      </c>
      <c r="B110" s="8">
        <v>46309.875</v>
      </c>
      <c r="C110" s="9">
        <v>46309.875</v>
      </c>
      <c r="D110" s="10" t="s">
        <v>31</v>
      </c>
      <c r="E110" s="7" t="e" vm="6">
        <v>#VALUE!</v>
      </c>
      <c r="F110" s="15">
        <v>0</v>
      </c>
      <c r="G110" s="7" t="e" vm="3">
        <v>#VALUE!</v>
      </c>
      <c r="H110" s="11" t="s">
        <v>16</v>
      </c>
    </row>
    <row r="111" spans="1:8" ht="21" hidden="1" customHeight="1" x14ac:dyDescent="0.35">
      <c r="A111" s="2">
        <v>3</v>
      </c>
      <c r="B111" s="3">
        <v>46315.875</v>
      </c>
      <c r="C111" s="4">
        <v>46315.875</v>
      </c>
      <c r="D111" s="5" t="s">
        <v>31</v>
      </c>
      <c r="E111" s="2" t="e" vm="6">
        <v>#VALUE!</v>
      </c>
      <c r="F111" s="15">
        <v>0</v>
      </c>
      <c r="G111" s="2" t="e" vm="35">
        <v>#VALUE!</v>
      </c>
      <c r="H111" s="6" t="s">
        <v>25</v>
      </c>
    </row>
    <row r="112" spans="1:8" ht="21" customHeight="1" x14ac:dyDescent="0.35">
      <c r="A112" s="7">
        <v>8</v>
      </c>
      <c r="B112" s="8">
        <v>46414.875</v>
      </c>
      <c r="C112" s="9">
        <v>46414.875</v>
      </c>
      <c r="D112" s="10" t="s">
        <v>36</v>
      </c>
      <c r="E112" s="7" t="e" vm="5">
        <v>#VALUE!</v>
      </c>
      <c r="F112" s="15">
        <v>2</v>
      </c>
      <c r="G112" s="7" t="e" vm="17">
        <v>#VALUE!</v>
      </c>
      <c r="H112" s="11" t="s">
        <v>15</v>
      </c>
    </row>
    <row r="113" spans="1:8" ht="21" customHeight="1" x14ac:dyDescent="0.35">
      <c r="A113" s="7">
        <v>8</v>
      </c>
      <c r="B113" s="8">
        <v>46414.875</v>
      </c>
      <c r="C113" s="9">
        <v>46414.875</v>
      </c>
      <c r="D113" s="10" t="s">
        <v>10</v>
      </c>
      <c r="E113" s="7" t="e" vm="9">
        <v>#VALUE!</v>
      </c>
      <c r="F113" s="15">
        <v>2</v>
      </c>
      <c r="G113" s="7" t="e" vm="1">
        <v>#VALUE!</v>
      </c>
      <c r="H113" s="11" t="s">
        <v>6</v>
      </c>
    </row>
    <row r="114" spans="1:8" ht="21" hidden="1" customHeight="1" x14ac:dyDescent="0.35">
      <c r="A114" s="7">
        <v>2</v>
      </c>
      <c r="B114" s="8">
        <v>46308.78125</v>
      </c>
      <c r="C114" s="9">
        <v>46308.78125</v>
      </c>
      <c r="D114" s="10" t="s">
        <v>39</v>
      </c>
      <c r="E114" s="7" t="e" vm="10">
        <v>#VALUE!</v>
      </c>
      <c r="F114" s="15">
        <v>0</v>
      </c>
      <c r="G114" s="7" t="e" vm="27">
        <v>#VALUE!</v>
      </c>
      <c r="H114" s="11" t="s">
        <v>40</v>
      </c>
    </row>
    <row r="115" spans="1:8" ht="21" hidden="1" customHeight="1" x14ac:dyDescent="0.35">
      <c r="A115" s="2">
        <v>3</v>
      </c>
      <c r="B115" s="3">
        <v>46315.78125</v>
      </c>
      <c r="C115" s="4">
        <v>46315.78125</v>
      </c>
      <c r="D115" s="5" t="s">
        <v>39</v>
      </c>
      <c r="E115" s="2" t="e" vm="10">
        <v>#VALUE!</v>
      </c>
      <c r="F115" s="15">
        <v>0</v>
      </c>
      <c r="G115" s="2" t="e" vm="9">
        <v>#VALUE!</v>
      </c>
      <c r="H115" s="6" t="s">
        <v>10</v>
      </c>
    </row>
    <row r="116" spans="1:8" ht="21" hidden="1" customHeight="1" x14ac:dyDescent="0.35">
      <c r="A116" s="2">
        <v>5</v>
      </c>
      <c r="B116" s="3">
        <v>46351.78125</v>
      </c>
      <c r="C116" s="4">
        <v>46351.78125</v>
      </c>
      <c r="D116" s="5" t="s">
        <v>39</v>
      </c>
      <c r="E116" s="2" t="e" vm="10">
        <v>#VALUE!</v>
      </c>
      <c r="F116" s="15">
        <v>0</v>
      </c>
      <c r="G116" s="2" t="e" vm="16">
        <v>#VALUE!</v>
      </c>
      <c r="H116" s="6" t="s">
        <v>18</v>
      </c>
    </row>
    <row r="117" spans="1:8" ht="21" hidden="1" customHeight="1" x14ac:dyDescent="0.35">
      <c r="A117" s="2">
        <v>7</v>
      </c>
      <c r="B117" s="3">
        <v>46407.78125</v>
      </c>
      <c r="C117" s="4">
        <v>46407.78125</v>
      </c>
      <c r="D117" s="5" t="s">
        <v>39</v>
      </c>
      <c r="E117" s="2" t="e" vm="10">
        <v>#VALUE!</v>
      </c>
      <c r="F117" s="15">
        <v>0</v>
      </c>
      <c r="G117" s="2" t="e" vm="20">
        <v>#VALUE!</v>
      </c>
      <c r="H117" s="6" t="s">
        <v>28</v>
      </c>
    </row>
    <row r="118" spans="1:8" ht="21" hidden="1" customHeight="1" x14ac:dyDescent="0.35">
      <c r="A118" s="7">
        <v>2</v>
      </c>
      <c r="B118" s="8">
        <v>46309.875</v>
      </c>
      <c r="C118" s="9">
        <v>46309.875</v>
      </c>
      <c r="D118" s="10" t="s">
        <v>33</v>
      </c>
      <c r="E118" s="7" t="e" vm="34">
        <v>#VALUE!</v>
      </c>
      <c r="F118" s="15">
        <v>0</v>
      </c>
      <c r="G118" s="7" t="e" vm="1">
        <v>#VALUE!</v>
      </c>
      <c r="H118" s="11" t="s">
        <v>6</v>
      </c>
    </row>
    <row r="119" spans="1:8" ht="21" hidden="1" customHeight="1" x14ac:dyDescent="0.35">
      <c r="A119" s="7">
        <v>4</v>
      </c>
      <c r="B119" s="8">
        <v>46329.78125</v>
      </c>
      <c r="C119" s="9">
        <v>46329.78125</v>
      </c>
      <c r="D119" s="10" t="s">
        <v>33</v>
      </c>
      <c r="E119" s="7" t="e" vm="34">
        <v>#VALUE!</v>
      </c>
      <c r="F119" s="15">
        <v>0</v>
      </c>
      <c r="G119" s="7" t="e" vm="25">
        <v>#VALUE!</v>
      </c>
      <c r="H119" s="11" t="s">
        <v>26</v>
      </c>
    </row>
    <row r="120" spans="1:8" ht="21" hidden="1" customHeight="1" x14ac:dyDescent="0.35">
      <c r="A120" s="2">
        <v>5</v>
      </c>
      <c r="B120" s="3">
        <v>46351.875</v>
      </c>
      <c r="C120" s="4">
        <v>46351.875</v>
      </c>
      <c r="D120" s="5" t="s">
        <v>33</v>
      </c>
      <c r="E120" s="2" t="e" vm="34">
        <v>#VALUE!</v>
      </c>
      <c r="F120" s="15">
        <v>0</v>
      </c>
      <c r="G120" s="2" t="e" vm="12">
        <v>#VALUE!</v>
      </c>
      <c r="H120" s="6" t="s">
        <v>30</v>
      </c>
    </row>
    <row r="121" spans="1:8" ht="21" hidden="1" customHeight="1" x14ac:dyDescent="0.35">
      <c r="A121" s="7">
        <v>8</v>
      </c>
      <c r="B121" s="8">
        <v>46414.875</v>
      </c>
      <c r="C121" s="9">
        <v>46414.875</v>
      </c>
      <c r="D121" s="10" t="s">
        <v>33</v>
      </c>
      <c r="E121" s="7" t="e" vm="34">
        <v>#VALUE!</v>
      </c>
      <c r="F121" s="15">
        <v>0</v>
      </c>
      <c r="G121" s="7" t="e" vm="3">
        <v>#VALUE!</v>
      </c>
      <c r="H121" s="11" t="s">
        <v>16</v>
      </c>
    </row>
    <row r="122" spans="1:8" ht="21" hidden="1" customHeight="1" x14ac:dyDescent="0.35">
      <c r="A122" s="2">
        <v>1</v>
      </c>
      <c r="B122" s="3">
        <v>46275.875</v>
      </c>
      <c r="C122" s="4">
        <v>46275.875</v>
      </c>
      <c r="D122" s="5" t="s">
        <v>40</v>
      </c>
      <c r="E122" s="2" t="e" vm="27">
        <v>#VALUE!</v>
      </c>
      <c r="F122" s="15">
        <v>0</v>
      </c>
      <c r="G122" s="2" t="e" vm="31">
        <v>#VALUE!</v>
      </c>
      <c r="H122" s="6" t="s">
        <v>41</v>
      </c>
    </row>
    <row r="123" spans="1:8" ht="21" hidden="1" customHeight="1" x14ac:dyDescent="0.35">
      <c r="A123" s="7">
        <v>4</v>
      </c>
      <c r="B123" s="8">
        <v>46330.875</v>
      </c>
      <c r="C123" s="9">
        <v>46330.875</v>
      </c>
      <c r="D123" s="10" t="s">
        <v>40</v>
      </c>
      <c r="E123" s="7" t="e" vm="27">
        <v>#VALUE!</v>
      </c>
      <c r="F123" s="15">
        <v>0</v>
      </c>
      <c r="G123" s="7" t="e" vm="7">
        <v>#VALUE!</v>
      </c>
      <c r="H123" s="11" t="s">
        <v>29</v>
      </c>
    </row>
    <row r="124" spans="1:8" ht="21" hidden="1" customHeight="1" x14ac:dyDescent="0.35">
      <c r="A124" s="2">
        <v>5</v>
      </c>
      <c r="B124" s="3">
        <v>46351.78125</v>
      </c>
      <c r="C124" s="4">
        <v>46351.78125</v>
      </c>
      <c r="D124" s="5" t="s">
        <v>40</v>
      </c>
      <c r="E124" s="2" t="e" vm="27">
        <v>#VALUE!</v>
      </c>
      <c r="F124" s="15">
        <v>0</v>
      </c>
      <c r="G124" s="2" t="e" vm="28">
        <v>#VALUE!</v>
      </c>
      <c r="H124" s="6" t="s">
        <v>11</v>
      </c>
    </row>
    <row r="125" spans="1:8" ht="21" hidden="1" customHeight="1" x14ac:dyDescent="0.35">
      <c r="A125" s="7">
        <v>8</v>
      </c>
      <c r="B125" s="8">
        <v>46414.875</v>
      </c>
      <c r="C125" s="9">
        <v>46414.875</v>
      </c>
      <c r="D125" s="10" t="s">
        <v>40</v>
      </c>
      <c r="E125" s="7" t="e" vm="27">
        <v>#VALUE!</v>
      </c>
      <c r="F125" s="15">
        <v>0</v>
      </c>
      <c r="G125" s="7" t="e" vm="11">
        <v>#VALUE!</v>
      </c>
      <c r="H125" s="11" t="s">
        <v>9</v>
      </c>
    </row>
    <row r="126" spans="1:8" ht="21" hidden="1" customHeight="1" x14ac:dyDescent="0.35">
      <c r="A126" s="7">
        <v>2</v>
      </c>
      <c r="B126" s="8">
        <v>46309.875</v>
      </c>
      <c r="C126" s="9">
        <v>46309.875</v>
      </c>
      <c r="D126" s="10" t="s">
        <v>25</v>
      </c>
      <c r="E126" s="7" t="e" vm="35">
        <v>#VALUE!</v>
      </c>
      <c r="F126" s="15">
        <v>0</v>
      </c>
      <c r="G126" s="7" t="e" vm="23">
        <v>#VALUE!</v>
      </c>
      <c r="H126" s="11" t="s">
        <v>20</v>
      </c>
    </row>
    <row r="127" spans="1:8" ht="21" hidden="1" customHeight="1" x14ac:dyDescent="0.35">
      <c r="A127" s="2">
        <v>5</v>
      </c>
      <c r="B127" s="3">
        <v>46350.875</v>
      </c>
      <c r="C127" s="4">
        <v>46350.875</v>
      </c>
      <c r="D127" s="5" t="s">
        <v>25</v>
      </c>
      <c r="E127" s="2" t="e" vm="35">
        <v>#VALUE!</v>
      </c>
      <c r="F127" s="15">
        <v>0</v>
      </c>
      <c r="G127" s="2" t="e" vm="17">
        <v>#VALUE!</v>
      </c>
      <c r="H127" s="6" t="s">
        <v>15</v>
      </c>
    </row>
    <row r="128" spans="1:8" ht="21" hidden="1" customHeight="1" x14ac:dyDescent="0.35">
      <c r="A128" s="7">
        <v>6</v>
      </c>
      <c r="B128" s="8">
        <v>46365.78125</v>
      </c>
      <c r="C128" s="9">
        <v>46365.78125</v>
      </c>
      <c r="D128" s="10" t="s">
        <v>25</v>
      </c>
      <c r="E128" s="7" t="e" vm="35">
        <v>#VALUE!</v>
      </c>
      <c r="F128" s="15">
        <v>0</v>
      </c>
      <c r="G128" s="7" t="e" vm="34">
        <v>#VALUE!</v>
      </c>
      <c r="H128" s="11" t="s">
        <v>33</v>
      </c>
    </row>
    <row r="129" spans="1:8" ht="21" hidden="1" customHeight="1" x14ac:dyDescent="0.35">
      <c r="A129" s="7">
        <v>8</v>
      </c>
      <c r="B129" s="8">
        <v>46414.875</v>
      </c>
      <c r="C129" s="9">
        <v>46414.875</v>
      </c>
      <c r="D129" s="10" t="s">
        <v>25</v>
      </c>
      <c r="E129" s="7" t="e" vm="35">
        <v>#VALUE!</v>
      </c>
      <c r="F129" s="15">
        <v>0</v>
      </c>
      <c r="G129" s="7" t="e" vm="22">
        <v>#VALUE!</v>
      </c>
      <c r="H129" s="11" t="s">
        <v>17</v>
      </c>
    </row>
    <row r="130" spans="1:8" ht="21" hidden="1" customHeight="1" x14ac:dyDescent="0.35">
      <c r="A130" s="2">
        <v>1</v>
      </c>
      <c r="B130" s="3">
        <v>46274.875</v>
      </c>
      <c r="C130" s="4">
        <v>46274.875</v>
      </c>
      <c r="D130" s="5" t="s">
        <v>26</v>
      </c>
      <c r="E130" s="2" t="e" vm="25">
        <v>#VALUE!</v>
      </c>
      <c r="F130" s="15">
        <v>0</v>
      </c>
      <c r="G130" s="2" t="e" vm="26">
        <v>#VALUE!</v>
      </c>
      <c r="H130" s="6" t="s">
        <v>27</v>
      </c>
    </row>
    <row r="131" spans="1:8" ht="21" hidden="1" customHeight="1" x14ac:dyDescent="0.35">
      <c r="A131" s="2">
        <v>3</v>
      </c>
      <c r="B131" s="3">
        <v>46316.875</v>
      </c>
      <c r="C131" s="4">
        <v>46316.875</v>
      </c>
      <c r="D131" s="5" t="s">
        <v>26</v>
      </c>
      <c r="E131" s="2" t="e" vm="25">
        <v>#VALUE!</v>
      </c>
      <c r="F131" s="15">
        <v>0</v>
      </c>
      <c r="G131" s="2" t="e" vm="2">
        <v>#VALUE!</v>
      </c>
      <c r="H131" s="6" t="s">
        <v>7</v>
      </c>
    </row>
    <row r="132" spans="1:8" ht="21" customHeight="1" x14ac:dyDescent="0.35">
      <c r="A132" s="7">
        <v>8</v>
      </c>
      <c r="B132" s="8">
        <v>46414.875</v>
      </c>
      <c r="C132" s="9">
        <v>46414.875</v>
      </c>
      <c r="D132" s="10" t="s">
        <v>31</v>
      </c>
      <c r="E132" s="7" t="e" vm="6">
        <v>#VALUE!</v>
      </c>
      <c r="F132" s="15">
        <v>2</v>
      </c>
      <c r="G132" s="7" t="e" vm="8">
        <v>#VALUE!</v>
      </c>
      <c r="H132" s="11" t="s">
        <v>14</v>
      </c>
    </row>
    <row r="133" spans="1:8" ht="21" hidden="1" customHeight="1" x14ac:dyDescent="0.35">
      <c r="A133" s="2">
        <v>7</v>
      </c>
      <c r="B133" s="3">
        <v>46407.875</v>
      </c>
      <c r="C133" s="4">
        <v>46407.875</v>
      </c>
      <c r="D133" s="5" t="s">
        <v>26</v>
      </c>
      <c r="E133" s="2" t="e" vm="25">
        <v>#VALUE!</v>
      </c>
      <c r="F133" s="15">
        <v>0</v>
      </c>
      <c r="G133" s="2" t="e" vm="16">
        <v>#VALUE!</v>
      </c>
      <c r="H133" s="6" t="s">
        <v>18</v>
      </c>
    </row>
    <row r="134" spans="1:8" ht="21" hidden="1" customHeight="1" x14ac:dyDescent="0.35">
      <c r="A134" s="2">
        <v>1</v>
      </c>
      <c r="B134" s="3">
        <v>46274.78125</v>
      </c>
      <c r="C134" s="4">
        <v>46274.78125</v>
      </c>
      <c r="D134" s="5" t="s">
        <v>20</v>
      </c>
      <c r="E134" s="2" t="e" vm="23">
        <v>#VALUE!</v>
      </c>
      <c r="F134" s="15">
        <v>0</v>
      </c>
      <c r="G134" s="2" t="e" vm="13">
        <v>#VALUE!</v>
      </c>
      <c r="H134" s="6" t="s">
        <v>21</v>
      </c>
    </row>
    <row r="135" spans="1:8" ht="21" hidden="1" customHeight="1" x14ac:dyDescent="0.35">
      <c r="A135" s="2">
        <v>3</v>
      </c>
      <c r="B135" s="3">
        <v>46315.875</v>
      </c>
      <c r="C135" s="4">
        <v>46315.875</v>
      </c>
      <c r="D135" s="5" t="s">
        <v>20</v>
      </c>
      <c r="E135" s="2" t="e" vm="23">
        <v>#VALUE!</v>
      </c>
      <c r="F135" s="15">
        <v>0</v>
      </c>
      <c r="G135" s="2" t="e" vm="4">
        <v>#VALUE!</v>
      </c>
      <c r="H135" s="6" t="s">
        <v>23</v>
      </c>
    </row>
    <row r="136" spans="1:8" ht="21" hidden="1" customHeight="1" x14ac:dyDescent="0.35">
      <c r="A136" s="7">
        <v>6</v>
      </c>
      <c r="B136" s="8">
        <v>46365.875</v>
      </c>
      <c r="C136" s="9">
        <v>46365.875</v>
      </c>
      <c r="D136" s="10" t="s">
        <v>20</v>
      </c>
      <c r="E136" s="7" t="e" vm="23">
        <v>#VALUE!</v>
      </c>
      <c r="F136" s="15">
        <v>0</v>
      </c>
      <c r="G136" s="7" t="e" vm="8">
        <v>#VALUE!</v>
      </c>
      <c r="H136" s="11" t="s">
        <v>14</v>
      </c>
    </row>
    <row r="137" spans="1:8" ht="21" hidden="1" customHeight="1" x14ac:dyDescent="0.35">
      <c r="A137" s="2">
        <v>7</v>
      </c>
      <c r="B137" s="3">
        <v>46406.875</v>
      </c>
      <c r="C137" s="4">
        <v>46406.875</v>
      </c>
      <c r="D137" s="5" t="s">
        <v>20</v>
      </c>
      <c r="E137" s="2" t="e" vm="23">
        <v>#VALUE!</v>
      </c>
      <c r="F137" s="15">
        <v>0</v>
      </c>
      <c r="G137" s="2" t="e" vm="29">
        <v>#VALUE!</v>
      </c>
      <c r="H137" s="6" t="s">
        <v>8</v>
      </c>
    </row>
    <row r="138" spans="1:8" ht="21" hidden="1" customHeight="1" x14ac:dyDescent="0.35">
      <c r="A138" s="7">
        <v>2</v>
      </c>
      <c r="B138" s="8">
        <v>46308.875</v>
      </c>
      <c r="C138" s="9">
        <v>46308.875</v>
      </c>
      <c r="D138" s="10" t="s">
        <v>21</v>
      </c>
      <c r="E138" s="7" t="e" vm="13">
        <v>#VALUE!</v>
      </c>
      <c r="F138" s="15">
        <v>0</v>
      </c>
      <c r="G138" s="7" t="e" vm="5">
        <v>#VALUE!</v>
      </c>
      <c r="H138" s="11" t="s">
        <v>36</v>
      </c>
    </row>
    <row r="139" spans="1:8" ht="21" hidden="1" customHeight="1" x14ac:dyDescent="0.35">
      <c r="A139" s="7">
        <v>4</v>
      </c>
      <c r="B139" s="8">
        <v>46330.875</v>
      </c>
      <c r="C139" s="9">
        <v>46330.875</v>
      </c>
      <c r="D139" s="10" t="s">
        <v>21</v>
      </c>
      <c r="E139" s="7" t="e" vm="13">
        <v>#VALUE!</v>
      </c>
      <c r="F139" s="15">
        <v>0</v>
      </c>
      <c r="G139" s="7" t="e" vm="10">
        <v>#VALUE!</v>
      </c>
      <c r="H139" s="11" t="s">
        <v>39</v>
      </c>
    </row>
    <row r="140" spans="1:8" ht="21" hidden="1" customHeight="1" x14ac:dyDescent="0.35">
      <c r="A140" s="7">
        <v>6</v>
      </c>
      <c r="B140" s="8">
        <v>46364.78125</v>
      </c>
      <c r="C140" s="9">
        <v>46364.78125</v>
      </c>
      <c r="D140" s="10" t="s">
        <v>21</v>
      </c>
      <c r="E140" s="7" t="e" vm="13">
        <v>#VALUE!</v>
      </c>
      <c r="F140" s="15">
        <v>0</v>
      </c>
      <c r="G140" s="7" t="e" vm="18">
        <v>#VALUE!</v>
      </c>
      <c r="H140" s="11" t="s">
        <v>19</v>
      </c>
    </row>
    <row r="141" spans="1:8" ht="21" hidden="1" customHeight="1" x14ac:dyDescent="0.35">
      <c r="A141" s="2">
        <v>7</v>
      </c>
      <c r="B141" s="3">
        <v>46407.875</v>
      </c>
      <c r="C141" s="4">
        <v>46407.875</v>
      </c>
      <c r="D141" s="5" t="s">
        <v>21</v>
      </c>
      <c r="E141" s="2" t="e" vm="13">
        <v>#VALUE!</v>
      </c>
      <c r="F141" s="15">
        <v>0</v>
      </c>
      <c r="G141" s="2" t="e" vm="36">
        <v>#VALUE!</v>
      </c>
      <c r="H141" s="6" t="s">
        <v>32</v>
      </c>
    </row>
    <row r="142" spans="1:8" ht="21" hidden="1" customHeight="1" x14ac:dyDescent="0.35">
      <c r="A142" s="7">
        <v>2</v>
      </c>
      <c r="B142" s="8">
        <v>46308.875</v>
      </c>
      <c r="C142" s="9">
        <v>46308.875</v>
      </c>
      <c r="D142" s="10" t="s">
        <v>11</v>
      </c>
      <c r="E142" s="7" t="e" vm="28">
        <v>#VALUE!</v>
      </c>
      <c r="F142" s="15">
        <v>0</v>
      </c>
      <c r="G142" s="7" t="e" vm="20">
        <v>#VALUE!</v>
      </c>
      <c r="H142" s="11" t="s">
        <v>28</v>
      </c>
    </row>
    <row r="143" spans="1:8" ht="21" hidden="1" customHeight="1" x14ac:dyDescent="0.35">
      <c r="A143" s="7">
        <v>4</v>
      </c>
      <c r="B143" s="8">
        <v>46329.875</v>
      </c>
      <c r="C143" s="9">
        <v>46329.875</v>
      </c>
      <c r="D143" s="10" t="s">
        <v>11</v>
      </c>
      <c r="E143" s="7" t="e" vm="28">
        <v>#VALUE!</v>
      </c>
      <c r="F143" s="15">
        <v>0</v>
      </c>
      <c r="G143" s="7" t="e" vm="14">
        <v>#VALUE!</v>
      </c>
      <c r="H143" s="11" t="s">
        <v>24</v>
      </c>
    </row>
    <row r="144" spans="1:8" ht="21" hidden="1" customHeight="1" x14ac:dyDescent="0.35">
      <c r="A144" s="7">
        <v>6</v>
      </c>
      <c r="B144" s="8">
        <v>46364.78125</v>
      </c>
      <c r="C144" s="9">
        <v>46364.78125</v>
      </c>
      <c r="D144" s="10" t="s">
        <v>11</v>
      </c>
      <c r="E144" s="7" t="e" vm="28">
        <v>#VALUE!</v>
      </c>
      <c r="F144" s="15">
        <v>0</v>
      </c>
      <c r="G144" s="7" t="e" vm="10">
        <v>#VALUE!</v>
      </c>
      <c r="H144" s="11" t="s">
        <v>39</v>
      </c>
    </row>
    <row r="145" spans="1:8" ht="21" hidden="1" customHeight="1" x14ac:dyDescent="0.35">
      <c r="A145" s="7">
        <v>8</v>
      </c>
      <c r="B145" s="8">
        <v>46414.875</v>
      </c>
      <c r="C145" s="9">
        <v>46414.875</v>
      </c>
      <c r="D145" s="10" t="s">
        <v>11</v>
      </c>
      <c r="E145" s="7" t="e" vm="28">
        <v>#VALUE!</v>
      </c>
      <c r="F145" s="15">
        <v>0</v>
      </c>
      <c r="G145" s="7" t="e" vm="15">
        <v>#VALUE!</v>
      </c>
      <c r="H145" s="11" t="s">
        <v>38</v>
      </c>
    </row>
    <row r="146" spans="1:8" hidden="1" x14ac:dyDescent="0.35">
      <c r="F146" s="15">
        <v>0</v>
      </c>
    </row>
    <row r="147" spans="1:8" x14ac:dyDescent="0.35">
      <c r="A147" s="12" t="s">
        <v>42</v>
      </c>
      <c r="F147" s="15">
        <v>1</v>
      </c>
    </row>
    <row r="148" spans="1:8" x14ac:dyDescent="0.35">
      <c r="A148" s="13" t="s">
        <v>43</v>
      </c>
      <c r="F148" s="15">
        <v>2</v>
      </c>
    </row>
    <row r="149" spans="1:8" x14ac:dyDescent="0.35">
      <c r="A149" s="13" t="s">
        <v>44</v>
      </c>
    </row>
    <row r="150" spans="1:8" x14ac:dyDescent="0.35">
      <c r="A150" s="13" t="s">
        <v>45</v>
      </c>
    </row>
    <row r="151" spans="1:8" x14ac:dyDescent="0.35">
      <c r="A151" s="13" t="s">
        <v>46</v>
      </c>
    </row>
    <row r="152" spans="1:8" x14ac:dyDescent="0.35">
      <c r="A152" s="13" t="s">
        <v>47</v>
      </c>
    </row>
  </sheetData>
  <autoFilter ref="A1:H152" xr:uid="{00000000-0001-0000-0000-000000000000}">
    <filterColumn colId="5">
      <filters blank="1">
        <filter val="1"/>
        <filter val="2"/>
      </filters>
    </filterColumn>
    <sortState xmlns:xlrd2="http://schemas.microsoft.com/office/spreadsheetml/2017/richdata2" ref="A4:H152">
      <sortCondition ref="B1:B152"/>
    </sortState>
  </autoFilter>
  <conditionalFormatting sqref="F2:F148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4AB4-2BD2-4956-A9BF-1EA5E3FFCD33}">
  <dimension ref="A1:U25"/>
  <sheetViews>
    <sheetView tabSelected="1" workbookViewId="0">
      <selection sqref="A1:A1048576"/>
    </sheetView>
  </sheetViews>
  <sheetFormatPr defaultRowHeight="14.5" x14ac:dyDescent="0.35"/>
  <cols>
    <col min="1" max="1" width="5.54296875" customWidth="1"/>
    <col min="2" max="2" width="9.90625" bestFit="1" customWidth="1"/>
    <col min="3" max="3" width="5.36328125" bestFit="1" customWidth="1"/>
    <col min="4" max="4" width="16.08984375" bestFit="1" customWidth="1"/>
    <col min="5" max="5" width="7.90625" bestFit="1" customWidth="1"/>
    <col min="6" max="6" width="3.7265625" bestFit="1" customWidth="1"/>
    <col min="7" max="7" width="7.90625" bestFit="1" customWidth="1"/>
    <col min="8" max="8" width="16" bestFit="1" customWidth="1"/>
    <col min="9" max="9" width="12" customWidth="1"/>
    <col min="10" max="10" width="15" customWidth="1"/>
    <col min="11" max="11" width="11" customWidth="1"/>
    <col min="12" max="12" width="12" customWidth="1"/>
    <col min="13" max="13" width="13" customWidth="1"/>
    <col min="16" max="16" width="34" customWidth="1"/>
    <col min="17" max="17" width="12" customWidth="1"/>
    <col min="18" max="18" width="13" customWidth="1"/>
    <col min="19" max="19" width="8" customWidth="1"/>
    <col min="20" max="20" width="11" customWidth="1"/>
    <col min="21" max="21" width="12" customWidth="1"/>
  </cols>
  <sheetData>
    <row r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</v>
      </c>
      <c r="G1" s="1" t="s">
        <v>4</v>
      </c>
      <c r="H1" s="1" t="s">
        <v>5</v>
      </c>
      <c r="I1" s="1" t="inlineStr">
        <is>
          <t>Ciudad</t>
        </is>
      </c>
      <c r="J1" s="1" t="inlineStr">
        <is>
          <t>Hotel 3 noches (€)</t>
        </is>
      </c>
      <c r="K1" s="1" t="inlineStr">
        <is>
          <t>Entrada (€)</t>
        </is>
      </c>
      <c r="L1" s="1" t="inlineStr">
        <is>
          <t>Vuelo i/v (€)</t>
        </is>
      </c>
      <c r="M1" s="1" t="inlineStr">
        <is>
          <t>Total viaje (€)</t>
        </is>
      </c>
      <c r="P1" s="12" t="inlineStr">
        <is>
          <t>Supuestos de coste (por persona, saliendo de Barcelona) — edita las celdas amarillas</t>
        </is>
      </c>
    </row>
    <row r="2" x14ac:dyDescent="0.35">
      <c r="A2" s="7">
        <v>4</v>
      </c>
      <c r="B2" s="8">
        <v>46329.875</v>
      </c>
      <c r="C2" s="9">
        <v>46329.875</v>
      </c>
      <c r="D2" s="10" t="s">
        <v>23</v>
      </c>
      <c r="E2" s="7" t="e" vm="4">
        <v>#VALUE!</v>
      </c>
      <c r="F2" s="15">
        <v>2</v>
      </c>
      <c r="G2" s="7" t="e" vm="5">
        <v>#VALUE!</v>
      </c>
      <c r="H2" s="11" t="s">
        <v>36</v>
      </c>
      <c r="I2" s="7">
        <f>IFERROR(INDEX($Q$3:$Q$13,MATCH($D2,$P$3:$P$13,0)),"")</f>
      </c>
      <c r="J2" s="17">
        <f>IFERROR(INDEX($R$3:$R$13,MATCH($D2,$P$3:$P$13,0))*INDEX($S$3:$S$13,MATCH($D2,$P$3:$P$13,0)),"")</f>
      </c>
      <c r="K2" s="17">
        <f>IFERROR(INDEX($T$3:$T$13,MATCH($D2,$P$3:$P$13,0)),"")</f>
      </c>
      <c r="L2" s="17">
        <f>IFERROR(INDEX($U$3:$U$13,MATCH($D2,$P$3:$P$13,0)),"")</f>
      </c>
      <c r="M2" s="19">
        <f>IFERROR(SUM(J2:L2),"")</f>
      </c>
      <c r="P2" s="1" t="inlineStr">
        <is>
          <t>Equipo local</t>
        </is>
      </c>
      <c r="Q2" s="1" t="inlineStr">
        <is>
          <t>Ciudad</t>
        </is>
      </c>
      <c r="R2" s="1" t="inlineStr">
        <is>
          <t>Hotel €/noche</t>
        </is>
      </c>
      <c r="S2" s="1" t="inlineStr">
        <is>
          <t>Noches</t>
        </is>
      </c>
      <c r="T2" s="1" t="inlineStr">
        <is>
          <t>Entrada €</t>
        </is>
      </c>
      <c r="U2" s="1" t="inlineStr">
        <is>
          <t>Vuelo i/v €</t>
        </is>
      </c>
    </row>
    <row r="3" x14ac:dyDescent="0.35">
      <c r="A3" s="7">
        <v>4</v>
      </c>
      <c r="B3" s="8">
        <v>46329.875</v>
      </c>
      <c r="C3" s="9">
        <v>46329.875</v>
      </c>
      <c r="D3" s="10" t="s">
        <v>18</v>
      </c>
      <c r="E3" s="7" t="e" vm="16">
        <v>#VALUE!</v>
      </c>
      <c r="F3" s="15">
        <v>1</v>
      </c>
      <c r="G3" s="7" t="e" vm="11">
        <v>#VALUE!</v>
      </c>
      <c r="H3" s="11" t="s">
        <v>9</v>
      </c>
      <c r="I3" s="7">
        <f>IFERROR(INDEX($Q$3:$Q$13,MATCH($D3,$P$3:$P$13,0)),"")</f>
      </c>
      <c r="J3" s="17">
        <f>IFERROR(INDEX($R$3:$R$13,MATCH($D3,$P$3:$P$13,0))*INDEX($S$3:$S$13,MATCH($D3,$P$3:$P$13,0)),"")</f>
      </c>
      <c r="K3" s="17">
        <f>IFERROR(INDEX($T$3:$T$13,MATCH($D3,$P$3:$P$13,0)),"")</f>
      </c>
      <c r="L3" s="17">
        <f>IFERROR(INDEX($U$3:$U$13,MATCH($D3,$P$3:$P$13,0)),"")</f>
      </c>
      <c r="M3" s="19">
        <f>IFERROR(SUM(J3:L3),"")</f>
      </c>
      <c r="P3" s="22" t="inlineStr">
        <is>
          <t>AEK</t>
        </is>
      </c>
      <c r="Q3" s="22" t="inlineStr">
        <is>
          <t>Atenas</t>
        </is>
      </c>
      <c r="R3" s="20">
        <v>80</v>
      </c>
      <c r="S3" s="21">
        <v>3</v>
      </c>
      <c r="T3" s="20">
        <v>40</v>
      </c>
      <c r="U3" s="20">
        <v>180</v>
      </c>
    </row>
    <row r="4" x14ac:dyDescent="0.35">
      <c r="A4" s="7">
        <v>4</v>
      </c>
      <c r="B4" s="8">
        <v>46330.875</v>
      </c>
      <c r="C4" s="9">
        <v>46330.875</v>
      </c>
      <c r="D4" s="10" t="s">
        <v>10</v>
      </c>
      <c r="E4" s="7" t="e" vm="9">
        <v>#VALUE!</v>
      </c>
      <c r="F4" s="15">
        <v>2</v>
      </c>
      <c r="G4" s="7" t="e" vm="17">
        <v>#VALUE!</v>
      </c>
      <c r="H4" s="11" t="s">
        <v>15</v>
      </c>
      <c r="I4" s="7">
        <f>IFERROR(INDEX($Q$3:$Q$13,MATCH($D4,$P$3:$P$13,0)),"")</f>
      </c>
      <c r="J4" s="17">
        <f>IFERROR(INDEX($R$3:$R$13,MATCH($D4,$P$3:$P$13,0))*INDEX($S$3:$S$13,MATCH($D4,$P$3:$P$13,0)),"")</f>
      </c>
      <c r="K4" s="17">
        <f>IFERROR(INDEX($T$3:$T$13,MATCH($D4,$P$3:$P$13,0)),"")</f>
      </c>
      <c r="L4" s="17">
        <f>IFERROR(INDEX($U$3:$U$13,MATCH($D4,$P$3:$P$13,0)),"")</f>
      </c>
      <c r="M4" s="19">
        <f>IFERROR(SUM(J4:L4),"")</f>
      </c>
      <c r="P4" s="22" t="inlineStr">
        <is>
          <t>Atlético Madrid</t>
        </is>
      </c>
      <c r="Q4" s="22" t="inlineStr">
        <is>
          <t>Madrid</t>
        </is>
      </c>
      <c r="R4" s="20">
        <v>120</v>
      </c>
      <c r="S4" s="21">
        <v>3</v>
      </c>
      <c r="T4" s="20">
        <v>80</v>
      </c>
      <c r="U4" s="20">
        <v>90</v>
      </c>
    </row>
    <row r="5" x14ac:dyDescent="0.35">
      <c r="A5" s="7">
        <v>4</v>
      </c>
      <c r="B5" s="8">
        <v>46330.875</v>
      </c>
      <c r="C5" s="9">
        <v>46330.875</v>
      </c>
      <c r="D5" s="10" t="s">
        <v>12</v>
      </c>
      <c r="E5" s="7" t="e" vm="19">
        <v>#VALUE!</v>
      </c>
      <c r="F5" s="15">
        <v>2</v>
      </c>
      <c r="G5" s="7" t="e" vm="20">
        <v>#VALUE!</v>
      </c>
      <c r="H5" s="11" t="s">
        <v>28</v>
      </c>
      <c r="I5" s="7">
        <f>IFERROR(INDEX($Q$3:$Q$13,MATCH($D5,$P$3:$P$13,0)),"")</f>
      </c>
      <c r="J5" s="17">
        <f>IFERROR(INDEX($R$3:$R$13,MATCH($D5,$P$3:$P$13,0))*INDEX($S$3:$S$13,MATCH($D5,$P$3:$P$13,0)),"")</f>
      </c>
      <c r="K5" s="17">
        <f>IFERROR(INDEX($T$3:$T$13,MATCH($D5,$P$3:$P$13,0)),"")</f>
      </c>
      <c r="L5" s="17">
        <f>IFERROR(INDEX($U$3:$U$13,MATCH($D5,$P$3:$P$13,0)),"")</f>
      </c>
      <c r="M5" s="19">
        <f>IFERROR(SUM(J5:L5),"")</f>
      </c>
      <c r="P5" s="22" t="inlineStr">
        <is>
          <t>Barcelona</t>
        </is>
      </c>
      <c r="Q5" s="22" t="inlineStr">
        <is>
          <t>Barcelona</t>
        </is>
      </c>
      <c r="R5" s="20">
        <v>0</v>
      </c>
      <c r="S5" s="21">
        <v>0</v>
      </c>
      <c r="T5" s="20">
        <v>90</v>
      </c>
      <c r="U5" s="20">
        <v>0</v>
      </c>
    </row>
    <row r="6" x14ac:dyDescent="0.35">
      <c r="A6" s="2">
        <v>5</v>
      </c>
      <c r="B6" s="3">
        <v>46351.875</v>
      </c>
      <c r="C6" s="4">
        <v>46351.875</v>
      </c>
      <c r="D6" s="5" t="s">
        <v>17</v>
      </c>
      <c r="E6" s="2" t="e" vm="22">
        <v>#VALUE!</v>
      </c>
      <c r="F6" s="15">
        <v>2</v>
      </c>
      <c r="G6" s="2" t="e" vm="23">
        <v>#VALUE!</v>
      </c>
      <c r="H6" s="6" t="s">
        <v>20</v>
      </c>
      <c r="I6" s="2">
        <f>IFERROR(INDEX($Q$3:$Q$13,MATCH($D6,$P$3:$P$13,0)),"")</f>
      </c>
      <c r="J6" s="16">
        <f>IFERROR(INDEX($R$3:$R$13,MATCH($D6,$P$3:$P$13,0))*INDEX($S$3:$S$13,MATCH($D6,$P$3:$P$13,0)),"")</f>
      </c>
      <c r="K6" s="16">
        <f>IFERROR(INDEX($T$3:$T$13,MATCH($D6,$P$3:$P$13,0)),"")</f>
      </c>
      <c r="L6" s="16">
        <f>IFERROR(INDEX($U$3:$U$13,MATCH($D6,$P$3:$P$13,0)),"")</f>
      </c>
      <c r="M6" s="18">
        <f>IFERROR(SUM(J6:L6),"")</f>
      </c>
      <c r="P6" s="22" t="inlineStr">
        <is>
          <t>Bayern München</t>
        </is>
      </c>
      <c r="Q6" s="22" t="inlineStr">
        <is>
          <t>Múnich</t>
        </is>
      </c>
      <c r="R6" s="20">
        <v>140</v>
      </c>
      <c r="S6" s="21">
        <v>3</v>
      </c>
      <c r="T6" s="20">
        <v>80</v>
      </c>
      <c r="U6" s="20">
        <v>150</v>
      </c>
    </row>
    <row r="7" x14ac:dyDescent="0.35">
      <c r="A7" s="2">
        <v>5</v>
      </c>
      <c r="B7" s="3">
        <v>46351.875</v>
      </c>
      <c r="C7" s="4">
        <v>46351.875</v>
      </c>
      <c r="D7" s="5" t="s">
        <v>26</v>
      </c>
      <c r="E7" s="2" t="e" vm="25">
        <v>#VALUE!</v>
      </c>
      <c r="F7" s="15">
        <v>2</v>
      </c>
      <c r="G7" s="2" t="e" vm="15">
        <v>#VALUE!</v>
      </c>
      <c r="H7" s="6" t="s">
        <v>38</v>
      </c>
      <c r="I7" s="2">
        <f>IFERROR(INDEX($Q$3:$Q$13,MATCH($D7,$P$3:$P$13,0)),"")</f>
      </c>
      <c r="J7" s="16">
        <f>IFERROR(INDEX($R$3:$R$13,MATCH($D7,$P$3:$P$13,0))*INDEX($S$3:$S$13,MATCH($D7,$P$3:$P$13,0)),"")</f>
      </c>
      <c r="K7" s="16">
        <f>IFERROR(INDEX($T$3:$T$13,MATCH($D7,$P$3:$P$13,0)),"")</f>
      </c>
      <c r="L7" s="16">
        <f>IFERROR(INDEX($U$3:$U$13,MATCH($D7,$P$3:$P$13,0)),"")</f>
      </c>
      <c r="M7" s="18">
        <f>IFERROR(SUM(J7:L7),"")</f>
      </c>
      <c r="P7" s="22" t="inlineStr">
        <is>
          <t>Betis</t>
        </is>
      </c>
      <c r="Q7" s="22" t="inlineStr">
        <is>
          <t>Sevilla</t>
        </is>
      </c>
      <c r="R7" s="20">
        <v>90</v>
      </c>
      <c r="S7" s="21">
        <v>3</v>
      </c>
      <c r="T7" s="20">
        <v>60</v>
      </c>
      <c r="U7" s="20">
        <v>90</v>
      </c>
    </row>
    <row r="8" x14ac:dyDescent="0.35">
      <c r="A8" s="7">
        <v>6</v>
      </c>
      <c r="B8" s="8">
        <v>46364.875</v>
      </c>
      <c r="C8" s="9">
        <v>46364.875</v>
      </c>
      <c r="D8" s="10" t="s">
        <v>6</v>
      </c>
      <c r="E8" s="7" t="e" vm="1">
        <v>#VALUE!</v>
      </c>
      <c r="F8" s="15">
        <v>2</v>
      </c>
      <c r="G8" s="7" t="e" vm="26">
        <v>#VALUE!</v>
      </c>
      <c r="H8" s="11" t="s">
        <v>27</v>
      </c>
      <c r="I8" s="7">
        <f>IFERROR(INDEX($Q$3:$Q$13,MATCH($D8,$P$3:$P$13,0)),"")</f>
      </c>
      <c r="J8" s="17">
        <f>IFERROR(INDEX($R$3:$R$13,MATCH($D8,$P$3:$P$13,0))*INDEX($S$3:$S$13,MATCH($D8,$P$3:$P$13,0)),"")</f>
      </c>
      <c r="K8" s="17">
        <f>IFERROR(INDEX($T$3:$T$13,MATCH($D8,$P$3:$P$13,0)),"")</f>
      </c>
      <c r="L8" s="17">
        <f>IFERROR(INDEX($U$3:$U$13,MATCH($D8,$P$3:$P$13,0)),"")</f>
      </c>
      <c r="M8" s="19">
        <f>IFERROR(SUM(J8:L8),"")</f>
      </c>
      <c r="P8" s="22" t="inlineStr">
        <is>
          <t>Borussia Dortmund</t>
        </is>
      </c>
      <c r="Q8" s="22" t="inlineStr">
        <is>
          <t>Dortmund</t>
        </is>
      </c>
      <c r="R8" s="20">
        <v>95</v>
      </c>
      <c r="S8" s="21">
        <v>3</v>
      </c>
      <c r="T8" s="20">
        <v>70</v>
      </c>
      <c r="U8" s="20">
        <v>160</v>
      </c>
    </row>
    <row r="9" x14ac:dyDescent="0.35">
      <c r="A9" s="7">
        <v>6</v>
      </c>
      <c r="B9" s="8">
        <v>46364.875</v>
      </c>
      <c r="C9" s="9">
        <v>46364.875</v>
      </c>
      <c r="D9" s="10" t="s">
        <v>36</v>
      </c>
      <c r="E9" s="7" t="e" vm="5">
        <v>#VALUE!</v>
      </c>
      <c r="F9" s="15">
        <v>1</v>
      </c>
      <c r="G9" s="7" t="e" vm="27">
        <v>#VALUE!</v>
      </c>
      <c r="H9" s="11" t="s">
        <v>40</v>
      </c>
      <c r="I9" s="7">
        <f>IFERROR(INDEX($Q$3:$Q$13,MATCH($D9,$P$3:$P$13,0)),"")</f>
      </c>
      <c r="J9" s="17">
        <f>IFERROR(INDEX($R$3:$R$13,MATCH($D9,$P$3:$P$13,0))*INDEX($S$3:$S$13,MATCH($D9,$P$3:$P$13,0)),"")</f>
      </c>
      <c r="K9" s="17">
        <f>IFERROR(INDEX($T$3:$T$13,MATCH($D9,$P$3:$P$13,0)),"")</f>
      </c>
      <c r="L9" s="17">
        <f>IFERROR(INDEX($U$3:$U$13,MATCH($D9,$P$3:$P$13,0)),"")</f>
      </c>
      <c r="M9" s="19">
        <f>IFERROR(SUM(J9:L9),"")</f>
      </c>
      <c r="P9" s="22" t="inlineStr">
        <is>
          <t>Inter Milan</t>
        </is>
      </c>
      <c r="Q9" s="22" t="inlineStr">
        <is>
          <t>Milán</t>
        </is>
      </c>
      <c r="R9" s="20">
        <v>130</v>
      </c>
      <c r="S9" s="21">
        <v>3</v>
      </c>
      <c r="T9" s="20">
        <v>90</v>
      </c>
      <c r="U9" s="20">
        <v>110</v>
      </c>
    </row>
    <row r="10" x14ac:dyDescent="0.35">
      <c r="A10" s="7">
        <v>6</v>
      </c>
      <c r="B10" s="8">
        <v>46364.875</v>
      </c>
      <c r="C10" s="9">
        <v>46364.875</v>
      </c>
      <c r="D10" s="10" t="s">
        <v>28</v>
      </c>
      <c r="E10" s="7" t="e" vm="20">
        <v>#VALUE!</v>
      </c>
      <c r="F10" s="15">
        <v>2</v>
      </c>
      <c r="G10" s="7" t="e" vm="29">
        <v>#VALUE!</v>
      </c>
      <c r="H10" s="11" t="s">
        <v>8</v>
      </c>
      <c r="I10" s="7">
        <f>IFERROR(INDEX($Q$3:$Q$13,MATCH($D10,$P$3:$P$13,0)),"")</f>
      </c>
      <c r="J10" s="17">
        <f>IFERROR(INDEX($R$3:$R$13,MATCH($D10,$P$3:$P$13,0))*INDEX($S$3:$S$13,MATCH($D10,$P$3:$P$13,0)),"")</f>
      </c>
      <c r="K10" s="17">
        <f>IFERROR(INDEX($T$3:$T$13,MATCH($D10,$P$3:$P$13,0)),"")</f>
      </c>
      <c r="L10" s="17">
        <f>IFERROR(INDEX($U$3:$U$13,MATCH($D10,$P$3:$P$13,0)),"")</f>
      </c>
      <c r="M10" s="19">
        <f>IFERROR(SUM(J10:L10),"")</f>
      </c>
      <c r="P10" s="22" t="inlineStr">
        <is>
          <t>Napoli</t>
        </is>
      </c>
      <c r="Q10" s="22" t="inlineStr">
        <is>
          <t>Nápoles</t>
        </is>
      </c>
      <c r="R10" s="20">
        <v>95</v>
      </c>
      <c r="S10" s="21">
        <v>3</v>
      </c>
      <c r="T10" s="20">
        <v>75</v>
      </c>
      <c r="U10" s="20">
        <v>130</v>
      </c>
    </row>
    <row r="11" x14ac:dyDescent="0.35">
      <c r="A11" s="7">
        <v>6</v>
      </c>
      <c r="B11" s="8">
        <v>46364.875</v>
      </c>
      <c r="C11" s="9">
        <v>46364.875</v>
      </c>
      <c r="D11" s="10" t="s">
        <v>31</v>
      </c>
      <c r="E11" s="7" t="e" vm="6">
        <v>#VALUE!</v>
      </c>
      <c r="F11" s="15">
        <v>2</v>
      </c>
      <c r="G11" s="7" t="e" vm="25">
        <v>#VALUE!</v>
      </c>
      <c r="H11" s="11" t="s">
        <v>26</v>
      </c>
      <c r="I11" s="7">
        <f>IFERROR(INDEX($Q$3:$Q$13,MATCH($D11,$P$3:$P$13,0)),"")</f>
      </c>
      <c r="J11" s="17">
        <f>IFERROR(INDEX($R$3:$R$13,MATCH($D11,$P$3:$P$13,0))*INDEX($S$3:$S$13,MATCH($D11,$P$3:$P$13,0)),"")</f>
      </c>
      <c r="K11" s="17">
        <f>IFERROR(INDEX($T$3:$T$13,MATCH($D11,$P$3:$P$13,0)),"")</f>
      </c>
      <c r="L11" s="17">
        <f>IFERROR(INDEX($U$3:$U$13,MATCH($D11,$P$3:$P$13,0)),"")</f>
      </c>
      <c r="M11" s="19">
        <f>IFERROR(SUM(J11:L11),"")</f>
      </c>
      <c r="P11" s="22" t="inlineStr">
        <is>
          <t>Porto</t>
        </is>
      </c>
      <c r="Q11" s="22" t="inlineStr">
        <is>
          <t>Oporto</t>
        </is>
      </c>
      <c r="R11" s="20">
        <v>90</v>
      </c>
      <c r="S11" s="21">
        <v>3</v>
      </c>
      <c r="T11" s="20">
        <v>50</v>
      </c>
      <c r="U11" s="20">
        <v>90</v>
      </c>
    </row>
    <row r="12" x14ac:dyDescent="0.35">
      <c r="A12" s="7">
        <v>6</v>
      </c>
      <c r="B12" s="8">
        <v>46365.78125</v>
      </c>
      <c r="C12" s="9">
        <v>46365.78125</v>
      </c>
      <c r="D12" s="10" t="s">
        <v>15</v>
      </c>
      <c r="E12" s="7" t="e" vm="17">
        <v>#VALUE!</v>
      </c>
      <c r="F12" s="15">
        <v>2</v>
      </c>
      <c r="G12" s="7" t="e" vm="30">
        <v>#VALUE!</v>
      </c>
      <c r="H12" s="11" t="s">
        <v>34</v>
      </c>
      <c r="I12" s="7">
        <f>IFERROR(INDEX($Q$3:$Q$13,MATCH($D12,$P$3:$P$13,0)),"")</f>
      </c>
      <c r="J12" s="17">
        <f>IFERROR(INDEX($R$3:$R$13,MATCH($D12,$P$3:$P$13,0))*INDEX($S$3:$S$13,MATCH($D12,$P$3:$P$13,0)),"")</f>
      </c>
      <c r="K12" s="17">
        <f>IFERROR(INDEX($T$3:$T$13,MATCH($D12,$P$3:$P$13,0)),"")</f>
      </c>
      <c r="L12" s="17">
        <f>IFERROR(INDEX($U$3:$U$13,MATCH($D12,$P$3:$P$13,0)),"")</f>
      </c>
      <c r="M12" s="19">
        <f>IFERROR(SUM(J12:L12),"")</f>
      </c>
      <c r="P12" s="22" t="inlineStr">
        <is>
          <t>Roma</t>
        </is>
      </c>
      <c r="Q12" s="22" t="inlineStr">
        <is>
          <t>Roma</t>
        </is>
      </c>
      <c r="R12" s="20">
        <v>120</v>
      </c>
      <c r="S12" s="21">
        <v>3</v>
      </c>
      <c r="T12" s="20">
        <v>80</v>
      </c>
      <c r="U12" s="20">
        <v>120</v>
      </c>
    </row>
    <row r="13" x14ac:dyDescent="0.35">
      <c r="A13" s="7">
        <v>6</v>
      </c>
      <c r="B13" s="8">
        <v>46365.875</v>
      </c>
      <c r="C13" s="9">
        <v>46365.875</v>
      </c>
      <c r="D13" s="10" t="s">
        <v>10</v>
      </c>
      <c r="E13" s="7" t="e" vm="9">
        <v>#VALUE!</v>
      </c>
      <c r="F13" s="15">
        <v>2</v>
      </c>
      <c r="G13" s="7" t="e" vm="22">
        <v>#VALUE!</v>
      </c>
      <c r="H13" s="11" t="s">
        <v>17</v>
      </c>
      <c r="I13" s="7">
        <f>IFERROR(INDEX($Q$3:$Q$13,MATCH($D13,$P$3:$P$13,0)),"")</f>
      </c>
      <c r="J13" s="17">
        <f>IFERROR(INDEX($R$3:$R$13,MATCH($D13,$P$3:$P$13,0))*INDEX($S$3:$S$13,MATCH($D13,$P$3:$P$13,0)),"")</f>
      </c>
      <c r="K13" s="17">
        <f>IFERROR(INDEX($T$3:$T$13,MATCH($D13,$P$3:$P$13,0)),"")</f>
      </c>
      <c r="L13" s="17">
        <f>IFERROR(INDEX($U$3:$U$13,MATCH($D13,$P$3:$P$13,0)),"")</f>
      </c>
      <c r="M13" s="19">
        <f>IFERROR(SUM(J13:L13),"")</f>
      </c>
      <c r="P13" s="22" t="inlineStr">
        <is>
          <t>Sporting Portugal</t>
        </is>
      </c>
      <c r="Q13" s="22" t="inlineStr">
        <is>
          <t>Lisboa</t>
        </is>
      </c>
      <c r="R13" s="20">
        <v>100</v>
      </c>
      <c r="S13" s="21">
        <v>3</v>
      </c>
      <c r="T13" s="20">
        <v>45</v>
      </c>
      <c r="U13" s="20">
        <v>100</v>
      </c>
    </row>
    <row r="14" x14ac:dyDescent="0.35">
      <c r="A14" s="2">
        <v>7</v>
      </c>
      <c r="B14" s="3">
        <v>46406.875</v>
      </c>
      <c r="C14" s="4">
        <v>46406.875</v>
      </c>
      <c r="D14" s="5" t="s">
        <v>12</v>
      </c>
      <c r="E14" s="2" t="e" vm="19">
        <v>#VALUE!</v>
      </c>
      <c r="F14" s="15">
        <v>2</v>
      </c>
      <c r="G14" s="2" t="e" vm="27">
        <v>#VALUE!</v>
      </c>
      <c r="H14" s="6" t="s">
        <v>40</v>
      </c>
      <c r="I14" s="2">
        <f>IFERROR(INDEX($Q$3:$Q$13,MATCH($D14,$P$3:$P$13,0)),"")</f>
      </c>
      <c r="J14" s="16">
        <f>IFERROR(INDEX($R$3:$R$13,MATCH($D14,$P$3:$P$13,0))*INDEX($S$3:$S$13,MATCH($D14,$P$3:$P$13,0)),"")</f>
      </c>
      <c r="K14" s="16">
        <f>IFERROR(INDEX($T$3:$T$13,MATCH($D14,$P$3:$P$13,0)),"")</f>
      </c>
      <c r="L14" s="16">
        <f>IFERROR(INDEX($U$3:$U$13,MATCH($D14,$P$3:$P$13,0)),"")</f>
      </c>
      <c r="M14" s="18">
        <f>IFERROR(SUM(J14:L14),"")</f>
      </c>
    </row>
    <row r="15" x14ac:dyDescent="0.35">
      <c r="A15" s="7">
        <v>8</v>
      </c>
      <c r="B15" s="8">
        <v>46414.875</v>
      </c>
      <c r="C15" s="9">
        <v>46414.875</v>
      </c>
      <c r="D15" s="10" t="s">
        <v>23</v>
      </c>
      <c r="E15" s="7" t="e" vm="4">
        <v>#VALUE!</v>
      </c>
      <c r="F15" s="15">
        <v>2</v>
      </c>
      <c r="G15" s="7" t="e" vm="12">
        <v>#VALUE!</v>
      </c>
      <c r="H15" s="11" t="s">
        <v>30</v>
      </c>
      <c r="I15" s="7">
        <f>IFERROR(INDEX($Q$3:$Q$13,MATCH($D15,$P$3:$P$13,0)),"")</f>
      </c>
      <c r="J15" s="17">
        <f>IFERROR(INDEX($R$3:$R$13,MATCH($D15,$P$3:$P$13,0))*INDEX($S$3:$S$13,MATCH($D15,$P$3:$P$13,0)),"")</f>
      </c>
      <c r="K15" s="17">
        <f>IFERROR(INDEX($T$3:$T$13,MATCH($D15,$P$3:$P$13,0)),"")</f>
      </c>
      <c r="L15" s="17">
        <f>IFERROR(INDEX($U$3:$U$13,MATCH($D15,$P$3:$P$13,0)),"")</f>
      </c>
      <c r="M15" s="19">
        <f>IFERROR(SUM(J15:L15),"")</f>
      </c>
      <c r="P15" s="22" t="inlineStr">
        <is>
          <t>Total si fuéramos a los 18 partidos</t>
        </is>
      </c>
      <c r="Q15" s="18">
        <f>SUM(M2:M19)</f>
      </c>
    </row>
    <row r="16" x14ac:dyDescent="0.35">
      <c r="A16" s="7">
        <v>8</v>
      </c>
      <c r="B16" s="8">
        <v>46414.875</v>
      </c>
      <c r="C16" s="9">
        <v>46414.875</v>
      </c>
      <c r="D16" s="10" t="s">
        <v>18</v>
      </c>
      <c r="E16" s="7" t="e" vm="16">
        <v>#VALUE!</v>
      </c>
      <c r="F16" s="15">
        <v>1</v>
      </c>
      <c r="G16" s="7" t="e" vm="30">
        <v>#VALUE!</v>
      </c>
      <c r="H16" s="11" t="s">
        <v>34</v>
      </c>
      <c r="I16" s="7">
        <f>IFERROR(INDEX($Q$3:$Q$13,MATCH($D16,$P$3:$P$13,0)),"")</f>
      </c>
      <c r="J16" s="17">
        <f>IFERROR(INDEX($R$3:$R$13,MATCH($D16,$P$3:$P$13,0))*INDEX($S$3:$S$13,MATCH($D16,$P$3:$P$13,0)),"")</f>
      </c>
      <c r="K16" s="17">
        <f>IFERROR(INDEX($T$3:$T$13,MATCH($D16,$P$3:$P$13,0)),"")</f>
      </c>
      <c r="L16" s="17">
        <f>IFERROR(INDEX($U$3:$U$13,MATCH($D16,$P$3:$P$13,0)),"")</f>
      </c>
      <c r="M16" s="19">
        <f>IFERROR(SUM(J16:L16),"")</f>
      </c>
      <c r="P16" s="22" t="inlineStr">
        <is>
          <t>Total de los partidos con "ir" = 2</t>
        </is>
      </c>
      <c r="Q16" s="18">
        <f>SUMIF($F$2:$F$19,2,$M$2:$M$19)</f>
      </c>
    </row>
    <row r="17" x14ac:dyDescent="0.35">
      <c r="A17" s="7">
        <v>8</v>
      </c>
      <c r="B17" s="8">
        <v>46414.875</v>
      </c>
      <c r="C17" s="9">
        <v>46414.875</v>
      </c>
      <c r="D17" s="10" t="s">
        <v>36</v>
      </c>
      <c r="E17" s="7" t="e" vm="5">
        <v>#VALUE!</v>
      </c>
      <c r="F17" s="15">
        <v>2</v>
      </c>
      <c r="G17" s="7" t="e" vm="17">
        <v>#VALUE!</v>
      </c>
      <c r="H17" s="11" t="s">
        <v>15</v>
      </c>
      <c r="I17" s="7">
        <f>IFERROR(INDEX($Q$3:$Q$13,MATCH($D17,$P$3:$P$13,0)),"")</f>
      </c>
      <c r="J17" s="17">
        <f>IFERROR(INDEX($R$3:$R$13,MATCH($D17,$P$3:$P$13,0))*INDEX($S$3:$S$13,MATCH($D17,$P$3:$P$13,0)),"")</f>
      </c>
      <c r="K17" s="17">
        <f>IFERROR(INDEX($T$3:$T$13,MATCH($D17,$P$3:$P$13,0)),"")</f>
      </c>
      <c r="L17" s="17">
        <f>IFERROR(INDEX($U$3:$U$13,MATCH($D17,$P$3:$P$13,0)),"")</f>
      </c>
      <c r="M17" s="19">
        <f>IFERROR(SUM(J17:L17),"")</f>
      </c>
      <c r="P17" s="22" t="inlineStr">
        <is>
          <t>Total de los partidos con "ir" = 1</t>
        </is>
      </c>
      <c r="Q17" s="18">
        <f>SUMIF($F$2:$F$19,1,$M$2:$M$19)</f>
      </c>
    </row>
    <row r="18" x14ac:dyDescent="0.35">
      <c r="A18" s="7">
        <v>8</v>
      </c>
      <c r="B18" s="8">
        <v>46414.875</v>
      </c>
      <c r="C18" s="9">
        <v>46414.875</v>
      </c>
      <c r="D18" s="10" t="s">
        <v>10</v>
      </c>
      <c r="E18" s="7" t="e" vm="9">
        <v>#VALUE!</v>
      </c>
      <c r="F18" s="15">
        <v>2</v>
      </c>
      <c r="G18" s="7" t="e" vm="1">
        <v>#VALUE!</v>
      </c>
      <c r="H18" s="11" t="s">
        <v>6</v>
      </c>
      <c r="I18" s="7">
        <f>IFERROR(INDEX($Q$3:$Q$13,MATCH($D18,$P$3:$P$13,0)),"")</f>
      </c>
      <c r="J18" s="17">
        <f>IFERROR(INDEX($R$3:$R$13,MATCH($D18,$P$3:$P$13,0))*INDEX($S$3:$S$13,MATCH($D18,$P$3:$P$13,0)),"")</f>
      </c>
      <c r="K18" s="17">
        <f>IFERROR(INDEX($T$3:$T$13,MATCH($D18,$P$3:$P$13,0)),"")</f>
      </c>
      <c r="L18" s="17">
        <f>IFERROR(INDEX($U$3:$U$13,MATCH($D18,$P$3:$P$13,0)),"")</f>
      </c>
      <c r="M18" s="19">
        <f>IFERROR(SUM(J18:L18),"")</f>
      </c>
    </row>
    <row r="19" x14ac:dyDescent="0.35">
      <c r="A19" s="7">
        <v>8</v>
      </c>
      <c r="B19" s="8">
        <v>46414.875</v>
      </c>
      <c r="C19" s="9">
        <v>46414.875</v>
      </c>
      <c r="D19" s="10" t="s">
        <v>31</v>
      </c>
      <c r="E19" s="7" t="e" vm="6">
        <v>#VALUE!</v>
      </c>
      <c r="F19" s="15">
        <v>2</v>
      </c>
      <c r="G19" s="7" t="e" vm="8">
        <v>#VALUE!</v>
      </c>
      <c r="H19" s="11" t="s">
        <v>14</v>
      </c>
      <c r="I19" s="7">
        <f>IFERROR(INDEX($Q$3:$Q$13,MATCH($D19,$P$3:$P$13,0)),"")</f>
      </c>
      <c r="J19" s="17">
        <f>IFERROR(INDEX($R$3:$R$13,MATCH($D19,$P$3:$P$13,0))*INDEX($S$3:$S$13,MATCH($D19,$P$3:$P$13,0)),"")</f>
      </c>
      <c r="K19" s="17">
        <f>IFERROR(INDEX($T$3:$T$13,MATCH($D19,$P$3:$P$13,0)),"")</f>
      </c>
      <c r="L19" s="17">
        <f>IFERROR(INDEX($U$3:$U$13,MATCH($D19,$P$3:$P$13,0)),"")</f>
      </c>
      <c r="M19" s="19">
        <f>IFERROR(SUM(J19:L19),"")</f>
      </c>
      <c r="P19" s="13" t="inlineStr">
        <is>
          <t>Estimaciones orientativas por persona: 3 noches de hotel entre semana, entrada de fase liga y vuelo ida y vuelta.</t>
        </is>
      </c>
    </row>
    <row r="20" x14ac:dyDescent="0.35">
      <c r="A20" s="12" t="s">
        <v>42</v>
      </c>
      <c r="F20" s="15">
        <v>1</v>
      </c>
      <c r="P20" s="13" t="inlineStr">
        <is>
          <t>Barcelona va a 0 en hotel y en vuelo porque vivimos allí; solo cuenta la entrada.</t>
        </is>
      </c>
    </row>
    <row r="21" x14ac:dyDescent="0.35">
      <c r="A21" s="13" t="s">
        <v>43</v>
      </c>
      <c r="F21" s="15">
        <v>2</v>
      </c>
      <c r="P21" s="13" t="inlineStr">
        <is>
          <t>No son precios consultados en tiempo real. Cambia los valores en azul y el resto se recalcula solo.</t>
        </is>
      </c>
    </row>
    <row r="22" x14ac:dyDescent="0.35">
      <c r="A22" s="13" t="s">
        <v>44</v>
      </c>
      <c r="F22" s="14"/>
    </row>
    <row r="23" x14ac:dyDescent="0.35">
      <c r="A23" s="13" t="s">
        <v>45</v>
      </c>
      <c r="F23" s="14"/>
    </row>
    <row r="24" x14ac:dyDescent="0.35">
      <c r="A24" s="13" t="s">
        <v>46</v>
      </c>
      <c r="F24" s="14"/>
    </row>
    <row r="25" x14ac:dyDescent="0.35">
      <c r="A25" s="13" t="s">
        <v>47</v>
      </c>
      <c r="F25" s="14"/>
    </row>
  </sheetData>
  <conditionalFormatting sqref="F2:F21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chosen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German Alonso</cp:lastModifiedBy>
  <dcterms:created xsi:type="dcterms:W3CDTF">2026-08-30T10:02:03Z</dcterms:created>
  <dcterms:modified xsi:type="dcterms:W3CDTF">2026-08-30T10:30:38Z</dcterms:modified>
</cp:coreProperties>
</file>