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166925"/>
  <mc:AlternateContent xmlns:mc="http://schemas.openxmlformats.org/markup-compatibility/2006">
    <mc:Choice Requires="x15">
      <x15ac:absPath xmlns:x15ac="http://schemas.microsoft.com/office/spreadsheetml/2010/11/ac" url="/Users/Mat/Documents/NASMACMAT/Excel Champions/2026-2027/SUBIR/"/>
    </mc:Choice>
  </mc:AlternateContent>
  <xr:revisionPtr revIDLastSave="0" documentId="13_ncr:1_{778BE134-CE39-304C-8956-7C7FADA093AB}" xr6:coauthVersionLast="47" xr6:coauthVersionMax="47" xr10:uidLastSave="{00000000-0000-0000-0000-000000000000}"/>
  <workbookProtection workbookAlgorithmName="SHA-512" workbookHashValue="g/FrUK7bEuUCMxDHD0XvuXRXf53vM0v3ufhO71O974pyrXZbeeyVDGgJkcWNf6YlE72iYHCURDB2TVKSX7VyXA==" workbookSaltValue="xSMD0cQSamuQw7lO19pbdQ==" workbookSpinCount="100000" lockStructure="1"/>
  <bookViews>
    <workbookView xWindow="0" yWindow="500" windowWidth="28800" windowHeight="15840" tabRatio="834" xr2:uid="{EF1C97E3-5DDB-9642-AC66-D05EBAA1DEBF}"/>
  </bookViews>
  <sheets>
    <sheet name="Home" sheetId="37" r:id="rId1"/>
    <sheet name="Predictor" sheetId="33" r:id="rId2"/>
    <sheet name="League" sheetId="10" r:id="rId3"/>
    <sheet name="KO" sheetId="27" r:id="rId4"/>
    <sheet name="Pool Predictor" sheetId="34" r:id="rId5"/>
    <sheet name="Pool League" sheetId="28" r:id="rId6"/>
    <sheet name="Pool KO" sheetId="36" r:id="rId7"/>
    <sheet name="Credits" sheetId="9" r:id="rId8"/>
    <sheet name="Horarios" sheetId="25" state="veryHidden" r:id="rId9"/>
    <sheet name="Calcs" sheetId="11" state="veryHidden" r:id="rId10"/>
    <sheet name="Teams" sheetId="1" state="veryHidden" r:id="rId11"/>
    <sheet name="Idiomas" sheetId="24" state="veryHidden" r:id="rId12"/>
    <sheet name="Data" sheetId="39" state="veryHidden" r:id="rId13"/>
  </sheets>
  <definedNames>
    <definedName name="_xlnm._FilterDatabase" localSheetId="8" hidden="1">Horarios!$Q$2:$Q$57</definedName>
    <definedName name="_xlnm._FilterDatabase" localSheetId="2" hidden="1">League!$A$1:$AN$147</definedName>
    <definedName name="_xlnm._FilterDatabase" localSheetId="10" hidden="1">Teams!$K$1:$L$37</definedName>
    <definedName name="badge_away">IFERROR(IF(TYPE(Teams!$B$2)=128,INDEX(TablaEquipos[Badge],MATCH(League!B1,TablaEquipos[Team],0)),""),"")</definedName>
    <definedName name="badge_home">IFERROR(IF(TYPE(Teams!$B$2)=128,INDEX(TablaEquipos[Badge],MATCH(League!XFD1,TablaEquipos[Team],0)),""),"")</definedName>
    <definedName name="badge_ko">IFERROR(IF(TYPE(Teams!$B$2)=128,INDEX(TablaEquipos[Badge],MATCH(KO!B1,TablaEquipos[Team],0)),""),"")</definedName>
    <definedName name="DatosExternos_1" localSheetId="12" hidden="1">Data!$A$1:$AR$36</definedName>
    <definedName name="Equipo_local">League!$D$2:$D$145</definedName>
    <definedName name="Equipo_visitante">League!$K$2:$K$145</definedName>
    <definedName name="Ganador">League!$BF$2:$BF$145</definedName>
    <definedName name="Goles_local">League!$G$2:$G$145</definedName>
    <definedName name="Goles_visitante">League!$H$2:$H$145</definedName>
    <definedName name="Jornada">League!$A$2:$A$145</definedName>
    <definedName name="NombreEquipo" localSheetId="6">TablaEquipos[Team]</definedName>
    <definedName name="NombreEquipo" localSheetId="4">TablaEquipos[Team]</definedName>
    <definedName name="NombreEquipo" localSheetId="1">TablaEquipos[Team]</definedName>
    <definedName name="NombreEquipo">TablaEquipos[Team]</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10" l="1"/>
  <c r="AP19" i="27" l="1"/>
  <c r="V31" i="27"/>
  <c r="V24" i="27"/>
  <c r="AD27" i="27" s="1"/>
  <c r="V23" i="27"/>
  <c r="V16" i="27"/>
  <c r="AD12" i="27" s="1"/>
  <c r="AL18" i="27" s="1"/>
  <c r="V15" i="27"/>
  <c r="V8" i="27"/>
  <c r="AD11" i="27" s="1"/>
  <c r="V7" i="27"/>
  <c r="C21" i="36"/>
  <c r="C19" i="36"/>
  <c r="AL19" i="27" l="1"/>
  <c r="AC4" i="25"/>
  <c r="AC5" i="25"/>
  <c r="AC6" i="25"/>
  <c r="AC7" i="25"/>
  <c r="AC8" i="25"/>
  <c r="AC9" i="25"/>
  <c r="AC10" i="25"/>
  <c r="AC11" i="25"/>
  <c r="AC12" i="25"/>
  <c r="AC13" i="25"/>
  <c r="AC14" i="25"/>
  <c r="AC15" i="25"/>
  <c r="AC16" i="25"/>
  <c r="AC17" i="25"/>
  <c r="AC18" i="25"/>
  <c r="AC19" i="25"/>
  <c r="AC20" i="25"/>
  <c r="AC21" i="25"/>
  <c r="AC22" i="25"/>
  <c r="AC23" i="25"/>
  <c r="AC24" i="25"/>
  <c r="AC25" i="25"/>
  <c r="AC26" i="25"/>
  <c r="AC27" i="25"/>
  <c r="AC28" i="25"/>
  <c r="AC29" i="25"/>
  <c r="AC30" i="25"/>
  <c r="AC31" i="25"/>
  <c r="AC32" i="25"/>
  <c r="AC33" i="25"/>
  <c r="AC34" i="25"/>
  <c r="AC35" i="25"/>
  <c r="AC36" i="25"/>
  <c r="AC37" i="25"/>
  <c r="AC38" i="25"/>
  <c r="AC39" i="25"/>
  <c r="AC40" i="25"/>
  <c r="AC41" i="25"/>
  <c r="AC42" i="25"/>
  <c r="AC43" i="25"/>
  <c r="AC44" i="25"/>
  <c r="AC45" i="25"/>
  <c r="AC46" i="25"/>
  <c r="AC47" i="25"/>
  <c r="AC48" i="25"/>
  <c r="AC49" i="25"/>
  <c r="AC50" i="25"/>
  <c r="AC51" i="25"/>
  <c r="AC52" i="25"/>
  <c r="AC53" i="25"/>
  <c r="AC54" i="25"/>
  <c r="AC55" i="25"/>
  <c r="AC56" i="25"/>
  <c r="AC57" i="25"/>
  <c r="AC58" i="25"/>
  <c r="AC59" i="25"/>
  <c r="AC60" i="25"/>
  <c r="AC61" i="25"/>
  <c r="AC62" i="25"/>
  <c r="AC63" i="25"/>
  <c r="AC64" i="25"/>
  <c r="AC65" i="25"/>
  <c r="AC66" i="25"/>
  <c r="AC67" i="25"/>
  <c r="AC68" i="25"/>
  <c r="AC69" i="25"/>
  <c r="AC70" i="25"/>
  <c r="AC71" i="25"/>
  <c r="AC72" i="25"/>
  <c r="AC73" i="25"/>
  <c r="AC74" i="25"/>
  <c r="AC75" i="25"/>
  <c r="AC76" i="25"/>
  <c r="AC77" i="25"/>
  <c r="AC78" i="25"/>
  <c r="AC79" i="25"/>
  <c r="AC80" i="25"/>
  <c r="AC81" i="25"/>
  <c r="AC82" i="25"/>
  <c r="AC83" i="25"/>
  <c r="AC84" i="25"/>
  <c r="AC85" i="25"/>
  <c r="AC86" i="25"/>
  <c r="AC87" i="25"/>
  <c r="AC88" i="25"/>
  <c r="AC89" i="25"/>
  <c r="AC90" i="25"/>
  <c r="AC91" i="25"/>
  <c r="AC92" i="25"/>
  <c r="AC93" i="25"/>
  <c r="AC3" i="25"/>
  <c r="H9" i="24" l="1"/>
  <c r="G9" i="24"/>
  <c r="B2" i="24" l="1"/>
  <c r="AG28" i="27"/>
  <c r="AL20" i="27" s="1"/>
  <c r="AG27" i="27"/>
  <c r="AG12" i="27"/>
  <c r="AG11" i="27"/>
  <c r="Y32" i="27"/>
  <c r="Y31" i="27"/>
  <c r="Y24" i="27"/>
  <c r="Y23" i="27"/>
  <c r="Y16" i="27"/>
  <c r="Y15" i="27"/>
  <c r="Y8" i="27"/>
  <c r="Y7" i="27"/>
  <c r="Q34" i="27"/>
  <c r="Q33" i="27"/>
  <c r="V32" i="27" s="1"/>
  <c r="AD28" i="27" s="1"/>
  <c r="Q30" i="27"/>
  <c r="Q29" i="27"/>
  <c r="Q26" i="27"/>
  <c r="Q25" i="27"/>
  <c r="Q22" i="27"/>
  <c r="Q21" i="27"/>
  <c r="Q18" i="27"/>
  <c r="Q17" i="27"/>
  <c r="Q14" i="27"/>
  <c r="Q13" i="27"/>
  <c r="Q10" i="27"/>
  <c r="Q9" i="27"/>
  <c r="Q6" i="27"/>
  <c r="Q5" i="27"/>
  <c r="I33" i="27"/>
  <c r="I32" i="27"/>
  <c r="N33" i="27" s="1"/>
  <c r="I29" i="27"/>
  <c r="I28" i="27"/>
  <c r="N29" i="27" s="1"/>
  <c r="I25" i="27"/>
  <c r="I24" i="27"/>
  <c r="N25" i="27" s="1"/>
  <c r="I21" i="27"/>
  <c r="I20" i="27"/>
  <c r="N21" i="27" s="1"/>
  <c r="B46" i="36" s="1"/>
  <c r="I17" i="27"/>
  <c r="I16" i="27"/>
  <c r="N17" i="27" s="1"/>
  <c r="B37" i="36" s="1"/>
  <c r="I13" i="27"/>
  <c r="I12" i="27"/>
  <c r="N13" i="27" s="1"/>
  <c r="I9" i="27"/>
  <c r="I8" i="27"/>
  <c r="N9" i="27" s="1"/>
  <c r="I5" i="27"/>
  <c r="N5" i="27" s="1"/>
  <c r="I4" i="27"/>
  <c r="C88" i="36"/>
  <c r="C81" i="36"/>
  <c r="C80" i="36"/>
  <c r="D314" i="24"/>
  <c r="C79" i="36"/>
  <c r="C78" i="36"/>
  <c r="C69" i="36"/>
  <c r="C68" i="36"/>
  <c r="C67" i="36"/>
  <c r="C66" i="36"/>
  <c r="C65" i="36"/>
  <c r="C64" i="36"/>
  <c r="C63" i="36"/>
  <c r="C62" i="36"/>
  <c r="C49" i="36"/>
  <c r="C48" i="36"/>
  <c r="C47" i="36"/>
  <c r="C46" i="36"/>
  <c r="C45" i="36"/>
  <c r="C44" i="36"/>
  <c r="C43" i="36"/>
  <c r="C42" i="36"/>
  <c r="C41" i="36"/>
  <c r="C40" i="36"/>
  <c r="C39" i="36"/>
  <c r="C38" i="36"/>
  <c r="C37" i="36"/>
  <c r="C36" i="36"/>
  <c r="C35" i="36"/>
  <c r="C34" i="36"/>
  <c r="C15" i="36"/>
  <c r="C20" i="36"/>
  <c r="C18" i="36"/>
  <c r="C17" i="36"/>
  <c r="C16" i="36"/>
  <c r="C14" i="36"/>
  <c r="C13" i="36"/>
  <c r="C12" i="36"/>
  <c r="C11" i="36"/>
  <c r="C10" i="36"/>
  <c r="C9" i="36"/>
  <c r="C8" i="36"/>
  <c r="C7" i="36"/>
  <c r="C6" i="36"/>
  <c r="B21" i="36"/>
  <c r="B20" i="36"/>
  <c r="B19" i="36"/>
  <c r="B18" i="36"/>
  <c r="B17" i="36"/>
  <c r="B16" i="36"/>
  <c r="B15" i="36"/>
  <c r="B14" i="36"/>
  <c r="B13" i="36"/>
  <c r="B12" i="36"/>
  <c r="B11" i="36"/>
  <c r="B10" i="36"/>
  <c r="B9" i="36"/>
  <c r="B8" i="36"/>
  <c r="B7" i="36"/>
  <c r="B6" i="36"/>
  <c r="C7" i="34"/>
  <c r="C41" i="34"/>
  <c r="C40" i="34"/>
  <c r="C39" i="34"/>
  <c r="C38" i="34"/>
  <c r="C37" i="34"/>
  <c r="C36" i="34"/>
  <c r="C35" i="34"/>
  <c r="C34" i="34"/>
  <c r="C33" i="34"/>
  <c r="C32" i="34"/>
  <c r="C31" i="34"/>
  <c r="C30" i="34"/>
  <c r="C29" i="34"/>
  <c r="C28" i="34"/>
  <c r="C27" i="34"/>
  <c r="C26" i="34"/>
  <c r="C25" i="34"/>
  <c r="C24" i="34"/>
  <c r="C23" i="34"/>
  <c r="C22" i="34"/>
  <c r="C21" i="34"/>
  <c r="C20" i="34"/>
  <c r="C19" i="34"/>
  <c r="C18" i="34"/>
  <c r="C17" i="34"/>
  <c r="C16" i="34"/>
  <c r="C15" i="34"/>
  <c r="C14" i="34"/>
  <c r="C13" i="34"/>
  <c r="C12" i="34"/>
  <c r="C11" i="34"/>
  <c r="C10" i="34"/>
  <c r="C9" i="34"/>
  <c r="C8" i="34"/>
  <c r="R3" i="33"/>
  <c r="R4" i="33"/>
  <c r="R5" i="33"/>
  <c r="R6" i="33"/>
  <c r="R7" i="33"/>
  <c r="R8" i="33"/>
  <c r="R9" i="33"/>
  <c r="R10" i="33"/>
  <c r="R11" i="33"/>
  <c r="R12" i="33"/>
  <c r="R13" i="33"/>
  <c r="R14" i="33"/>
  <c r="R15" i="33"/>
  <c r="R16" i="33"/>
  <c r="R17" i="33"/>
  <c r="R18" i="33"/>
  <c r="R19" i="33"/>
  <c r="R20" i="33"/>
  <c r="R21" i="33"/>
  <c r="R22" i="33"/>
  <c r="R23" i="33"/>
  <c r="R24" i="33"/>
  <c r="R25" i="33"/>
  <c r="R26" i="33"/>
  <c r="R27" i="33"/>
  <c r="R28" i="33"/>
  <c r="R29" i="33"/>
  <c r="R30" i="33"/>
  <c r="R31" i="33"/>
  <c r="R32" i="33"/>
  <c r="R33" i="33"/>
  <c r="R34" i="33"/>
  <c r="R35" i="33"/>
  <c r="R36" i="33"/>
  <c r="R37" i="33"/>
  <c r="BF50" i="10"/>
  <c r="BF77" i="10"/>
  <c r="BF131" i="10"/>
  <c r="BF25" i="10"/>
  <c r="BF4" i="10"/>
  <c r="BF5" i="10"/>
  <c r="BF6" i="10"/>
  <c r="BF7" i="10"/>
  <c r="BF8" i="10"/>
  <c r="BF9" i="10"/>
  <c r="BF10" i="10"/>
  <c r="BF11" i="10"/>
  <c r="BF12" i="10"/>
  <c r="BF13" i="10"/>
  <c r="BF14" i="10"/>
  <c r="BF15" i="10"/>
  <c r="BF16" i="10"/>
  <c r="BF17" i="10"/>
  <c r="BF18" i="10"/>
  <c r="BF19" i="10"/>
  <c r="BF20" i="10"/>
  <c r="BF21" i="10"/>
  <c r="BF22" i="10"/>
  <c r="BF23" i="10"/>
  <c r="BF24" i="10"/>
  <c r="BF26" i="10"/>
  <c r="BF27" i="10"/>
  <c r="BF28" i="10"/>
  <c r="BF29" i="10"/>
  <c r="BF30" i="10"/>
  <c r="BF31" i="10"/>
  <c r="BF32" i="10"/>
  <c r="BF33" i="10"/>
  <c r="BF34" i="10"/>
  <c r="BF35" i="10"/>
  <c r="BF36" i="10"/>
  <c r="BF37" i="10"/>
  <c r="BF38" i="10"/>
  <c r="BF39" i="10"/>
  <c r="BF40" i="10"/>
  <c r="BF41" i="10"/>
  <c r="BF42" i="10"/>
  <c r="BF43" i="10"/>
  <c r="BF44" i="10"/>
  <c r="BF45" i="10"/>
  <c r="BF46" i="10"/>
  <c r="BF47" i="10"/>
  <c r="BF48" i="10"/>
  <c r="BF49" i="10"/>
  <c r="BF51" i="10"/>
  <c r="BF52" i="10"/>
  <c r="BF53" i="10"/>
  <c r="BF54" i="10"/>
  <c r="BF55" i="10"/>
  <c r="BF56" i="10"/>
  <c r="BF57" i="10"/>
  <c r="BF58" i="10"/>
  <c r="BF59" i="10"/>
  <c r="BF60" i="10"/>
  <c r="BF61" i="10"/>
  <c r="BF62" i="10"/>
  <c r="BF63" i="10"/>
  <c r="BF64" i="10"/>
  <c r="BF65" i="10"/>
  <c r="BF66" i="10"/>
  <c r="BF67" i="10"/>
  <c r="BF68" i="10"/>
  <c r="BF69" i="10"/>
  <c r="BF70" i="10"/>
  <c r="BF71" i="10"/>
  <c r="BF72" i="10"/>
  <c r="BF73" i="10"/>
  <c r="BF74" i="10"/>
  <c r="BF75" i="10"/>
  <c r="BF76" i="10"/>
  <c r="BF78" i="10"/>
  <c r="BF79" i="10"/>
  <c r="BF80" i="10"/>
  <c r="BF81" i="10"/>
  <c r="BF82" i="10"/>
  <c r="BF83" i="10"/>
  <c r="BF84" i="10"/>
  <c r="BF85" i="10"/>
  <c r="BF86" i="10"/>
  <c r="BF87" i="10"/>
  <c r="BF88" i="10"/>
  <c r="BF89" i="10"/>
  <c r="BF90" i="10"/>
  <c r="BF91" i="10"/>
  <c r="BF92" i="10"/>
  <c r="BF93" i="10"/>
  <c r="BF94" i="10"/>
  <c r="BF95" i="10"/>
  <c r="BF96" i="10"/>
  <c r="BF97" i="10"/>
  <c r="BF98" i="10"/>
  <c r="BF99" i="10"/>
  <c r="BF100" i="10"/>
  <c r="BF101" i="10"/>
  <c r="BF102" i="10"/>
  <c r="BF103" i="10"/>
  <c r="BF104" i="10"/>
  <c r="BF105" i="10"/>
  <c r="BF106" i="10"/>
  <c r="BF107" i="10"/>
  <c r="BF108" i="10"/>
  <c r="BF109" i="10"/>
  <c r="BF110" i="10"/>
  <c r="BF111" i="10"/>
  <c r="BF112" i="10"/>
  <c r="BF113" i="10"/>
  <c r="BF114" i="10"/>
  <c r="BF115" i="10"/>
  <c r="BF116" i="10"/>
  <c r="BF117" i="10"/>
  <c r="BF118" i="10"/>
  <c r="BF119" i="10"/>
  <c r="BF120" i="10"/>
  <c r="BF121" i="10"/>
  <c r="BF122" i="10"/>
  <c r="BF123" i="10"/>
  <c r="BF124" i="10"/>
  <c r="BF125" i="10"/>
  <c r="BF126" i="10"/>
  <c r="BF127" i="10"/>
  <c r="BF128" i="10"/>
  <c r="BF129" i="10"/>
  <c r="BF130" i="10"/>
  <c r="BF132" i="10"/>
  <c r="BF133" i="10"/>
  <c r="BF134" i="10"/>
  <c r="BF135" i="10"/>
  <c r="BF136" i="10"/>
  <c r="BF137" i="10"/>
  <c r="BF138" i="10"/>
  <c r="BF139" i="10"/>
  <c r="BF140" i="10"/>
  <c r="BF141" i="10"/>
  <c r="BF142" i="10"/>
  <c r="BF143" i="10"/>
  <c r="BF144" i="10"/>
  <c r="BF145" i="10"/>
  <c r="BF2" i="10"/>
  <c r="BF3" i="10"/>
  <c r="H2" i="33"/>
  <c r="H3" i="33"/>
  <c r="H4" i="33"/>
  <c r="H5" i="33"/>
  <c r="H6" i="33"/>
  <c r="H7" i="33"/>
  <c r="H8" i="33"/>
  <c r="H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B36" i="36"/>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7" i="28"/>
  <c r="B142" i="28"/>
  <c r="B143" i="28"/>
  <c r="B144" i="28"/>
  <c r="B145" i="28"/>
  <c r="B146" i="28"/>
  <c r="B148" i="28"/>
  <c r="B150" i="28"/>
  <c r="B105" i="28"/>
  <c r="B106" i="28"/>
  <c r="B107" i="28"/>
  <c r="B108" i="28"/>
  <c r="B109" i="28"/>
  <c r="B110" i="28"/>
  <c r="B111" i="28"/>
  <c r="B112" i="28"/>
  <c r="B114" i="28"/>
  <c r="B115" i="28"/>
  <c r="B116" i="28"/>
  <c r="B117" i="28"/>
  <c r="B118" i="28"/>
  <c r="B119" i="28"/>
  <c r="B120" i="28"/>
  <c r="B123" i="28"/>
  <c r="B124" i="28"/>
  <c r="B125" i="28"/>
  <c r="B126" i="28"/>
  <c r="B127" i="28"/>
  <c r="B128" i="28"/>
  <c r="B129" i="28"/>
  <c r="B132" i="28"/>
  <c r="B133" i="28"/>
  <c r="B134" i="28"/>
  <c r="B135" i="28"/>
  <c r="B136" i="28"/>
  <c r="B137" i="28"/>
  <c r="B138" i="28"/>
  <c r="B141" i="28"/>
  <c r="B8" i="28"/>
  <c r="B9" i="28"/>
  <c r="B10" i="28"/>
  <c r="B12" i="28"/>
  <c r="B13" i="28"/>
  <c r="B14" i="28"/>
  <c r="B15" i="28"/>
  <c r="B16" i="28"/>
  <c r="B17" i="28"/>
  <c r="B18" i="28"/>
  <c r="B19" i="28"/>
  <c r="B20" i="28"/>
  <c r="B21" i="28"/>
  <c r="B22" i="28"/>
  <c r="B24" i="28"/>
  <c r="B25" i="28"/>
  <c r="B26" i="28"/>
  <c r="B27" i="28"/>
  <c r="B29" i="28"/>
  <c r="B30" i="28"/>
  <c r="B31" i="28"/>
  <c r="B32" i="28"/>
  <c r="B33" i="28"/>
  <c r="B34" i="28"/>
  <c r="B35" i="28"/>
  <c r="B36" i="28"/>
  <c r="B37" i="28"/>
  <c r="B38" i="28"/>
  <c r="B39" i="28"/>
  <c r="B40" i="28"/>
  <c r="B42" i="28"/>
  <c r="B43" i="28"/>
  <c r="B45" i="28"/>
  <c r="B46" i="28"/>
  <c r="B47" i="28"/>
  <c r="B48" i="28"/>
  <c r="B51" i="28"/>
  <c r="B52" i="28"/>
  <c r="B53" i="28"/>
  <c r="B54" i="28"/>
  <c r="B55" i="28"/>
  <c r="B56" i="28"/>
  <c r="B57" i="28"/>
  <c r="B58" i="28"/>
  <c r="B60" i="28"/>
  <c r="B62" i="28"/>
  <c r="B63" i="28"/>
  <c r="B64" i="28"/>
  <c r="B65" i="28"/>
  <c r="B66" i="28"/>
  <c r="B69" i="28"/>
  <c r="B70" i="28"/>
  <c r="B71" i="28"/>
  <c r="B72" i="28"/>
  <c r="B73" i="28"/>
  <c r="B74" i="28"/>
  <c r="B75" i="28"/>
  <c r="B76" i="28"/>
  <c r="B78" i="28"/>
  <c r="B79" i="28"/>
  <c r="B80" i="28"/>
  <c r="B81" i="28"/>
  <c r="B82" i="28"/>
  <c r="B83" i="28"/>
  <c r="B84" i="28"/>
  <c r="B87" i="28"/>
  <c r="B88" i="28"/>
  <c r="B89" i="28"/>
  <c r="B90" i="28"/>
  <c r="B91" i="28"/>
  <c r="B92" i="28"/>
  <c r="B93" i="28"/>
  <c r="B94" i="28"/>
  <c r="B97" i="28"/>
  <c r="B98" i="28"/>
  <c r="B99" i="28"/>
  <c r="B100" i="28"/>
  <c r="B101" i="28"/>
  <c r="B102" i="28"/>
  <c r="B7" i="28"/>
  <c r="AK4" i="25"/>
  <c r="AK5" i="25"/>
  <c r="AK6" i="25"/>
  <c r="AK7" i="25"/>
  <c r="AK8" i="25"/>
  <c r="AK9" i="25"/>
  <c r="AK10" i="25"/>
  <c r="AK11" i="25"/>
  <c r="AK12" i="25"/>
  <c r="AK13" i="25"/>
  <c r="AK14" i="25"/>
  <c r="AK15" i="25"/>
  <c r="AK16" i="25"/>
  <c r="AK17" i="25"/>
  <c r="AK18" i="25"/>
  <c r="AK19" i="25"/>
  <c r="AK20" i="25"/>
  <c r="AK21" i="25"/>
  <c r="AK22" i="25"/>
  <c r="AK23" i="25"/>
  <c r="AK24" i="25"/>
  <c r="AK25" i="25"/>
  <c r="AK26" i="25"/>
  <c r="AK27" i="25"/>
  <c r="AK28" i="25"/>
  <c r="AK29" i="25"/>
  <c r="AK30" i="25"/>
  <c r="AK31" i="25"/>
  <c r="AK32" i="25"/>
  <c r="AK33" i="25"/>
  <c r="AK34" i="25"/>
  <c r="AK35" i="25"/>
  <c r="AK36" i="25"/>
  <c r="AK37" i="25"/>
  <c r="AK38" i="25"/>
  <c r="AK39" i="25"/>
  <c r="AK40" i="25"/>
  <c r="AK41" i="25"/>
  <c r="AK42" i="25"/>
  <c r="AK43" i="25"/>
  <c r="AK44" i="25"/>
  <c r="AK45" i="25"/>
  <c r="AK46" i="25"/>
  <c r="AK47" i="25"/>
  <c r="AK48" i="25"/>
  <c r="AK49" i="25"/>
  <c r="AK50" i="25"/>
  <c r="AK51" i="25"/>
  <c r="AK52" i="25"/>
  <c r="AK53" i="25"/>
  <c r="AK54" i="25"/>
  <c r="AK55" i="25"/>
  <c r="AK56" i="25"/>
  <c r="AK57" i="25"/>
  <c r="AK3" i="25"/>
  <c r="B3" i="24"/>
  <c r="B50" i="28"/>
  <c r="B68" i="28"/>
  <c r="B49" i="28"/>
  <c r="B86" i="28"/>
  <c r="B67" i="28"/>
  <c r="B104" i="28"/>
  <c r="B85" i="28"/>
  <c r="B122" i="28"/>
  <c r="B103" i="28"/>
  <c r="B140" i="28"/>
  <c r="B121" i="28"/>
  <c r="B139" i="28"/>
  <c r="B149" i="28"/>
  <c r="B131" i="28"/>
  <c r="B23" i="28"/>
  <c r="B41" i="28"/>
  <c r="B59" i="28"/>
  <c r="B77" i="28"/>
  <c r="B95" i="28"/>
  <c r="B113" i="28"/>
  <c r="B96" i="28"/>
  <c r="B61" i="28"/>
  <c r="B44" i="28"/>
  <c r="B28" i="28"/>
  <c r="B11" i="28"/>
  <c r="B130" i="28"/>
  <c r="B147" i="28"/>
  <c r="D174" i="24"/>
  <c r="AA47" i="25" s="1"/>
  <c r="D25" i="24"/>
  <c r="H1" i="10" s="1"/>
  <c r="D166" i="24"/>
  <c r="AA39" i="25" s="1"/>
  <c r="D196" i="24"/>
  <c r="D361" i="24"/>
  <c r="B22" i="33" s="1"/>
  <c r="B26" i="34" s="1"/>
  <c r="D36" i="24"/>
  <c r="D24" i="24"/>
  <c r="G1" i="10" s="1"/>
  <c r="D70" i="24"/>
  <c r="B3" i="9" s="1"/>
  <c r="D255" i="24"/>
  <c r="D101" i="24"/>
  <c r="D7" i="28" s="1"/>
  <c r="D230" i="24"/>
  <c r="D45" i="24"/>
  <c r="D80" i="24"/>
  <c r="D184" i="24"/>
  <c r="AA57" i="25" s="1"/>
  <c r="D199" i="24"/>
  <c r="D216" i="24"/>
  <c r="D210" i="24"/>
  <c r="D165" i="24"/>
  <c r="AA38" i="25" s="1"/>
  <c r="D219" i="24"/>
  <c r="D277" i="24"/>
  <c r="D49" i="24"/>
  <c r="D146" i="24"/>
  <c r="AA19" i="25" s="1"/>
  <c r="D112" i="24"/>
  <c r="B200" i="28" s="1"/>
  <c r="D139" i="24"/>
  <c r="AA12" i="25" s="1"/>
  <c r="D225" i="24"/>
  <c r="D185" i="24"/>
  <c r="D308" i="24"/>
  <c r="D289" i="24"/>
  <c r="D131" i="24"/>
  <c r="AA4" i="25" s="1"/>
  <c r="D71" i="24"/>
  <c r="B14" i="9" s="1"/>
  <c r="D102" i="24"/>
  <c r="D25" i="28" s="1"/>
  <c r="D123" i="24"/>
  <c r="D81" i="24"/>
  <c r="D164" i="24"/>
  <c r="AA37" i="25" s="1"/>
  <c r="D21" i="24"/>
  <c r="C1" i="10" s="1"/>
  <c r="D272" i="24"/>
  <c r="D161" i="24"/>
  <c r="AA34" i="25" s="1"/>
  <c r="D200" i="24"/>
  <c r="D121" i="24"/>
  <c r="D120" i="24"/>
  <c r="D294" i="24"/>
  <c r="D304" i="24"/>
  <c r="D202" i="24"/>
  <c r="D173" i="24"/>
  <c r="AA46" i="25" s="1"/>
  <c r="D367" i="24"/>
  <c r="E5" i="33" s="1"/>
  <c r="D52" i="24"/>
  <c r="N1" i="10" s="1"/>
  <c r="D273" i="24"/>
  <c r="D301" i="24"/>
  <c r="D82" i="24"/>
  <c r="E5" i="28" s="1"/>
  <c r="D180" i="24"/>
  <c r="AA53" i="25" s="1"/>
  <c r="D162" i="24"/>
  <c r="AA35" i="25" s="1"/>
  <c r="D144" i="24"/>
  <c r="AA17" i="25" s="1"/>
  <c r="D369" i="24"/>
  <c r="E8" i="33" s="1"/>
  <c r="D33" i="24"/>
  <c r="D252" i="24"/>
  <c r="D291" i="24"/>
  <c r="D257" i="24"/>
  <c r="D221" i="24"/>
  <c r="D244" i="24"/>
  <c r="D264" i="24"/>
  <c r="D309" i="24"/>
  <c r="D179" i="24"/>
  <c r="AA52" i="25" s="1"/>
  <c r="D134" i="24"/>
  <c r="AA7" i="25" s="1"/>
  <c r="D61" i="24"/>
  <c r="H1" i="11" s="1"/>
  <c r="D77" i="24"/>
  <c r="D288" i="24"/>
  <c r="D262" i="24"/>
  <c r="D278" i="24"/>
  <c r="D217" i="24"/>
  <c r="D271" i="24"/>
  <c r="D213" i="24"/>
  <c r="D227" i="24"/>
  <c r="D236" i="24"/>
  <c r="D243" i="24"/>
  <c r="D41" i="24"/>
  <c r="D256" i="24"/>
  <c r="D242" i="24"/>
  <c r="D223" i="24"/>
  <c r="D311" i="24"/>
  <c r="D32" i="24"/>
  <c r="D178" i="24"/>
  <c r="AA51" i="25" s="1"/>
  <c r="D169" i="24"/>
  <c r="AA42" i="25" s="1"/>
  <c r="D160" i="24"/>
  <c r="AA33" i="25" s="1"/>
  <c r="D150" i="24"/>
  <c r="AA23" i="25" s="1"/>
  <c r="D142" i="24"/>
  <c r="AA15" i="25" s="1"/>
  <c r="D133" i="24"/>
  <c r="AA6" i="25" s="1"/>
  <c r="D53" i="24"/>
  <c r="A1" i="11" s="1"/>
  <c r="D86" i="24"/>
  <c r="E43" i="28" s="1"/>
  <c r="D108" i="24"/>
  <c r="D133" i="28" s="1"/>
  <c r="D59" i="24"/>
  <c r="D214" i="24"/>
  <c r="D188" i="24"/>
  <c r="D261" i="24"/>
  <c r="D268" i="24"/>
  <c r="D46" i="24"/>
  <c r="D280" i="24"/>
  <c r="D241" i="24"/>
  <c r="D287" i="24"/>
  <c r="D187" i="24"/>
  <c r="D181" i="24"/>
  <c r="AA54" i="25" s="1"/>
  <c r="D172" i="24"/>
  <c r="AA45" i="25" s="1"/>
  <c r="D154" i="24"/>
  <c r="AA27" i="25" s="1"/>
  <c r="D138" i="24"/>
  <c r="AA11" i="25" s="1"/>
  <c r="D368" i="24"/>
  <c r="E7" i="33" s="1"/>
  <c r="D34" i="24"/>
  <c r="D206" i="24"/>
  <c r="D231" i="24"/>
  <c r="D151" i="24"/>
  <c r="AA24" i="25" s="1"/>
  <c r="D135" i="24"/>
  <c r="AA8" i="25" s="1"/>
  <c r="D84" i="24"/>
  <c r="E7" i="28" s="1"/>
  <c r="D106" i="24"/>
  <c r="D97" i="28" s="1"/>
  <c r="D54" i="24"/>
  <c r="I1" i="11" s="1"/>
  <c r="D207" i="24"/>
  <c r="D198" i="24"/>
  <c r="D39" i="24"/>
  <c r="D300" i="24"/>
  <c r="D251" i="24"/>
  <c r="D259" i="24"/>
  <c r="D78" i="24"/>
  <c r="D250" i="24"/>
  <c r="D312" i="24"/>
  <c r="D35" i="24"/>
  <c r="D143" i="24"/>
  <c r="AA16" i="25" s="1"/>
  <c r="D107" i="24"/>
  <c r="D115" i="28" s="1"/>
  <c r="D226" i="24"/>
  <c r="D83" i="24"/>
  <c r="D246" i="24"/>
  <c r="D296" i="24"/>
  <c r="D209" i="24"/>
  <c r="D298" i="24"/>
  <c r="D205" i="24"/>
  <c r="D203" i="24"/>
  <c r="D212" i="24"/>
  <c r="D211" i="24"/>
  <c r="D292" i="24"/>
  <c r="D208" i="24"/>
  <c r="D234" i="24"/>
  <c r="D22" i="24"/>
  <c r="D31" i="24"/>
  <c r="D168" i="24"/>
  <c r="AA41" i="25" s="1"/>
  <c r="D159" i="24"/>
  <c r="AA32" i="25" s="1"/>
  <c r="D149" i="24"/>
  <c r="AA22" i="25" s="1"/>
  <c r="D140" i="24"/>
  <c r="AA13" i="25" s="1"/>
  <c r="D132" i="24"/>
  <c r="AA5" i="25" s="1"/>
  <c r="D360" i="24"/>
  <c r="B16" i="33" s="1"/>
  <c r="B20" i="34" s="1"/>
  <c r="D370" i="24"/>
  <c r="E1" i="33" s="1"/>
  <c r="D90" i="24"/>
  <c r="E115" i="28" s="1"/>
  <c r="D94" i="24"/>
  <c r="D222" i="24"/>
  <c r="D269" i="24"/>
  <c r="D276" i="24"/>
  <c r="D281" i="24"/>
  <c r="D215" i="24"/>
  <c r="D183" i="24"/>
  <c r="AA56" i="25" s="1"/>
  <c r="D155" i="24"/>
  <c r="AA28" i="25" s="1"/>
  <c r="D363" i="24"/>
  <c r="D233" i="24"/>
  <c r="D30" i="24"/>
  <c r="D145" i="24"/>
  <c r="AA18" i="25" s="1"/>
  <c r="D105" i="24"/>
  <c r="D79" i="28" s="1"/>
  <c r="D51" i="24"/>
  <c r="D275" i="24"/>
  <c r="D299" i="24"/>
  <c r="D265" i="24"/>
  <c r="D10" i="24"/>
  <c r="D253" i="24"/>
  <c r="D20" i="24"/>
  <c r="B1" i="10" s="1"/>
  <c r="D260" i="24"/>
  <c r="D29" i="24"/>
  <c r="D232" i="24"/>
  <c r="D274" i="24"/>
  <c r="D171" i="24"/>
  <c r="AA44" i="25" s="1"/>
  <c r="D85" i="24"/>
  <c r="E25" i="28" s="1"/>
  <c r="D64" i="24"/>
  <c r="BA1" i="10" s="1"/>
  <c r="D26" i="24"/>
  <c r="K1" i="10" s="1"/>
  <c r="D295" i="24"/>
  <c r="D237" i="24"/>
  <c r="D238" i="24"/>
  <c r="D235" i="24"/>
  <c r="D11" i="24"/>
  <c r="D290" i="24"/>
  <c r="D197" i="24"/>
  <c r="D28" i="24"/>
  <c r="A147" i="10" s="1"/>
  <c r="D204" i="24"/>
  <c r="D195" i="24"/>
  <c r="D247" i="24"/>
  <c r="D279" i="24"/>
  <c r="D218" i="24"/>
  <c r="D100" i="24"/>
  <c r="D23" i="24"/>
  <c r="D1" i="10" s="1"/>
  <c r="D50" i="24"/>
  <c r="D190" i="24"/>
  <c r="L2" i="25" s="1"/>
  <c r="D177" i="24"/>
  <c r="AA50" i="25" s="1"/>
  <c r="D167" i="24"/>
  <c r="AA40" i="25" s="1"/>
  <c r="D156" i="24"/>
  <c r="AA29" i="25" s="1"/>
  <c r="D148" i="24"/>
  <c r="AA21" i="25" s="1"/>
  <c r="B19" i="33"/>
  <c r="B23" i="34" s="1"/>
  <c r="D73" i="24"/>
  <c r="B2" i="9" s="1"/>
  <c r="D91" i="24"/>
  <c r="E133" i="28" s="1"/>
  <c r="D110" i="24"/>
  <c r="B152" i="28" s="1"/>
  <c r="B23" i="33"/>
  <c r="B27" i="34" s="1"/>
  <c r="D60" i="24"/>
  <c r="G1" i="11" s="1"/>
  <c r="D124" i="24"/>
  <c r="D115" i="24"/>
  <c r="D66" i="24"/>
  <c r="B24" i="33"/>
  <c r="B28" i="34" s="1"/>
  <c r="D58" i="24"/>
  <c r="E1" i="11" s="1"/>
  <c r="D125" i="24"/>
  <c r="D364" i="24"/>
  <c r="C1" i="33" s="1"/>
  <c r="D357" i="24"/>
  <c r="B3" i="33" s="1"/>
  <c r="B7" i="34" s="1"/>
  <c r="D362" i="24"/>
  <c r="B30" i="33" s="1"/>
  <c r="B34" i="34" s="1"/>
  <c r="D87" i="24"/>
  <c r="E61" i="28" s="1"/>
  <c r="D103" i="24"/>
  <c r="D43" i="28" s="1"/>
  <c r="X1" i="10"/>
  <c r="D56" i="24"/>
  <c r="S1" i="10" s="1"/>
  <c r="D270" i="24"/>
  <c r="D186" i="24"/>
  <c r="D12" i="24"/>
  <c r="D293" i="24"/>
  <c r="D263" i="24"/>
  <c r="D245" i="24"/>
  <c r="D47" i="24"/>
  <c r="D307" i="24"/>
  <c r="D228" i="24"/>
  <c r="D19" i="24"/>
  <c r="D249" i="24"/>
  <c r="D306" i="24"/>
  <c r="D240" i="24"/>
  <c r="D266" i="24"/>
  <c r="D194" i="24"/>
  <c r="D40" i="24"/>
  <c r="D37" i="24"/>
  <c r="D176" i="24"/>
  <c r="AA49" i="25" s="1"/>
  <c r="D170" i="24"/>
  <c r="AA43" i="25" s="1"/>
  <c r="D158" i="24"/>
  <c r="AA31" i="25" s="1"/>
  <c r="D153" i="24"/>
  <c r="AA26" i="25" s="1"/>
  <c r="D147" i="24"/>
  <c r="AA20" i="25" s="1"/>
  <c r="D137" i="24"/>
  <c r="AA10" i="25" s="1"/>
  <c r="D365" i="24"/>
  <c r="B1" i="33" s="1"/>
  <c r="D358" i="24"/>
  <c r="B5" i="33" s="1"/>
  <c r="B9" i="34" s="1"/>
  <c r="D27" i="24"/>
  <c r="D72" i="24"/>
  <c r="B15" i="9" s="1"/>
  <c r="D88" i="24"/>
  <c r="E79" i="28" s="1"/>
  <c r="D104" i="24"/>
  <c r="D61" i="28" s="1"/>
  <c r="D63" i="24"/>
  <c r="D55" i="24"/>
  <c r="B1" i="11" s="1"/>
  <c r="D122" i="24"/>
  <c r="B192" i="28" s="1"/>
  <c r="D254" i="24"/>
  <c r="D48" i="24"/>
  <c r="D303" i="24"/>
  <c r="D248" i="24"/>
  <c r="D239" i="24"/>
  <c r="D229" i="24"/>
  <c r="D38" i="24"/>
  <c r="D297" i="24"/>
  <c r="D220" i="24"/>
  <c r="D42" i="24"/>
  <c r="D267" i="24"/>
  <c r="D224" i="24"/>
  <c r="D258" i="24"/>
  <c r="D201" i="24"/>
  <c r="D9" i="24"/>
  <c r="D65" i="24"/>
  <c r="AS1" i="10" s="1"/>
  <c r="D182" i="24"/>
  <c r="AA55" i="25" s="1"/>
  <c r="D175" i="24"/>
  <c r="AA48" i="25" s="1"/>
  <c r="D163" i="24"/>
  <c r="AA36" i="25" s="1"/>
  <c r="D157" i="24"/>
  <c r="AA30" i="25" s="1"/>
  <c r="D152" i="24"/>
  <c r="AA25" i="25" s="1"/>
  <c r="D141" i="24"/>
  <c r="AA14" i="25" s="1"/>
  <c r="D136" i="24"/>
  <c r="AA9" i="25" s="1"/>
  <c r="D130" i="24"/>
  <c r="AA3" i="25" s="1"/>
  <c r="D359" i="24"/>
  <c r="B7" i="33" s="1"/>
  <c r="B11" i="34" s="1"/>
  <c r="D366" i="24"/>
  <c r="E3" i="33" s="1"/>
  <c r="D109" i="24"/>
  <c r="B6" i="28" s="1"/>
  <c r="D89" i="24"/>
  <c r="E97" i="28" s="1"/>
  <c r="D62" i="24"/>
  <c r="B18" i="33"/>
  <c r="B22" i="34" s="1"/>
  <c r="B25" i="33"/>
  <c r="B29" i="34" s="1"/>
  <c r="P1" i="10"/>
  <c r="AZ1" i="10" s="1"/>
  <c r="B20" i="33"/>
  <c r="B24" i="34" s="1"/>
  <c r="B21" i="33"/>
  <c r="B25" i="34" s="1"/>
  <c r="B11" i="33"/>
  <c r="B15" i="34" s="1"/>
  <c r="B17" i="33"/>
  <c r="B21" i="34" s="1"/>
  <c r="B12" i="33"/>
  <c r="B16" i="34" s="1"/>
  <c r="D92" i="24"/>
  <c r="E6" i="34" s="1"/>
  <c r="D57" i="24"/>
  <c r="T1" i="10" s="1"/>
  <c r="B14" i="33"/>
  <c r="B18" i="34" s="1"/>
  <c r="B10" i="33"/>
  <c r="B14" i="34" s="1"/>
  <c r="V1" i="10"/>
  <c r="F1" i="11"/>
  <c r="Q1" i="10"/>
  <c r="C6" i="34"/>
  <c r="B28" i="33"/>
  <c r="B32" i="34" s="1"/>
  <c r="R2" i="33"/>
  <c r="D15" i="24" l="1"/>
  <c r="C29" i="9" s="1"/>
  <c r="D16" i="24"/>
  <c r="I19" i="37" s="1"/>
  <c r="B37" i="33"/>
  <c r="B41" i="34" s="1"/>
  <c r="A1" i="10"/>
  <c r="V1" i="11"/>
  <c r="AG1" i="10"/>
  <c r="C1" i="11"/>
  <c r="U1" i="11"/>
  <c r="AD1" i="10"/>
  <c r="B197" i="28"/>
  <c r="B34" i="33"/>
  <c r="B38" i="34" s="1"/>
  <c r="B35" i="33"/>
  <c r="B39" i="34" s="1"/>
  <c r="D76" i="24"/>
  <c r="B33" i="33"/>
  <c r="B37" i="34" s="1"/>
  <c r="B36" i="33"/>
  <c r="B40" i="34" s="1"/>
  <c r="AD54" i="25"/>
  <c r="D97" i="24"/>
  <c r="E62" i="36" s="1"/>
  <c r="AF1" i="10"/>
  <c r="B191" i="28"/>
  <c r="AD34" i="25"/>
  <c r="D1" i="11"/>
  <c r="L1" i="11" s="1"/>
  <c r="U1" i="10"/>
  <c r="AK1" i="10" s="1"/>
  <c r="B194" i="28"/>
  <c r="D111" i="24"/>
  <c r="D116" i="24"/>
  <c r="B61" i="36" s="1"/>
  <c r="D119" i="24"/>
  <c r="B83" i="36" s="1"/>
  <c r="AD82" i="25"/>
  <c r="AD77" i="25"/>
  <c r="AD90" i="25"/>
  <c r="N1" i="11"/>
  <c r="D347" i="24"/>
  <c r="M1" i="11"/>
  <c r="B195" i="28"/>
  <c r="W1" i="10"/>
  <c r="AE1" i="10" s="1"/>
  <c r="D343" i="24"/>
  <c r="D337" i="24"/>
  <c r="AZ26" i="10" s="1"/>
  <c r="D336" i="24"/>
  <c r="D328" i="24"/>
  <c r="K1" i="11"/>
  <c r="AD27" i="25"/>
  <c r="C72" i="36"/>
  <c r="C85" i="36"/>
  <c r="AJ1" i="10"/>
  <c r="AB1" i="10"/>
  <c r="AN1" i="10"/>
  <c r="T1" i="11"/>
  <c r="B193" i="28"/>
  <c r="AL1" i="10"/>
  <c r="D335" i="24"/>
  <c r="D79" i="24"/>
  <c r="D117" i="24"/>
  <c r="B71" i="36" s="1"/>
  <c r="D346" i="24"/>
  <c r="AZ35" i="10" s="1"/>
  <c r="D330" i="24"/>
  <c r="AZ19" i="10" s="1"/>
  <c r="D95" i="24"/>
  <c r="E6" i="36" s="1"/>
  <c r="D98" i="24"/>
  <c r="E78" i="36" s="1"/>
  <c r="D345" i="24"/>
  <c r="D329" i="24"/>
  <c r="AD42" i="25"/>
  <c r="R1" i="10"/>
  <c r="AH1" i="10" s="1"/>
  <c r="D96" i="24"/>
  <c r="E34" i="36" s="1"/>
  <c r="D99" i="24"/>
  <c r="E88" i="36" s="1"/>
  <c r="D340" i="24"/>
  <c r="A29" i="11" s="1"/>
  <c r="D327" i="24"/>
  <c r="AZ16" i="10" s="1"/>
  <c r="D114" i="24"/>
  <c r="B51" i="36" s="1"/>
  <c r="D356" i="24"/>
  <c r="D338" i="24"/>
  <c r="G27" i="33" s="1"/>
  <c r="D324" i="24"/>
  <c r="G13" i="33" s="1"/>
  <c r="B198" i="28"/>
  <c r="B196" i="28"/>
  <c r="B9" i="33"/>
  <c r="B13" i="34" s="1"/>
  <c r="B8" i="33"/>
  <c r="B12" i="34" s="1"/>
  <c r="AD51" i="25"/>
  <c r="AD65" i="25"/>
  <c r="AD58" i="25"/>
  <c r="AD31" i="25"/>
  <c r="AD74" i="25"/>
  <c r="AD88" i="25"/>
  <c r="AD89" i="25"/>
  <c r="AD20" i="25"/>
  <c r="AD85" i="25"/>
  <c r="AD61" i="25"/>
  <c r="AD84" i="25"/>
  <c r="AD81" i="25"/>
  <c r="AD87" i="25"/>
  <c r="AD64" i="25"/>
  <c r="AD83" i="25"/>
  <c r="AD62" i="25"/>
  <c r="T62" i="25" s="1"/>
  <c r="AD75" i="25"/>
  <c r="AD91" i="25"/>
  <c r="AD68" i="25"/>
  <c r="AD80" i="25"/>
  <c r="AD79" i="25"/>
  <c r="AD63" i="25"/>
  <c r="AD59" i="25"/>
  <c r="AD70" i="25"/>
  <c r="T70" i="25" s="1"/>
  <c r="AD66" i="25"/>
  <c r="AD28" i="25"/>
  <c r="AD92" i="25"/>
  <c r="AD15" i="25"/>
  <c r="AD93" i="25"/>
  <c r="AD21" i="25"/>
  <c r="AD67" i="25"/>
  <c r="AD69" i="25"/>
  <c r="T69" i="25" s="1"/>
  <c r="AD49" i="25"/>
  <c r="AD76" i="25"/>
  <c r="AD72" i="25"/>
  <c r="AD45" i="25"/>
  <c r="G36" i="33"/>
  <c r="AZ36" i="10"/>
  <c r="A36" i="11"/>
  <c r="AZ29" i="10"/>
  <c r="S1" i="11"/>
  <c r="B29" i="33"/>
  <c r="B33" i="34" s="1"/>
  <c r="Y1" i="10"/>
  <c r="B27" i="33"/>
  <c r="B31" i="34" s="1"/>
  <c r="B15" i="33"/>
  <c r="B19" i="34" s="1"/>
  <c r="AD40" i="25"/>
  <c r="AD38" i="25"/>
  <c r="B31" i="33"/>
  <c r="B35" i="34" s="1"/>
  <c r="B13" i="33"/>
  <c r="B17" i="34" s="1"/>
  <c r="B32" i="33"/>
  <c r="B36" i="34" s="1"/>
  <c r="D113" i="24"/>
  <c r="B33" i="36" s="1"/>
  <c r="D118" i="24"/>
  <c r="B77" i="36" s="1"/>
  <c r="D348" i="24"/>
  <c r="G37" i="33" s="1"/>
  <c r="D342" i="24"/>
  <c r="D334" i="24"/>
  <c r="G23" i="33" s="1"/>
  <c r="D323" i="24"/>
  <c r="A12" i="11" s="1"/>
  <c r="D341" i="24"/>
  <c r="D333" i="24"/>
  <c r="D321" i="24"/>
  <c r="D319" i="24"/>
  <c r="G8" i="33" s="1"/>
  <c r="B26" i="33"/>
  <c r="B30" i="34" s="1"/>
  <c r="B38" i="36"/>
  <c r="C26" i="36"/>
  <c r="B45" i="36"/>
  <c r="B69" i="36"/>
  <c r="C59" i="36"/>
  <c r="C31" i="36"/>
  <c r="C58" i="36"/>
  <c r="C30" i="36"/>
  <c r="B39" i="36"/>
  <c r="C29" i="36"/>
  <c r="C28" i="36"/>
  <c r="C27" i="36"/>
  <c r="C55" i="36"/>
  <c r="B44" i="36"/>
  <c r="C53" i="36"/>
  <c r="B35" i="36"/>
  <c r="B34" i="36"/>
  <c r="C57" i="36"/>
  <c r="B47" i="36"/>
  <c r="C25" i="36"/>
  <c r="B65" i="36"/>
  <c r="B43" i="36"/>
  <c r="B41" i="36"/>
  <c r="B49" i="36"/>
  <c r="B48" i="36"/>
  <c r="B40" i="36"/>
  <c r="G3" i="33"/>
  <c r="AZ3" i="10"/>
  <c r="A3" i="11"/>
  <c r="AZ27" i="10"/>
  <c r="A27" i="11"/>
  <c r="G16" i="33"/>
  <c r="R1" i="11"/>
  <c r="J1" i="11"/>
  <c r="AD44" i="25"/>
  <c r="AD47" i="25"/>
  <c r="AD86" i="25"/>
  <c r="T86" i="25" s="1"/>
  <c r="AD78" i="25"/>
  <c r="T78" i="25" s="1"/>
  <c r="AD46" i="25"/>
  <c r="AD60" i="25"/>
  <c r="AD73" i="25"/>
  <c r="T73" i="25" s="1"/>
  <c r="AD26" i="25"/>
  <c r="D320" i="24"/>
  <c r="G9" i="33" s="1"/>
  <c r="AD35" i="25"/>
  <c r="AD6" i="25"/>
  <c r="AD18" i="25"/>
  <c r="D344" i="24"/>
  <c r="A33" i="11" s="1"/>
  <c r="W33" i="11" s="1"/>
  <c r="D339" i="24"/>
  <c r="D332" i="24"/>
  <c r="G21" i="33" s="1"/>
  <c r="D326" i="24"/>
  <c r="A15" i="11" s="1"/>
  <c r="D316" i="24"/>
  <c r="D6" i="24"/>
  <c r="G7" i="37" s="1"/>
  <c r="AD11" i="25"/>
  <c r="AD19" i="25"/>
  <c r="D331" i="24"/>
  <c r="AZ20" i="10" s="1"/>
  <c r="D325" i="24"/>
  <c r="D315" i="24"/>
  <c r="AZ4" i="10" s="1"/>
  <c r="D43" i="24"/>
  <c r="B13" i="37" s="1"/>
  <c r="AD29" i="25"/>
  <c r="AD23" i="25"/>
  <c r="G25" i="33"/>
  <c r="A25" i="11"/>
  <c r="AZ25" i="10"/>
  <c r="G24" i="33"/>
  <c r="A24" i="11"/>
  <c r="AZ24" i="10"/>
  <c r="AZ17" i="10"/>
  <c r="A17" i="11"/>
  <c r="G17" i="33"/>
  <c r="AZ23" i="10"/>
  <c r="A23" i="11"/>
  <c r="A8" i="11"/>
  <c r="AZ8" i="10"/>
  <c r="AZ32" i="10"/>
  <c r="G32" i="33"/>
  <c r="A32" i="11"/>
  <c r="B4" i="33"/>
  <c r="B8" i="34" s="1"/>
  <c r="AD39" i="25"/>
  <c r="D318" i="24"/>
  <c r="D313" i="24"/>
  <c r="D18" i="24"/>
  <c r="B10" i="37" s="1"/>
  <c r="D322" i="24"/>
  <c r="D317" i="24"/>
  <c r="A6" i="11" s="1"/>
  <c r="D4" i="24"/>
  <c r="G10" i="37" s="1"/>
  <c r="AD57" i="25"/>
  <c r="D44" i="24"/>
  <c r="C13" i="37" s="1"/>
  <c r="B6" i="33"/>
  <c r="B10" i="34" s="1"/>
  <c r="D13" i="24"/>
  <c r="D67" i="24"/>
  <c r="B3" i="27" s="1"/>
  <c r="AD55" i="25"/>
  <c r="AI55" i="25"/>
  <c r="AI22" i="25"/>
  <c r="AD22" i="25"/>
  <c r="Y1" i="11"/>
  <c r="Q1" i="11"/>
  <c r="AI7" i="25"/>
  <c r="AD7" i="25"/>
  <c r="AD12" i="25"/>
  <c r="AI12" i="25"/>
  <c r="G30" i="33"/>
  <c r="A30" i="11"/>
  <c r="AZ30" i="10"/>
  <c r="S74" i="25"/>
  <c r="AI3" i="25"/>
  <c r="T65" i="25"/>
  <c r="AI31" i="25"/>
  <c r="T80" i="25"/>
  <c r="R88" i="25"/>
  <c r="R71" i="25"/>
  <c r="T85" i="25"/>
  <c r="S72" i="25"/>
  <c r="T93" i="25"/>
  <c r="T79" i="25"/>
  <c r="T66" i="25"/>
  <c r="R83" i="25"/>
  <c r="S80" i="25"/>
  <c r="S77" i="25"/>
  <c r="AD3" i="25"/>
  <c r="T84" i="25"/>
  <c r="T83" i="25"/>
  <c r="S89" i="25"/>
  <c r="AI44" i="25"/>
  <c r="T91" i="25"/>
  <c r="R69" i="25"/>
  <c r="S66" i="25"/>
  <c r="R65" i="25"/>
  <c r="T58" i="25"/>
  <c r="T68" i="25"/>
  <c r="R75" i="25"/>
  <c r="S64" i="25"/>
  <c r="S85" i="25"/>
  <c r="S93" i="25"/>
  <c r="R84" i="25"/>
  <c r="AI47" i="25"/>
  <c r="T75" i="25"/>
  <c r="S91" i="25"/>
  <c r="AI18" i="25"/>
  <c r="AI45" i="25"/>
  <c r="T74" i="25"/>
  <c r="R64" i="25"/>
  <c r="S65" i="25"/>
  <c r="S60" i="25"/>
  <c r="T82" i="25"/>
  <c r="T64" i="25"/>
  <c r="S78" i="25"/>
  <c r="T61" i="25"/>
  <c r="S88" i="25"/>
  <c r="R81" i="25"/>
  <c r="T60" i="25"/>
  <c r="AI46" i="25"/>
  <c r="AI26" i="25"/>
  <c r="AI19" i="25"/>
  <c r="AI49" i="25"/>
  <c r="R79" i="25"/>
  <c r="R63" i="25"/>
  <c r="R58" i="25"/>
  <c r="R60" i="25"/>
  <c r="R86" i="25"/>
  <c r="R90" i="25"/>
  <c r="R82" i="25"/>
  <c r="S86" i="25"/>
  <c r="T72" i="25"/>
  <c r="T76" i="25"/>
  <c r="AI15" i="25"/>
  <c r="T88" i="25"/>
  <c r="AI27" i="25"/>
  <c r="AI40" i="25"/>
  <c r="R66" i="25"/>
  <c r="AI11" i="25"/>
  <c r="AI21" i="25"/>
  <c r="AI38" i="25"/>
  <c r="S81" i="25"/>
  <c r="S68" i="25"/>
  <c r="S87" i="25"/>
  <c r="S75" i="25"/>
  <c r="S83" i="25"/>
  <c r="S71" i="25"/>
  <c r="R67" i="25"/>
  <c r="S92" i="25"/>
  <c r="R91" i="25"/>
  <c r="R78" i="25"/>
  <c r="R62" i="25"/>
  <c r="S90" i="25"/>
  <c r="R93" i="25"/>
  <c r="AI57" i="25"/>
  <c r="T59" i="25"/>
  <c r="AI35" i="25"/>
  <c r="AI54" i="25"/>
  <c r="S67" i="25"/>
  <c r="R73" i="25"/>
  <c r="AI23" i="25"/>
  <c r="AI39" i="25"/>
  <c r="R68" i="25"/>
  <c r="S70" i="25"/>
  <c r="S73" i="25"/>
  <c r="R59" i="25"/>
  <c r="T77" i="25"/>
  <c r="S62" i="25"/>
  <c r="R92" i="25"/>
  <c r="S59" i="25"/>
  <c r="S63" i="25"/>
  <c r="R85" i="25"/>
  <c r="S58" i="25"/>
  <c r="R80" i="25"/>
  <c r="R61" i="25"/>
  <c r="T92" i="25"/>
  <c r="AI51" i="25"/>
  <c r="AI28" i="25"/>
  <c r="AI6" i="25"/>
  <c r="AI29" i="25"/>
  <c r="S76" i="25"/>
  <c r="T81" i="25"/>
  <c r="T63" i="25"/>
  <c r="R74" i="25"/>
  <c r="R87" i="25"/>
  <c r="R70" i="25"/>
  <c r="T90" i="25"/>
  <c r="S69" i="25"/>
  <c r="S84" i="25"/>
  <c r="R77" i="25"/>
  <c r="T89" i="25"/>
  <c r="T67" i="25"/>
  <c r="AI20" i="25"/>
  <c r="AI34" i="25"/>
  <c r="R76" i="25"/>
  <c r="T87" i="25"/>
  <c r="AI42" i="25"/>
  <c r="S82" i="25"/>
  <c r="R89" i="25"/>
  <c r="R72" i="25"/>
  <c r="S79" i="25"/>
  <c r="S61" i="25"/>
  <c r="AD32" i="25"/>
  <c r="AI32" i="25"/>
  <c r="AD33" i="25"/>
  <c r="AI33" i="25"/>
  <c r="AD52" i="25"/>
  <c r="AI52" i="25"/>
  <c r="A34" i="11"/>
  <c r="AZ34" i="10"/>
  <c r="G34" i="33"/>
  <c r="E20" i="10" a="1"/>
  <c r="E20" i="10" s="1"/>
  <c r="J27" i="10" a="1"/>
  <c r="J27" i="10" s="1"/>
  <c r="J106" i="10" a="1"/>
  <c r="J106" i="10" s="1"/>
  <c r="E50" i="10" a="1"/>
  <c r="E50" i="10" s="1"/>
  <c r="J41" i="10" a="1"/>
  <c r="J41" i="10" s="1"/>
  <c r="E128" i="10" a="1"/>
  <c r="E128" i="10" s="1"/>
  <c r="AI9" i="25"/>
  <c r="AD9" i="25"/>
  <c r="AD41" i="25"/>
  <c r="AI41" i="25"/>
  <c r="AD4" i="25"/>
  <c r="AI4" i="25"/>
  <c r="AD14" i="25"/>
  <c r="AI14" i="25"/>
  <c r="AI43" i="25"/>
  <c r="AD43" i="25"/>
  <c r="AD8" i="25"/>
  <c r="AI8" i="25"/>
  <c r="A10" i="11"/>
  <c r="AZ10" i="10"/>
  <c r="G10" i="33"/>
  <c r="AD25" i="25"/>
  <c r="AI25" i="25"/>
  <c r="AI10" i="25"/>
  <c r="AD10" i="25"/>
  <c r="W1" i="11"/>
  <c r="O1" i="11"/>
  <c r="AI16" i="25"/>
  <c r="AD16" i="25"/>
  <c r="AD24" i="25"/>
  <c r="AI24" i="25"/>
  <c r="AD17" i="25"/>
  <c r="AI17" i="25"/>
  <c r="AD37" i="25"/>
  <c r="AI37" i="25"/>
  <c r="A14" i="11"/>
  <c r="AZ14" i="10"/>
  <c r="G14" i="33"/>
  <c r="C5" i="34"/>
  <c r="C5" i="36"/>
  <c r="C6" i="28"/>
  <c r="AD30" i="25"/>
  <c r="AI30" i="25"/>
  <c r="G18" i="33"/>
  <c r="A18" i="11"/>
  <c r="AZ18" i="10"/>
  <c r="AI36" i="25"/>
  <c r="AD36" i="25"/>
  <c r="AD5" i="25"/>
  <c r="AI5" i="25"/>
  <c r="AZ22" i="10"/>
  <c r="G22" i="33"/>
  <c r="A22" i="11"/>
  <c r="AI48" i="25"/>
  <c r="AD48" i="25"/>
  <c r="AA1" i="10"/>
  <c r="AI1" i="10"/>
  <c r="AD50" i="25"/>
  <c r="AI50" i="25"/>
  <c r="AD56" i="25"/>
  <c r="AI56" i="25"/>
  <c r="AD13" i="25"/>
  <c r="AI13" i="25"/>
  <c r="X1" i="11"/>
  <c r="P1" i="11"/>
  <c r="AI53" i="25"/>
  <c r="AD53" i="25"/>
  <c r="A26" i="11"/>
  <c r="G26" i="33"/>
  <c r="I17" i="37"/>
  <c r="D5" i="24"/>
  <c r="G13" i="37" s="1"/>
  <c r="D7" i="24"/>
  <c r="G21" i="9" s="1"/>
  <c r="D8" i="24"/>
  <c r="B7" i="37" s="1"/>
  <c r="D14" i="24"/>
  <c r="AD71" i="25"/>
  <c r="T71" i="25" s="1"/>
  <c r="B62" i="36"/>
  <c r="B42" i="36"/>
  <c r="B66" i="36"/>
  <c r="C52" i="36"/>
  <c r="C24" i="36"/>
  <c r="B16" i="37" l="1"/>
  <c r="E11" i="33"/>
  <c r="AM1" i="10"/>
  <c r="Z1" i="10"/>
  <c r="A16" i="11"/>
  <c r="D16" i="11" s="1"/>
  <c r="B1" i="36"/>
  <c r="B1" i="28"/>
  <c r="B1" i="34"/>
  <c r="B23" i="36"/>
  <c r="B190" i="28"/>
  <c r="E96" i="10" a="1"/>
  <c r="E96" i="10" s="1"/>
  <c r="J4" i="10" a="1"/>
  <c r="J4" i="10" s="1"/>
  <c r="A37" i="11"/>
  <c r="M37" i="11" s="1"/>
  <c r="AZ37" i="10"/>
  <c r="G29" i="33"/>
  <c r="J120" i="10" a="1"/>
  <c r="J120" i="10" s="1"/>
  <c r="AC1" i="10"/>
  <c r="C29" i="11"/>
  <c r="V29" i="11"/>
  <c r="O29" i="11"/>
  <c r="S29" i="11"/>
  <c r="T29" i="11"/>
  <c r="G20" i="33"/>
  <c r="F29" i="11"/>
  <c r="D29" i="11"/>
  <c r="E29" i="11"/>
  <c r="W29" i="11"/>
  <c r="X29" i="11" s="1"/>
  <c r="G29" i="11"/>
  <c r="M29" i="11"/>
  <c r="J90" i="10" a="1"/>
  <c r="J90" i="10" s="1"/>
  <c r="J38" i="10" a="1"/>
  <c r="J38" i="10" s="1"/>
  <c r="E5" i="10" a="1"/>
  <c r="E5" i="10" s="1"/>
  <c r="J128" i="10" a="1"/>
  <c r="J128" i="10" s="1"/>
  <c r="E58" i="10" a="1"/>
  <c r="E58" i="10" s="1"/>
  <c r="J52" i="10" a="1"/>
  <c r="J52" i="10" s="1"/>
  <c r="E109" i="10" a="1"/>
  <c r="E109" i="10" s="1"/>
  <c r="E48" i="10" a="1"/>
  <c r="E48" i="10" s="1"/>
  <c r="AZ13" i="10"/>
  <c r="J8" i="10" a="1"/>
  <c r="J8" i="10" s="1"/>
  <c r="J35" i="10" a="1"/>
  <c r="J35" i="10" s="1"/>
  <c r="J103" i="10" a="1"/>
  <c r="J103" i="10" s="1"/>
  <c r="AZ6" i="10"/>
  <c r="AZ2" i="10"/>
  <c r="J24" i="10" a="1"/>
  <c r="J24" i="10" s="1"/>
  <c r="E105" i="10" a="1"/>
  <c r="E105" i="10" s="1"/>
  <c r="J137" i="10" a="1"/>
  <c r="J137" i="10" s="1"/>
  <c r="J10" i="10" a="1"/>
  <c r="J10" i="10" s="1"/>
  <c r="E3" i="10" a="1"/>
  <c r="E3" i="10" s="1"/>
  <c r="J43" i="10" a="1"/>
  <c r="J43" i="10" s="1"/>
  <c r="E68" i="10" a="1"/>
  <c r="E68" i="10" s="1"/>
  <c r="J132" i="10" a="1"/>
  <c r="J132" i="10" s="1"/>
  <c r="J53" i="10" a="1"/>
  <c r="J53" i="10" s="1"/>
  <c r="J127" i="10" a="1"/>
  <c r="J127" i="10" s="1"/>
  <c r="G6" i="33"/>
  <c r="E130" i="10" a="1"/>
  <c r="E130" i="10" s="1"/>
  <c r="J45" i="10" a="1"/>
  <c r="J45" i="10" s="1"/>
  <c r="A2" i="11"/>
  <c r="J48" i="10" a="1"/>
  <c r="J48" i="10" s="1"/>
  <c r="E113" i="10" a="1"/>
  <c r="E113" i="10" s="1"/>
  <c r="J145" i="10" a="1"/>
  <c r="J145" i="10" s="1"/>
  <c r="J18" i="10" a="1"/>
  <c r="J18" i="10" s="1"/>
  <c r="E11" i="10" a="1"/>
  <c r="E11" i="10" s="1"/>
  <c r="J51" i="10" a="1"/>
  <c r="J51" i="10" s="1"/>
  <c r="E100" i="10" a="1"/>
  <c r="E100" i="10" s="1"/>
  <c r="E8" i="10" a="1"/>
  <c r="E8" i="10" s="1"/>
  <c r="J101" i="10" a="1"/>
  <c r="J101" i="10" s="1"/>
  <c r="J143" i="10" a="1"/>
  <c r="J143" i="10" s="1"/>
  <c r="G12" i="33"/>
  <c r="G35" i="33"/>
  <c r="J123" i="10" a="1"/>
  <c r="J123" i="10" s="1"/>
  <c r="J136" i="10" a="1"/>
  <c r="J136" i="10" s="1"/>
  <c r="J73" i="10" a="1"/>
  <c r="J73" i="10" s="1"/>
  <c r="E114" i="10" a="1"/>
  <c r="E114" i="10" s="1"/>
  <c r="E36" i="10" a="1"/>
  <c r="E36" i="10" s="1"/>
  <c r="J68" i="10" a="1"/>
  <c r="J68" i="10" s="1"/>
  <c r="J37" i="10" a="1"/>
  <c r="J37" i="10" s="1"/>
  <c r="E79" i="10" a="1"/>
  <c r="E79" i="10" s="1"/>
  <c r="E89" i="10" a="1"/>
  <c r="E89" i="10" s="1"/>
  <c r="J105" i="10" a="1"/>
  <c r="J105" i="10" s="1"/>
  <c r="E9" i="10" a="1"/>
  <c r="E9" i="10" s="1"/>
  <c r="E60" i="10" a="1"/>
  <c r="E60" i="10" s="1"/>
  <c r="J76" i="10" a="1"/>
  <c r="J76" i="10" s="1"/>
  <c r="J47" i="10" a="1"/>
  <c r="J47" i="10" s="1"/>
  <c r="J39" i="10" a="1"/>
  <c r="J39" i="10" s="1"/>
  <c r="E72" i="10" a="1"/>
  <c r="E72" i="10" s="1"/>
  <c r="J56" i="10" a="1"/>
  <c r="J56" i="10" s="1"/>
  <c r="E121" i="10" a="1"/>
  <c r="E121" i="10" s="1"/>
  <c r="E40" i="10" a="1"/>
  <c r="E40" i="10" s="1"/>
  <c r="J50" i="10" a="1"/>
  <c r="J50" i="10" s="1"/>
  <c r="E67" i="10" a="1"/>
  <c r="E67" i="10" s="1"/>
  <c r="J99" i="10" a="1"/>
  <c r="J99" i="10" s="1"/>
  <c r="E132" i="10" a="1"/>
  <c r="E132" i="10" s="1"/>
  <c r="E29" i="10" a="1"/>
  <c r="E29" i="10" s="1"/>
  <c r="E16" i="10" a="1"/>
  <c r="E16" i="10" s="1"/>
  <c r="G15" i="33"/>
  <c r="AZ12" i="10"/>
  <c r="A35" i="11"/>
  <c r="L35" i="11" s="1"/>
  <c r="E107" i="10" a="1"/>
  <c r="E107" i="10" s="1"/>
  <c r="E101" i="10" a="1"/>
  <c r="E101" i="10" s="1"/>
  <c r="A13" i="11"/>
  <c r="N13" i="11" s="1"/>
  <c r="E104" i="10" a="1"/>
  <c r="E104" i="10" s="1"/>
  <c r="J65" i="10" a="1"/>
  <c r="J65" i="10" s="1"/>
  <c r="J98" i="10" a="1"/>
  <c r="J98" i="10" s="1"/>
  <c r="J3" i="10" a="1"/>
  <c r="J3" i="10" s="1"/>
  <c r="E88" i="10" a="1"/>
  <c r="E88" i="10" s="1"/>
  <c r="J88" i="10" a="1"/>
  <c r="J88" i="10" s="1"/>
  <c r="J25" i="10" a="1"/>
  <c r="J25" i="10" s="1"/>
  <c r="E34" i="10" a="1"/>
  <c r="E34" i="10" s="1"/>
  <c r="J82" i="10" a="1"/>
  <c r="J82" i="10" s="1"/>
  <c r="E83" i="10" a="1"/>
  <c r="E83" i="10" s="1"/>
  <c r="J115" i="10" a="1"/>
  <c r="J115" i="10" s="1"/>
  <c r="E140" i="10" a="1"/>
  <c r="E140" i="10" s="1"/>
  <c r="E69" i="10" a="1"/>
  <c r="E69" i="10" s="1"/>
  <c r="E78" i="10" a="1"/>
  <c r="E78" i="10" s="1"/>
  <c r="E115" i="10" a="1"/>
  <c r="E115" i="10" s="1"/>
  <c r="J131" i="10" a="1"/>
  <c r="J131" i="10" s="1"/>
  <c r="J84" i="10" a="1"/>
  <c r="J84" i="10" s="1"/>
  <c r="E102" i="10" a="1"/>
  <c r="E102" i="10" s="1"/>
  <c r="J55" i="10" a="1"/>
  <c r="J55" i="10" s="1"/>
  <c r="J64" i="10" a="1"/>
  <c r="J64" i="10" s="1"/>
  <c r="E123" i="10" a="1"/>
  <c r="E123" i="10" s="1"/>
  <c r="E41" i="10" a="1"/>
  <c r="E41" i="10" s="1"/>
  <c r="E76" i="10" a="1"/>
  <c r="E76" i="10" s="1"/>
  <c r="J12" i="10" a="1"/>
  <c r="J12" i="10" s="1"/>
  <c r="J108" i="10" a="1"/>
  <c r="J108" i="10" s="1"/>
  <c r="E45" i="10" a="1"/>
  <c r="E45" i="10" s="1"/>
  <c r="E125" i="10" a="1"/>
  <c r="E125" i="10" s="1"/>
  <c r="J77" i="10" a="1"/>
  <c r="J77" i="10" s="1"/>
  <c r="E13" i="10" a="1"/>
  <c r="E13" i="10" s="1"/>
  <c r="E110" i="10" a="1"/>
  <c r="E110" i="10" s="1"/>
  <c r="J62" i="10" a="1"/>
  <c r="J62" i="10" s="1"/>
  <c r="E7" i="10" a="1"/>
  <c r="E7" i="10" s="1"/>
  <c r="E119" i="10" a="1"/>
  <c r="E119" i="10" s="1"/>
  <c r="J63" i="10" a="1"/>
  <c r="J63" i="10" s="1"/>
  <c r="AZ33" i="10"/>
  <c r="E66" i="10" a="1"/>
  <c r="E66" i="10" s="1"/>
  <c r="E19" i="10" a="1"/>
  <c r="E19" i="10" s="1"/>
  <c r="E37" i="10" a="1"/>
  <c r="E37" i="10" s="1"/>
  <c r="E117" i="10" a="1"/>
  <c r="E117" i="10" s="1"/>
  <c r="E17" i="10" a="1"/>
  <c r="E17" i="10" s="1"/>
  <c r="J46" i="10" a="1"/>
  <c r="J46" i="10" s="1"/>
  <c r="E95" i="10" a="1"/>
  <c r="E95" i="10" s="1"/>
  <c r="J144" i="10" a="1"/>
  <c r="J144" i="10" s="1"/>
  <c r="J81" i="10" a="1"/>
  <c r="J81" i="10" s="1"/>
  <c r="E90" i="10" a="1"/>
  <c r="E90" i="10" s="1"/>
  <c r="E43" i="10" a="1"/>
  <c r="E43" i="10" s="1"/>
  <c r="E136" i="10" a="1"/>
  <c r="E136" i="10" s="1"/>
  <c r="E33" i="10" a="1"/>
  <c r="E33" i="10" s="1"/>
  <c r="J89" i="10" a="1"/>
  <c r="J89" i="10" s="1"/>
  <c r="E98" i="10" a="1"/>
  <c r="E98" i="10" s="1"/>
  <c r="J114" i="10" a="1"/>
  <c r="J114" i="10" s="1"/>
  <c r="E131" i="10" a="1"/>
  <c r="E131" i="10" s="1"/>
  <c r="E4" i="10" a="1"/>
  <c r="E4" i="10" s="1"/>
  <c r="J20" i="10" a="1"/>
  <c r="J20" i="10" s="1"/>
  <c r="E53" i="10" a="1"/>
  <c r="E53" i="10" s="1"/>
  <c r="E14" i="10" a="1"/>
  <c r="E14" i="10" s="1"/>
  <c r="J79" i="10" a="1"/>
  <c r="J79" i="10" s="1"/>
  <c r="E145" i="10" a="1"/>
  <c r="E145" i="10" s="1"/>
  <c r="E57" i="10" a="1"/>
  <c r="E57" i="10" s="1"/>
  <c r="J26" i="10" a="1"/>
  <c r="J26" i="10" s="1"/>
  <c r="J59" i="10" a="1"/>
  <c r="J59" i="10" s="1"/>
  <c r="J72" i="10" a="1"/>
  <c r="J72" i="10" s="1"/>
  <c r="J9" i="10" a="1"/>
  <c r="J9" i="10" s="1"/>
  <c r="E2" i="10" a="1"/>
  <c r="E2" i="10" s="1"/>
  <c r="J34" i="10" a="1"/>
  <c r="J34" i="10" s="1"/>
  <c r="E51" i="10" a="1"/>
  <c r="E51" i="10" s="1"/>
  <c r="J67" i="10" a="1"/>
  <c r="J67" i="10" s="1"/>
  <c r="E84" i="10" a="1"/>
  <c r="E84" i="10" s="1"/>
  <c r="J116" i="10" a="1"/>
  <c r="J116" i="10" s="1"/>
  <c r="E133" i="10" a="1"/>
  <c r="E133" i="10" s="1"/>
  <c r="J85" i="10" a="1"/>
  <c r="J85" i="10" s="1"/>
  <c r="E118" i="10" a="1"/>
  <c r="E118" i="10" s="1"/>
  <c r="J86" i="10" a="1"/>
  <c r="J86" i="10" s="1"/>
  <c r="E15" i="10" a="1"/>
  <c r="E15" i="10" s="1"/>
  <c r="E127" i="10" a="1"/>
  <c r="E127" i="10" s="1"/>
  <c r="G33" i="33"/>
  <c r="E64" i="10" a="1"/>
  <c r="E64" i="10" s="1"/>
  <c r="E144" i="10" a="1"/>
  <c r="E144" i="10" s="1"/>
  <c r="J80" i="10" a="1"/>
  <c r="J80" i="10" s="1"/>
  <c r="E81" i="10" a="1"/>
  <c r="E81" i="10" s="1"/>
  <c r="J17" i="10" a="1"/>
  <c r="J17" i="10" s="1"/>
  <c r="J97" i="10" a="1"/>
  <c r="J97" i="10" s="1"/>
  <c r="E26" i="10" a="1"/>
  <c r="E26" i="10" s="1"/>
  <c r="E106" i="10" a="1"/>
  <c r="E106" i="10" s="1"/>
  <c r="J42" i="10" a="1"/>
  <c r="J42" i="10" s="1"/>
  <c r="J138" i="10" a="1"/>
  <c r="J138" i="10" s="1"/>
  <c r="E59" i="10" a="1"/>
  <c r="E59" i="10" s="1"/>
  <c r="E139" i="10" a="1"/>
  <c r="E139" i="10" s="1"/>
  <c r="J91" i="10" a="1"/>
  <c r="J91" i="10" s="1"/>
  <c r="E12" i="10" a="1"/>
  <c r="E12" i="10" s="1"/>
  <c r="E92" i="10" a="1"/>
  <c r="E92" i="10" s="1"/>
  <c r="J44" i="10" a="1"/>
  <c r="J44" i="10" s="1"/>
  <c r="J124" i="10" a="1"/>
  <c r="J124" i="10" s="1"/>
  <c r="E61" i="10" a="1"/>
  <c r="E61" i="10" s="1"/>
  <c r="J13" i="10" a="1"/>
  <c r="J13" i="10" s="1"/>
  <c r="J93" i="10" a="1"/>
  <c r="J93" i="10" s="1"/>
  <c r="E38" i="10" a="1"/>
  <c r="E38" i="10" s="1"/>
  <c r="E126" i="10" a="1"/>
  <c r="E126" i="10" s="1"/>
  <c r="J94" i="10" a="1"/>
  <c r="J94" i="10" s="1"/>
  <c r="E31" i="10" a="1"/>
  <c r="E31" i="10" s="1"/>
  <c r="E135" i="10" a="1"/>
  <c r="E135" i="10" s="1"/>
  <c r="A19" i="11"/>
  <c r="K19" i="11" s="1"/>
  <c r="J21" i="10" a="1"/>
  <c r="J21" i="10" s="1"/>
  <c r="E46" i="10" a="1"/>
  <c r="E46" i="10" s="1"/>
  <c r="E142" i="10" a="1"/>
  <c r="E142" i="10" s="1"/>
  <c r="J102" i="10" a="1"/>
  <c r="J102" i="10" s="1"/>
  <c r="E55" i="10" a="1"/>
  <c r="E55" i="10" s="1"/>
  <c r="E143" i="10" a="1"/>
  <c r="E143" i="10" s="1"/>
  <c r="J111" i="10" a="1"/>
  <c r="J111" i="10" s="1"/>
  <c r="E80" i="10" a="1"/>
  <c r="E80" i="10" s="1"/>
  <c r="J16" i="10" a="1"/>
  <c r="J16" i="10" s="1"/>
  <c r="J112" i="10" a="1"/>
  <c r="J112" i="10" s="1"/>
  <c r="E97" i="10" a="1"/>
  <c r="E97" i="10" s="1"/>
  <c r="J33" i="10" a="1"/>
  <c r="J33" i="10" s="1"/>
  <c r="J129" i="10" a="1"/>
  <c r="J129" i="10" s="1"/>
  <c r="E42" i="10" a="1"/>
  <c r="E42" i="10" s="1"/>
  <c r="E122" i="10" a="1"/>
  <c r="E122" i="10" s="1"/>
  <c r="J74" i="10" a="1"/>
  <c r="J74" i="10" s="1"/>
  <c r="E49" i="10" a="1"/>
  <c r="E49" i="10" s="1"/>
  <c r="E75" i="10" a="1"/>
  <c r="E75" i="10" s="1"/>
  <c r="J107" i="10" a="1"/>
  <c r="J107" i="10" s="1"/>
  <c r="E28" i="10" a="1"/>
  <c r="E28" i="10" s="1"/>
  <c r="E124" i="10" a="1"/>
  <c r="E124" i="10" s="1"/>
  <c r="J60" i="10" a="1"/>
  <c r="J60" i="10" s="1"/>
  <c r="J140" i="10" a="1"/>
  <c r="J140" i="10" s="1"/>
  <c r="E93" i="10" a="1"/>
  <c r="E93" i="10" s="1"/>
  <c r="J29" i="10" a="1"/>
  <c r="J29" i="10" s="1"/>
  <c r="J117" i="10" a="1"/>
  <c r="J117" i="10" s="1"/>
  <c r="E54" i="10" a="1"/>
  <c r="E54" i="10" s="1"/>
  <c r="J22" i="10" a="1"/>
  <c r="J22" i="10" s="1"/>
  <c r="J110" i="10" a="1"/>
  <c r="J110" i="10" s="1"/>
  <c r="E63" i="10" a="1"/>
  <c r="E63" i="10" s="1"/>
  <c r="J15" i="10" a="1"/>
  <c r="J15" i="10" s="1"/>
  <c r="J119" i="10" a="1"/>
  <c r="J119" i="10" s="1"/>
  <c r="G19" i="33"/>
  <c r="J141" i="10" a="1"/>
  <c r="J141" i="10" s="1"/>
  <c r="E62" i="10" a="1"/>
  <c r="E62" i="10" s="1"/>
  <c r="J30" i="10" a="1"/>
  <c r="J30" i="10" s="1"/>
  <c r="J126" i="10" a="1"/>
  <c r="J126" i="10" s="1"/>
  <c r="E71" i="10" a="1"/>
  <c r="E71" i="10" s="1"/>
  <c r="V35" i="11"/>
  <c r="F35" i="11"/>
  <c r="O35" i="11"/>
  <c r="N29" i="11"/>
  <c r="B68" i="36"/>
  <c r="C75" i="36"/>
  <c r="B67" i="36"/>
  <c r="B64" i="36"/>
  <c r="C56" i="36"/>
  <c r="B88" i="36"/>
  <c r="C73" i="36"/>
  <c r="B78" i="36"/>
  <c r="B80" i="36"/>
  <c r="C54" i="36"/>
  <c r="B63" i="36"/>
  <c r="B81" i="36"/>
  <c r="C74" i="36"/>
  <c r="B79" i="36"/>
  <c r="B90" i="36"/>
  <c r="B2" i="33"/>
  <c r="B6" i="34" s="1"/>
  <c r="AZ15" i="10"/>
  <c r="M25" i="27" a="1"/>
  <c r="M25" i="27" s="1"/>
  <c r="A20" i="11"/>
  <c r="E20" i="11" s="1"/>
  <c r="U29" i="11"/>
  <c r="L29" i="11"/>
  <c r="K29" i="11"/>
  <c r="B3" i="36"/>
  <c r="B3" i="28"/>
  <c r="B3" i="34"/>
  <c r="M13" i="27" a="1"/>
  <c r="M13" i="27" s="1"/>
  <c r="S35" i="11"/>
  <c r="N35" i="11"/>
  <c r="K35" i="11"/>
  <c r="M6" i="27" a="1"/>
  <c r="M6" i="27" s="1"/>
  <c r="E20" i="27" a="1"/>
  <c r="E20" i="27" s="1"/>
  <c r="E4" i="27" a="1"/>
  <c r="E4" i="27" s="1"/>
  <c r="M18" i="27" a="1"/>
  <c r="M18" i="27" s="1"/>
  <c r="M14" i="27" a="1"/>
  <c r="M14" i="27" s="1"/>
  <c r="E5" i="27" a="1"/>
  <c r="E5" i="27" s="1"/>
  <c r="M34" i="27" a="1"/>
  <c r="M34" i="27" s="1"/>
  <c r="E33" i="27" a="1"/>
  <c r="E33" i="27" s="1"/>
  <c r="E17" i="27" a="1"/>
  <c r="E17" i="27" s="1"/>
  <c r="M10" i="27" a="1"/>
  <c r="M10" i="27" s="1"/>
  <c r="M30" i="27" a="1"/>
  <c r="M30" i="27" s="1"/>
  <c r="E32" i="27" a="1"/>
  <c r="E32" i="27" s="1"/>
  <c r="E16" i="27" a="1"/>
  <c r="E16" i="27" s="1"/>
  <c r="E8" i="27" a="1"/>
  <c r="E8" i="27" s="1"/>
  <c r="M26" i="27" a="1"/>
  <c r="M26" i="27" s="1"/>
  <c r="E29" i="27" a="1"/>
  <c r="E29" i="27" s="1"/>
  <c r="E13" i="27" a="1"/>
  <c r="E13" i="27" s="1"/>
  <c r="E25" i="27" a="1"/>
  <c r="E25" i="27" s="1"/>
  <c r="E24" i="27" a="1"/>
  <c r="E24" i="27" s="1"/>
  <c r="M22" i="27" a="1"/>
  <c r="M22" i="27" s="1"/>
  <c r="E28" i="27" a="1"/>
  <c r="E28" i="27" s="1"/>
  <c r="E12" i="27" a="1"/>
  <c r="E12" i="27" s="1"/>
  <c r="E9" i="27" a="1"/>
  <c r="E9" i="27" s="1"/>
  <c r="E21" i="27" a="1"/>
  <c r="E21" i="27" s="1"/>
  <c r="AZ9" i="10"/>
  <c r="M5" i="27" a="1"/>
  <c r="M5" i="27" s="1"/>
  <c r="AK20" i="27" a="1"/>
  <c r="AK20" i="27" s="1"/>
  <c r="U24" i="27" a="1"/>
  <c r="U24" i="27" s="1"/>
  <c r="U31" i="27" a="1"/>
  <c r="U31" i="27" s="1"/>
  <c r="A9" i="11"/>
  <c r="G9" i="11" s="1"/>
  <c r="U15" i="27" a="1"/>
  <c r="U15" i="27" s="1"/>
  <c r="AC28" i="27" a="1"/>
  <c r="AC28" i="27" s="1"/>
  <c r="AC11" i="27" a="1"/>
  <c r="AC11" i="27" s="1"/>
  <c r="A31" i="11"/>
  <c r="G31" i="33"/>
  <c r="AZ31" i="10"/>
  <c r="M9" i="27" a="1"/>
  <c r="M9" i="27" s="1"/>
  <c r="AC27" i="27" a="1"/>
  <c r="AC27" i="27" s="1"/>
  <c r="U16" i="27" a="1"/>
  <c r="U16" i="27" s="1"/>
  <c r="M29" i="27" a="1"/>
  <c r="M29" i="27" s="1"/>
  <c r="U7" i="27" a="1"/>
  <c r="U7" i="27" s="1"/>
  <c r="V36" i="11"/>
  <c r="N36" i="11"/>
  <c r="O36" i="11"/>
  <c r="E36" i="11"/>
  <c r="W36" i="11"/>
  <c r="F36" i="11"/>
  <c r="G36" i="11"/>
  <c r="S36" i="11"/>
  <c r="M36" i="11"/>
  <c r="C36" i="11"/>
  <c r="T36" i="11"/>
  <c r="D36" i="11"/>
  <c r="U36" i="11"/>
  <c r="K36" i="11"/>
  <c r="L36" i="11"/>
  <c r="AC12" i="27" a="1"/>
  <c r="AC12" i="27" s="1"/>
  <c r="M21" i="27" a="1"/>
  <c r="M21" i="27" s="1"/>
  <c r="U32" i="27" a="1"/>
  <c r="U32" i="27" s="1"/>
  <c r="U23" i="27" a="1"/>
  <c r="U23" i="27" s="1"/>
  <c r="M33" i="27" a="1"/>
  <c r="M33" i="27" s="1"/>
  <c r="U8" i="27" a="1"/>
  <c r="U8" i="27" s="1"/>
  <c r="M17" i="27" a="1"/>
  <c r="M17" i="27" s="1"/>
  <c r="G4" i="33"/>
  <c r="O27" i="11"/>
  <c r="F27" i="11"/>
  <c r="E27" i="11"/>
  <c r="V27" i="11"/>
  <c r="S27" i="11"/>
  <c r="C27" i="11"/>
  <c r="T27" i="11"/>
  <c r="W27" i="11"/>
  <c r="U27" i="11"/>
  <c r="N27" i="11"/>
  <c r="K27" i="11"/>
  <c r="G27" i="11"/>
  <c r="L27" i="11"/>
  <c r="D27" i="11"/>
  <c r="M27" i="11"/>
  <c r="A4" i="11"/>
  <c r="W4" i="11" s="1"/>
  <c r="A21" i="11"/>
  <c r="E21" i="11" s="1"/>
  <c r="AZ21" i="10"/>
  <c r="AZ5" i="10"/>
  <c r="A5" i="11"/>
  <c r="G5" i="33"/>
  <c r="G3" i="11"/>
  <c r="L3" i="11"/>
  <c r="O3" i="11"/>
  <c r="M3" i="11"/>
  <c r="F3" i="11"/>
  <c r="C3" i="11"/>
  <c r="D3" i="11"/>
  <c r="S3" i="11"/>
  <c r="V3" i="11"/>
  <c r="T3" i="11"/>
  <c r="E3" i="11"/>
  <c r="W3" i="11"/>
  <c r="U3" i="11"/>
  <c r="N3" i="11"/>
  <c r="K3" i="11"/>
  <c r="AZ28" i="10"/>
  <c r="A28" i="11"/>
  <c r="G28" i="33"/>
  <c r="V16" i="11"/>
  <c r="S16" i="11"/>
  <c r="W16" i="11"/>
  <c r="T16" i="11"/>
  <c r="N16" i="11"/>
  <c r="F16" i="11"/>
  <c r="K16" i="11"/>
  <c r="O16" i="11"/>
  <c r="M16" i="11"/>
  <c r="D37" i="11"/>
  <c r="S37" i="11"/>
  <c r="V37" i="11"/>
  <c r="U37" i="11"/>
  <c r="C37" i="11"/>
  <c r="K37" i="11"/>
  <c r="T37" i="11"/>
  <c r="O37" i="11"/>
  <c r="N37" i="11"/>
  <c r="J135" i="10" a="1"/>
  <c r="J135" i="10" s="1"/>
  <c r="J71" i="10" a="1"/>
  <c r="J71" i="10" s="1"/>
  <c r="J7" i="10" a="1"/>
  <c r="J7" i="10" s="1"/>
  <c r="E87" i="10" a="1"/>
  <c r="E87" i="10" s="1"/>
  <c r="E23" i="10" a="1"/>
  <c r="E23" i="10" s="1"/>
  <c r="J118" i="10" a="1"/>
  <c r="J118" i="10" s="1"/>
  <c r="J54" i="10" a="1"/>
  <c r="J54" i="10" s="1"/>
  <c r="E134" i="10" a="1"/>
  <c r="E134" i="10" s="1"/>
  <c r="E70" i="10" a="1"/>
  <c r="E70" i="10" s="1"/>
  <c r="E6" i="10" a="1"/>
  <c r="E6" i="10" s="1"/>
  <c r="J109" i="10" a="1"/>
  <c r="J109" i="10" s="1"/>
  <c r="J95" i="10" a="1"/>
  <c r="J95" i="10" s="1"/>
  <c r="J31" i="10" a="1"/>
  <c r="J31" i="10" s="1"/>
  <c r="E111" i="10" a="1"/>
  <c r="E111" i="10" s="1"/>
  <c r="E47" i="10" a="1"/>
  <c r="E47" i="10" s="1"/>
  <c r="J142" i="10" a="1"/>
  <c r="J142" i="10" s="1"/>
  <c r="J78" i="10" a="1"/>
  <c r="J78" i="10" s="1"/>
  <c r="J14" i="10" a="1"/>
  <c r="J14" i="10" s="1"/>
  <c r="E94" i="10" a="1"/>
  <c r="E94" i="10" s="1"/>
  <c r="E30" i="10" a="1"/>
  <c r="E30" i="10" s="1"/>
  <c r="J133" i="10" a="1"/>
  <c r="J133" i="10" s="1"/>
  <c r="J69" i="10" a="1"/>
  <c r="J69" i="10" s="1"/>
  <c r="J5" i="10" a="1"/>
  <c r="J5" i="10" s="1"/>
  <c r="E85" i="10" a="1"/>
  <c r="E85" i="10" s="1"/>
  <c r="E21" i="10" a="1"/>
  <c r="E21" i="10" s="1"/>
  <c r="J100" i="10" a="1"/>
  <c r="J100" i="10" s="1"/>
  <c r="J36" i="10" a="1"/>
  <c r="J36" i="10" s="1"/>
  <c r="E116" i="10" a="1"/>
  <c r="E116" i="10" s="1"/>
  <c r="E52" i="10" a="1"/>
  <c r="E52" i="10" s="1"/>
  <c r="E24" i="10" a="1"/>
  <c r="E24" i="10" s="1"/>
  <c r="J83" i="10" a="1"/>
  <c r="J83" i="10" s="1"/>
  <c r="J19" i="10" a="1"/>
  <c r="J19" i="10" s="1"/>
  <c r="E99" i="10" a="1"/>
  <c r="E99" i="10" s="1"/>
  <c r="E35" i="10" a="1"/>
  <c r="E35" i="10" s="1"/>
  <c r="J130" i="10" a="1"/>
  <c r="J130" i="10" s="1"/>
  <c r="J66" i="10" a="1"/>
  <c r="J66" i="10" s="1"/>
  <c r="J2" i="10" a="1"/>
  <c r="J2" i="10" s="1"/>
  <c r="E82" i="10" a="1"/>
  <c r="E82" i="10" s="1"/>
  <c r="E18" i="10" a="1"/>
  <c r="E18" i="10" s="1"/>
  <c r="J121" i="10" a="1"/>
  <c r="J121" i="10" s="1"/>
  <c r="J57" i="10" a="1"/>
  <c r="J57" i="10" s="1"/>
  <c r="E137" i="10" a="1"/>
  <c r="E137" i="10" s="1"/>
  <c r="E73" i="10" a="1"/>
  <c r="E73" i="10" s="1"/>
  <c r="J104" i="10" a="1"/>
  <c r="J104" i="10" s="1"/>
  <c r="J40" i="10" a="1"/>
  <c r="J40" i="10" s="1"/>
  <c r="E120" i="10" a="1"/>
  <c r="E120" i="10" s="1"/>
  <c r="E56" i="10" a="1"/>
  <c r="E56" i="10" s="1"/>
  <c r="G2" i="33"/>
  <c r="J87" i="10" a="1"/>
  <c r="J87" i="10" s="1"/>
  <c r="J23" i="10" a="1"/>
  <c r="J23" i="10" s="1"/>
  <c r="E103" i="10" a="1"/>
  <c r="E103" i="10" s="1"/>
  <c r="E39" i="10" a="1"/>
  <c r="E39" i="10" s="1"/>
  <c r="J70" i="10" a="1"/>
  <c r="J70" i="10" s="1"/>
  <c r="J6" i="10" a="1"/>
  <c r="J6" i="10" s="1"/>
  <c r="E86" i="10" a="1"/>
  <c r="E86" i="10" s="1"/>
  <c r="E22" i="10" a="1"/>
  <c r="E22" i="10" s="1"/>
  <c r="J125" i="10" a="1"/>
  <c r="J125" i="10" s="1"/>
  <c r="J61" i="10" a="1"/>
  <c r="J61" i="10" s="1"/>
  <c r="E141" i="10" a="1"/>
  <c r="E141" i="10" s="1"/>
  <c r="E77" i="10" a="1"/>
  <c r="E77" i="10" s="1"/>
  <c r="J92" i="10" a="1"/>
  <c r="J92" i="10" s="1"/>
  <c r="J28" i="10" a="1"/>
  <c r="J28" i="10" s="1"/>
  <c r="E108" i="10" a="1"/>
  <c r="E108" i="10" s="1"/>
  <c r="J139" i="10" a="1"/>
  <c r="J139" i="10" s="1"/>
  <c r="J75" i="10" a="1"/>
  <c r="J75" i="10" s="1"/>
  <c r="E91" i="10" a="1"/>
  <c r="E91" i="10" s="1"/>
  <c r="E27" i="10" a="1"/>
  <c r="E27" i="10" s="1"/>
  <c r="J58" i="10" a="1"/>
  <c r="J58" i="10" s="1"/>
  <c r="E138" i="10" a="1"/>
  <c r="E138" i="10" s="1"/>
  <c r="E74" i="10" a="1"/>
  <c r="E74" i="10" s="1"/>
  <c r="J113" i="10" a="1"/>
  <c r="J113" i="10" s="1"/>
  <c r="J49" i="10" a="1"/>
  <c r="J49" i="10" s="1"/>
  <c r="E65" i="10" a="1"/>
  <c r="E65" i="10" s="1"/>
  <c r="J96" i="10" a="1"/>
  <c r="J96" i="10" s="1"/>
  <c r="E112" i="10" a="1"/>
  <c r="E112" i="10" s="1"/>
  <c r="E32" i="10" a="1"/>
  <c r="E32" i="10" s="1"/>
  <c r="J134" i="10" a="1"/>
  <c r="J134" i="10" s="1"/>
  <c r="E25" i="10" a="1"/>
  <c r="E25" i="10" s="1"/>
  <c r="E44" i="10" a="1"/>
  <c r="E44" i="10" s="1"/>
  <c r="J11" i="10" a="1"/>
  <c r="J11" i="10" s="1"/>
  <c r="J122" i="10" a="1"/>
  <c r="J122" i="10" s="1"/>
  <c r="E10" i="10" a="1"/>
  <c r="E10" i="10" s="1"/>
  <c r="E129" i="10" a="1"/>
  <c r="E129" i="10" s="1"/>
  <c r="J32" i="10" a="1"/>
  <c r="J32" i="10" s="1"/>
  <c r="G11" i="33"/>
  <c r="AZ11" i="10"/>
  <c r="A11" i="11"/>
  <c r="O15" i="11"/>
  <c r="S15" i="11"/>
  <c r="F15" i="11"/>
  <c r="L15" i="11"/>
  <c r="C15" i="11"/>
  <c r="M15" i="11"/>
  <c r="V15" i="11"/>
  <c r="T15" i="11"/>
  <c r="E15" i="11"/>
  <c r="U15" i="11"/>
  <c r="W15" i="11"/>
  <c r="K15" i="11"/>
  <c r="G15" i="11"/>
  <c r="N15" i="11"/>
  <c r="D15" i="11"/>
  <c r="D23" i="11"/>
  <c r="L23" i="11"/>
  <c r="O23" i="11"/>
  <c r="M23" i="11"/>
  <c r="F23" i="11"/>
  <c r="T23" i="11"/>
  <c r="E23" i="11"/>
  <c r="K23" i="11"/>
  <c r="V23" i="11"/>
  <c r="U23" i="11"/>
  <c r="W23" i="11"/>
  <c r="N23" i="11"/>
  <c r="S23" i="11"/>
  <c r="C23" i="11"/>
  <c r="G23" i="11"/>
  <c r="L4" i="11"/>
  <c r="E4" i="11"/>
  <c r="G4" i="11"/>
  <c r="M4" i="11"/>
  <c r="N24" i="11"/>
  <c r="L24" i="11"/>
  <c r="F24" i="11"/>
  <c r="M24" i="11"/>
  <c r="O24" i="11"/>
  <c r="G24" i="11"/>
  <c r="C24" i="11"/>
  <c r="D24" i="11"/>
  <c r="S24" i="11"/>
  <c r="E24" i="11"/>
  <c r="T24" i="11"/>
  <c r="W24" i="11"/>
  <c r="K24" i="11"/>
  <c r="U24" i="11"/>
  <c r="V24" i="11"/>
  <c r="U25" i="11"/>
  <c r="O25" i="11"/>
  <c r="E25" i="11"/>
  <c r="W25" i="11"/>
  <c r="T25" i="11"/>
  <c r="G25" i="11"/>
  <c r="F25" i="11"/>
  <c r="K25" i="11"/>
  <c r="M25" i="11"/>
  <c r="C25" i="11"/>
  <c r="S25" i="11"/>
  <c r="L25" i="11"/>
  <c r="N25" i="11"/>
  <c r="V25" i="11"/>
  <c r="D25" i="11"/>
  <c r="AZ7" i="10"/>
  <c r="A7" i="11"/>
  <c r="G7" i="33"/>
  <c r="W12" i="11"/>
  <c r="C12" i="11"/>
  <c r="O12" i="11"/>
  <c r="K12" i="11"/>
  <c r="D12" i="11"/>
  <c r="E12" i="11"/>
  <c r="S12" i="11"/>
  <c r="U12" i="11"/>
  <c r="V12" i="11"/>
  <c r="X12" i="11" s="1"/>
  <c r="F12" i="11"/>
  <c r="M12" i="11"/>
  <c r="G12" i="11"/>
  <c r="T12" i="11"/>
  <c r="N12" i="11"/>
  <c r="L12" i="11"/>
  <c r="F32" i="11"/>
  <c r="L32" i="11"/>
  <c r="O32" i="11"/>
  <c r="M32" i="11"/>
  <c r="D32" i="11"/>
  <c r="G32" i="11"/>
  <c r="C32" i="11"/>
  <c r="N32" i="11"/>
  <c r="K32" i="11"/>
  <c r="S32" i="11"/>
  <c r="T32" i="11"/>
  <c r="E32" i="11"/>
  <c r="V32" i="11"/>
  <c r="W32" i="11"/>
  <c r="U32" i="11"/>
  <c r="V33" i="11"/>
  <c r="X33" i="11" s="1"/>
  <c r="D33" i="11"/>
  <c r="S33" i="11"/>
  <c r="O33" i="11"/>
  <c r="K33" i="11"/>
  <c r="G33" i="11"/>
  <c r="L33" i="11"/>
  <c r="E33" i="11"/>
  <c r="M33" i="11"/>
  <c r="F33" i="11"/>
  <c r="T33" i="11"/>
  <c r="N33" i="11"/>
  <c r="U33" i="11"/>
  <c r="C33" i="11"/>
  <c r="V8" i="11"/>
  <c r="S8" i="11"/>
  <c r="W8" i="11"/>
  <c r="T8" i="11"/>
  <c r="N8" i="11"/>
  <c r="U8" i="11"/>
  <c r="F8" i="11"/>
  <c r="K8" i="11"/>
  <c r="O8" i="11"/>
  <c r="M8" i="11"/>
  <c r="C8" i="11"/>
  <c r="L8" i="11"/>
  <c r="D8" i="11"/>
  <c r="G8" i="11"/>
  <c r="E8" i="11"/>
  <c r="C17" i="11"/>
  <c r="L17" i="11"/>
  <c r="D17" i="11"/>
  <c r="M17" i="11"/>
  <c r="F17" i="11"/>
  <c r="T17" i="11"/>
  <c r="N17" i="11"/>
  <c r="G17" i="11"/>
  <c r="K17" i="11"/>
  <c r="O17" i="11"/>
  <c r="W17" i="11"/>
  <c r="S17" i="11"/>
  <c r="U17" i="11"/>
  <c r="V17" i="11"/>
  <c r="E17" i="11"/>
  <c r="W6" i="11"/>
  <c r="T6" i="11"/>
  <c r="E6" i="11"/>
  <c r="V6" i="11"/>
  <c r="S6" i="11"/>
  <c r="N6" i="11"/>
  <c r="K6" i="11"/>
  <c r="O6" i="11"/>
  <c r="L6" i="11"/>
  <c r="F6" i="11"/>
  <c r="M6" i="11"/>
  <c r="C6" i="11"/>
  <c r="U6" i="11"/>
  <c r="G6" i="11"/>
  <c r="D6" i="11"/>
  <c r="Q6" i="25"/>
  <c r="Q12" i="25"/>
  <c r="Q20" i="25"/>
  <c r="Q5" i="25"/>
  <c r="Q51" i="25"/>
  <c r="Q24" i="25"/>
  <c r="Q25" i="25"/>
  <c r="Q15" i="25"/>
  <c r="Q55" i="25"/>
  <c r="Q3" i="25"/>
  <c r="Q9" i="25"/>
  <c r="Q21" i="25"/>
  <c r="Q18" i="25"/>
  <c r="Q7" i="25"/>
  <c r="Q4" i="25"/>
  <c r="Q56" i="25"/>
  <c r="Q22" i="25"/>
  <c r="Q19" i="25"/>
  <c r="Q8" i="25"/>
  <c r="Q31" i="25"/>
  <c r="Q35" i="25"/>
  <c r="Q29" i="25"/>
  <c r="Q52" i="25"/>
  <c r="Q57" i="25"/>
  <c r="Q10" i="25"/>
  <c r="Q38" i="25"/>
  <c r="Q42" i="25"/>
  <c r="Q44" i="25"/>
  <c r="Q32" i="25"/>
  <c r="Q43" i="25"/>
  <c r="Q28" i="25"/>
  <c r="Q39" i="25"/>
  <c r="Q54" i="25"/>
  <c r="Q37" i="25"/>
  <c r="Q23" i="25"/>
  <c r="Q47" i="25"/>
  <c r="Q14" i="25"/>
  <c r="Q27" i="25"/>
  <c r="Q33" i="25"/>
  <c r="Q34" i="25"/>
  <c r="Q13" i="25"/>
  <c r="Q26" i="25"/>
  <c r="Q50" i="25"/>
  <c r="Q41" i="25"/>
  <c r="Q17" i="25"/>
  <c r="Q48" i="25"/>
  <c r="Q49" i="25"/>
  <c r="Q46" i="25"/>
  <c r="Q40" i="25"/>
  <c r="Q16" i="25"/>
  <c r="Q45" i="25"/>
  <c r="Q53" i="25"/>
  <c r="Q36" i="25"/>
  <c r="Q30" i="25"/>
  <c r="Q11" i="25"/>
  <c r="O14" i="11"/>
  <c r="K14" i="11"/>
  <c r="F14" i="11"/>
  <c r="L14" i="11"/>
  <c r="E14" i="11"/>
  <c r="U14" i="11"/>
  <c r="C14" i="11"/>
  <c r="V14" i="11"/>
  <c r="D14" i="11"/>
  <c r="N14" i="11"/>
  <c r="S14" i="11"/>
  <c r="W14" i="11"/>
  <c r="G14" i="11"/>
  <c r="T14" i="11"/>
  <c r="M14" i="11"/>
  <c r="O34" i="11"/>
  <c r="L34" i="11"/>
  <c r="D34" i="11"/>
  <c r="T34" i="11"/>
  <c r="G34" i="11"/>
  <c r="U34" i="11"/>
  <c r="E34" i="11"/>
  <c r="M34" i="11"/>
  <c r="V34" i="11"/>
  <c r="W34" i="11"/>
  <c r="F34" i="11"/>
  <c r="C34" i="11"/>
  <c r="S34" i="11"/>
  <c r="N34" i="11"/>
  <c r="K34" i="11"/>
  <c r="W22" i="11"/>
  <c r="T22" i="11"/>
  <c r="O22" i="11"/>
  <c r="K22" i="11"/>
  <c r="G22" i="11"/>
  <c r="M22" i="11"/>
  <c r="C22" i="11"/>
  <c r="U22" i="11"/>
  <c r="D22" i="11"/>
  <c r="V22" i="11"/>
  <c r="E22" i="11"/>
  <c r="N22" i="11"/>
  <c r="F22" i="11"/>
  <c r="S22" i="11"/>
  <c r="L22" i="11"/>
  <c r="W18" i="11"/>
  <c r="T18" i="11"/>
  <c r="C18" i="11"/>
  <c r="O18" i="11"/>
  <c r="K18" i="11"/>
  <c r="G18" i="11"/>
  <c r="L18" i="11"/>
  <c r="F18" i="11"/>
  <c r="D18" i="11"/>
  <c r="M18" i="11"/>
  <c r="U18" i="11"/>
  <c r="E18" i="11"/>
  <c r="N18" i="11"/>
  <c r="V18" i="11"/>
  <c r="S18" i="11"/>
  <c r="N2" i="11"/>
  <c r="T2" i="11"/>
  <c r="E2" i="11"/>
  <c r="U2" i="11"/>
  <c r="G2" i="11"/>
  <c r="C2" i="11"/>
  <c r="F2" i="11"/>
  <c r="W2" i="11"/>
  <c r="S2" i="11"/>
  <c r="O2" i="11"/>
  <c r="K2" i="11"/>
  <c r="D2" i="11"/>
  <c r="L2" i="11"/>
  <c r="V2" i="11"/>
  <c r="M2" i="11"/>
  <c r="O30" i="11"/>
  <c r="U30" i="11"/>
  <c r="F30" i="11"/>
  <c r="K30" i="11"/>
  <c r="C30" i="11"/>
  <c r="L30" i="11"/>
  <c r="G30" i="11"/>
  <c r="M30" i="11"/>
  <c r="E30" i="11"/>
  <c r="V30" i="11"/>
  <c r="D30" i="11"/>
  <c r="N30" i="11"/>
  <c r="S30" i="11"/>
  <c r="W30" i="11"/>
  <c r="T30" i="11"/>
  <c r="O26" i="11"/>
  <c r="S26" i="11"/>
  <c r="G26" i="11"/>
  <c r="K26" i="11"/>
  <c r="C26" i="11"/>
  <c r="L26" i="11"/>
  <c r="D26" i="11"/>
  <c r="T26" i="11"/>
  <c r="V26" i="11"/>
  <c r="U26" i="11"/>
  <c r="W26" i="11"/>
  <c r="M26" i="11"/>
  <c r="F26" i="11"/>
  <c r="N26" i="11"/>
  <c r="E26" i="11"/>
  <c r="N10" i="11"/>
  <c r="E10" i="11"/>
  <c r="O10" i="11"/>
  <c r="S10" i="11"/>
  <c r="G10" i="11"/>
  <c r="K10" i="11"/>
  <c r="V10" i="11"/>
  <c r="L10" i="11"/>
  <c r="W10" i="11"/>
  <c r="M10" i="11"/>
  <c r="F10" i="11"/>
  <c r="T10" i="11"/>
  <c r="C10" i="11"/>
  <c r="U10" i="11"/>
  <c r="D10" i="11"/>
  <c r="W35" i="11" l="1"/>
  <c r="X35" i="11" s="1"/>
  <c r="U35" i="11"/>
  <c r="U13" i="11"/>
  <c r="W37" i="11"/>
  <c r="F37" i="11"/>
  <c r="C16" i="11"/>
  <c r="E16" i="11"/>
  <c r="P35" i="11"/>
  <c r="S13" i="11"/>
  <c r="L37" i="11"/>
  <c r="E37" i="11"/>
  <c r="I37" i="11" s="1"/>
  <c r="G16" i="11"/>
  <c r="H16" i="11" s="1"/>
  <c r="L16" i="11"/>
  <c r="O13" i="11"/>
  <c r="P13" i="11" s="1"/>
  <c r="G37" i="11"/>
  <c r="U16" i="11"/>
  <c r="Y16" i="11" s="1"/>
  <c r="M35" i="11"/>
  <c r="D35" i="11"/>
  <c r="M13" i="11"/>
  <c r="E35" i="11"/>
  <c r="E13" i="11"/>
  <c r="G13" i="11"/>
  <c r="F13" i="11"/>
  <c r="T13" i="11"/>
  <c r="L13" i="11"/>
  <c r="W13" i="11"/>
  <c r="L9" i="11"/>
  <c r="V13" i="11"/>
  <c r="W9" i="11"/>
  <c r="H22" i="11"/>
  <c r="D13" i="11"/>
  <c r="C13" i="11"/>
  <c r="M9" i="11"/>
  <c r="K13" i="11"/>
  <c r="P29" i="11"/>
  <c r="R29" i="11"/>
  <c r="K20" i="11"/>
  <c r="U19" i="11"/>
  <c r="H29" i="11"/>
  <c r="L20" i="11"/>
  <c r="F19" i="11"/>
  <c r="C35" i="11"/>
  <c r="D19" i="11"/>
  <c r="W19" i="11"/>
  <c r="B29" i="11"/>
  <c r="T4" i="11"/>
  <c r="D4" i="11"/>
  <c r="C19" i="11"/>
  <c r="T19" i="11"/>
  <c r="I35" i="33"/>
  <c r="J35" i="33" s="1"/>
  <c r="N4" i="11"/>
  <c r="K4" i="11"/>
  <c r="J4" i="11" s="1"/>
  <c r="G19" i="11"/>
  <c r="S19" i="11"/>
  <c r="D21" i="11"/>
  <c r="S4" i="11"/>
  <c r="V4" i="11"/>
  <c r="X4" i="11" s="1"/>
  <c r="M19" i="11"/>
  <c r="O19" i="11"/>
  <c r="O21" i="11"/>
  <c r="F4" i="11"/>
  <c r="H4" i="11" s="1"/>
  <c r="U4" i="11"/>
  <c r="N19" i="11"/>
  <c r="T21" i="11"/>
  <c r="C4" i="11"/>
  <c r="O4" i="11"/>
  <c r="E19" i="11"/>
  <c r="C21" i="11"/>
  <c r="V19" i="11"/>
  <c r="L19" i="11"/>
  <c r="T35" i="11"/>
  <c r="R35" i="11" s="1"/>
  <c r="G35" i="11"/>
  <c r="H35" i="11" s="1"/>
  <c r="V9" i="11"/>
  <c r="K9" i="11"/>
  <c r="T9" i="11"/>
  <c r="U9" i="11"/>
  <c r="C9" i="11"/>
  <c r="N9" i="11"/>
  <c r="D9" i="11"/>
  <c r="E9" i="11"/>
  <c r="P33" i="11"/>
  <c r="O9" i="11"/>
  <c r="S9" i="11"/>
  <c r="F9" i="11"/>
  <c r="H9" i="11" s="1"/>
  <c r="I13" i="33"/>
  <c r="J13" i="33" s="1"/>
  <c r="I5" i="33"/>
  <c r="J5" i="33" s="1"/>
  <c r="J35" i="11"/>
  <c r="I32" i="33"/>
  <c r="J32" i="33" s="1"/>
  <c r="I17" i="33"/>
  <c r="J17" i="33" s="1"/>
  <c r="M20" i="11"/>
  <c r="I34" i="33"/>
  <c r="J34" i="33" s="1"/>
  <c r="F20" i="11"/>
  <c r="I28" i="33"/>
  <c r="J28" i="33" s="1"/>
  <c r="I20" i="33"/>
  <c r="J20" i="33" s="1"/>
  <c r="G21" i="11"/>
  <c r="W21" i="11"/>
  <c r="M21" i="11"/>
  <c r="BI1" i="10" a="1"/>
  <c r="BK4" i="10" s="1" a="1"/>
  <c r="BK4" i="10" s="1"/>
  <c r="I3" i="11"/>
  <c r="I31" i="33"/>
  <c r="J31" i="33" s="1"/>
  <c r="I29" i="33"/>
  <c r="J29" i="33" s="1"/>
  <c r="I2" i="33"/>
  <c r="J2" i="33" s="1"/>
  <c r="S20" i="11"/>
  <c r="I12" i="33"/>
  <c r="J12" i="33" s="1"/>
  <c r="I21" i="33"/>
  <c r="J21" i="33" s="1"/>
  <c r="I27" i="33"/>
  <c r="J27" i="33" s="1"/>
  <c r="I37" i="33"/>
  <c r="J37" i="33" s="1"/>
  <c r="O20" i="11"/>
  <c r="I3" i="33"/>
  <c r="J3" i="33" s="1"/>
  <c r="I33" i="33"/>
  <c r="J33" i="33" s="1"/>
  <c r="I9" i="33"/>
  <c r="J9" i="33" s="1"/>
  <c r="I14" i="33"/>
  <c r="J14" i="33" s="1"/>
  <c r="U20" i="11"/>
  <c r="V21" i="11"/>
  <c r="N21" i="11"/>
  <c r="N20" i="11"/>
  <c r="P20" i="11" s="1"/>
  <c r="D20" i="11"/>
  <c r="I30" i="33"/>
  <c r="J30" i="33" s="1"/>
  <c r="I18" i="33"/>
  <c r="J18" i="33" s="1"/>
  <c r="I6" i="33"/>
  <c r="J6" i="33" s="1"/>
  <c r="I11" i="33"/>
  <c r="J11" i="33" s="1"/>
  <c r="I23" i="33"/>
  <c r="J23" i="33" s="1"/>
  <c r="I4" i="33"/>
  <c r="J4" i="33" s="1"/>
  <c r="C20" i="11"/>
  <c r="G20" i="11"/>
  <c r="I36" i="11"/>
  <c r="L21" i="11"/>
  <c r="S21" i="11"/>
  <c r="I19" i="33"/>
  <c r="J19" i="33" s="1"/>
  <c r="I7" i="33"/>
  <c r="J7" i="33" s="1"/>
  <c r="I16" i="33"/>
  <c r="J16" i="33" s="1"/>
  <c r="W20" i="11"/>
  <c r="T20" i="11"/>
  <c r="K21" i="11"/>
  <c r="F21" i="11"/>
  <c r="I8" i="33"/>
  <c r="J8" i="33" s="1"/>
  <c r="I25" i="33"/>
  <c r="J25" i="33" s="1"/>
  <c r="I22" i="33"/>
  <c r="J22" i="33" s="1"/>
  <c r="I10" i="33"/>
  <c r="J10" i="33" s="1"/>
  <c r="I15" i="33"/>
  <c r="J15" i="33" s="1"/>
  <c r="I36" i="33"/>
  <c r="J36" i="33" s="1"/>
  <c r="I24" i="33"/>
  <c r="J24" i="33" s="1"/>
  <c r="V20" i="11"/>
  <c r="U21" i="11"/>
  <c r="Q29" i="11"/>
  <c r="Q35" i="11"/>
  <c r="Y29" i="11"/>
  <c r="P27" i="11"/>
  <c r="J29" i="11"/>
  <c r="AK19" i="27" a="1"/>
  <c r="AK19" i="27" s="1"/>
  <c r="C91" i="36"/>
  <c r="C84" i="36"/>
  <c r="P36" i="11"/>
  <c r="Y36" i="11"/>
  <c r="R36" i="11"/>
  <c r="Q36" i="11"/>
  <c r="J36" i="11"/>
  <c r="H36" i="11"/>
  <c r="P32" i="11"/>
  <c r="B36" i="11"/>
  <c r="X36" i="11"/>
  <c r="V31" i="11"/>
  <c r="G31" i="11"/>
  <c r="K31" i="11"/>
  <c r="S31" i="11"/>
  <c r="D31" i="11"/>
  <c r="N31" i="11"/>
  <c r="L31" i="11"/>
  <c r="T31" i="11"/>
  <c r="C31" i="11"/>
  <c r="M31" i="11"/>
  <c r="W31" i="11"/>
  <c r="E31" i="11"/>
  <c r="F31" i="11"/>
  <c r="U31" i="11"/>
  <c r="O31" i="11"/>
  <c r="H26" i="11"/>
  <c r="P30" i="11"/>
  <c r="X3" i="11"/>
  <c r="I25" i="11"/>
  <c r="H8" i="11"/>
  <c r="X34" i="11"/>
  <c r="P3" i="11"/>
  <c r="B3" i="11"/>
  <c r="I33" i="11"/>
  <c r="X37" i="11"/>
  <c r="P12" i="11"/>
  <c r="I27" i="11"/>
  <c r="I32" i="11"/>
  <c r="B23" i="11"/>
  <c r="I23" i="11"/>
  <c r="X24" i="11"/>
  <c r="I24" i="11"/>
  <c r="P23" i="11"/>
  <c r="P37" i="11"/>
  <c r="H30" i="11"/>
  <c r="I12" i="11"/>
  <c r="X25" i="11"/>
  <c r="R37" i="11"/>
  <c r="Y37" i="11"/>
  <c r="X16" i="11"/>
  <c r="R3" i="11"/>
  <c r="Y3" i="11"/>
  <c r="R27" i="11"/>
  <c r="Y27" i="11"/>
  <c r="Q16" i="11"/>
  <c r="J16" i="11"/>
  <c r="H10" i="11"/>
  <c r="I17" i="11"/>
  <c r="B8" i="11"/>
  <c r="X30" i="11"/>
  <c r="X23" i="11"/>
  <c r="I26" i="33"/>
  <c r="J26" i="33" s="1"/>
  <c r="Q3" i="11"/>
  <c r="J3" i="11"/>
  <c r="W5" i="11"/>
  <c r="T5" i="11"/>
  <c r="G5" i="11"/>
  <c r="O5" i="11"/>
  <c r="N5" i="11"/>
  <c r="C5" i="11"/>
  <c r="S5" i="11"/>
  <c r="F5" i="11"/>
  <c r="U5" i="11"/>
  <c r="D5" i="11"/>
  <c r="K5" i="11"/>
  <c r="E5" i="11"/>
  <c r="L5" i="11"/>
  <c r="V5" i="11"/>
  <c r="M5" i="11"/>
  <c r="X27" i="11"/>
  <c r="I29" i="11"/>
  <c r="H34" i="11"/>
  <c r="H24" i="11"/>
  <c r="J27" i="11"/>
  <c r="Q27" i="11"/>
  <c r="B27" i="11"/>
  <c r="H18" i="11"/>
  <c r="B17" i="11"/>
  <c r="B33" i="11"/>
  <c r="X32" i="11"/>
  <c r="J37" i="11"/>
  <c r="H3" i="11"/>
  <c r="H27" i="11"/>
  <c r="H2" i="11"/>
  <c r="H12" i="11"/>
  <c r="B25" i="11"/>
  <c r="Q37" i="11"/>
  <c r="P16" i="11"/>
  <c r="I15" i="11"/>
  <c r="B37" i="11"/>
  <c r="W28" i="11"/>
  <c r="E28" i="11"/>
  <c r="F28" i="11"/>
  <c r="S28" i="11"/>
  <c r="G28" i="11"/>
  <c r="T28" i="11"/>
  <c r="N28" i="11"/>
  <c r="U28" i="11"/>
  <c r="O28" i="11"/>
  <c r="K28" i="11"/>
  <c r="C28" i="11"/>
  <c r="M28" i="11"/>
  <c r="V28" i="11"/>
  <c r="L28" i="11"/>
  <c r="D28" i="11"/>
  <c r="Y17" i="11"/>
  <c r="R17" i="11"/>
  <c r="Q24" i="11"/>
  <c r="J24" i="11"/>
  <c r="X6" i="11"/>
  <c r="R8" i="11"/>
  <c r="Y8" i="11"/>
  <c r="B32" i="11"/>
  <c r="Q13" i="11"/>
  <c r="J13" i="11"/>
  <c r="P25" i="11"/>
  <c r="V11" i="11"/>
  <c r="U11" i="11"/>
  <c r="W11" i="11"/>
  <c r="L11" i="11"/>
  <c r="N11" i="11"/>
  <c r="M11" i="11"/>
  <c r="G11" i="11"/>
  <c r="K11" i="11"/>
  <c r="O11" i="11"/>
  <c r="F11" i="11"/>
  <c r="C11" i="11"/>
  <c r="E11" i="11"/>
  <c r="T11" i="11"/>
  <c r="S11" i="11"/>
  <c r="D11" i="11"/>
  <c r="X8" i="11"/>
  <c r="J12" i="11"/>
  <c r="Q23" i="11"/>
  <c r="J23" i="11"/>
  <c r="X15" i="11"/>
  <c r="J17" i="11"/>
  <c r="Q17" i="11"/>
  <c r="J8" i="11"/>
  <c r="Q8" i="11"/>
  <c r="R25" i="11"/>
  <c r="Y25" i="11"/>
  <c r="P15" i="11"/>
  <c r="J33" i="11"/>
  <c r="Q33" i="11"/>
  <c r="B12" i="11"/>
  <c r="Y24" i="11"/>
  <c r="R24" i="11"/>
  <c r="P24" i="11"/>
  <c r="B15" i="11"/>
  <c r="P14" i="11"/>
  <c r="P17" i="11"/>
  <c r="G7" i="11"/>
  <c r="K7" i="11"/>
  <c r="D7" i="11"/>
  <c r="N7" i="11"/>
  <c r="E7" i="11"/>
  <c r="O7" i="11"/>
  <c r="S7" i="11"/>
  <c r="W7" i="11"/>
  <c r="U7" i="11"/>
  <c r="T7" i="11"/>
  <c r="F7" i="11"/>
  <c r="C7" i="11"/>
  <c r="V7" i="11"/>
  <c r="M7" i="11"/>
  <c r="L7" i="11"/>
  <c r="R23" i="11"/>
  <c r="Y23" i="11"/>
  <c r="H23" i="11"/>
  <c r="Q15" i="11"/>
  <c r="J15" i="11"/>
  <c r="X18" i="11"/>
  <c r="X17" i="11"/>
  <c r="P8" i="11"/>
  <c r="R33" i="11"/>
  <c r="Y33" i="11"/>
  <c r="Y32" i="11"/>
  <c r="R32" i="11"/>
  <c r="X9" i="11"/>
  <c r="J25" i="11"/>
  <c r="Q25" i="11"/>
  <c r="B24" i="11"/>
  <c r="H15" i="11"/>
  <c r="X2" i="11"/>
  <c r="P26" i="11"/>
  <c r="I8" i="11"/>
  <c r="H17" i="11"/>
  <c r="H33" i="11"/>
  <c r="J32" i="11"/>
  <c r="Q32" i="11"/>
  <c r="H32" i="11"/>
  <c r="Q12" i="11"/>
  <c r="Y12" i="11"/>
  <c r="R12" i="11"/>
  <c r="H25" i="11"/>
  <c r="R15" i="11"/>
  <c r="Y15" i="11"/>
  <c r="X10" i="11"/>
  <c r="Q26" i="11"/>
  <c r="J26" i="11"/>
  <c r="J2" i="11"/>
  <c r="Q2" i="11"/>
  <c r="R18" i="11"/>
  <c r="Y18" i="11"/>
  <c r="X22" i="11"/>
  <c r="R40" i="25"/>
  <c r="T40" i="25"/>
  <c r="S40" i="25"/>
  <c r="S13" i="25"/>
  <c r="T13" i="25"/>
  <c r="R13" i="25"/>
  <c r="S54" i="25"/>
  <c r="T54" i="25"/>
  <c r="R54" i="25"/>
  <c r="T10" i="25"/>
  <c r="S10" i="25"/>
  <c r="R10" i="25"/>
  <c r="R22" i="25"/>
  <c r="S22" i="25"/>
  <c r="T22" i="25"/>
  <c r="S55" i="25"/>
  <c r="T55" i="25"/>
  <c r="R55" i="25"/>
  <c r="T6" i="25"/>
  <c r="S6" i="25"/>
  <c r="R6" i="25"/>
  <c r="Q10" i="11"/>
  <c r="J10" i="11"/>
  <c r="R46" i="25"/>
  <c r="T46" i="25"/>
  <c r="S46" i="25"/>
  <c r="R34" i="25"/>
  <c r="T34" i="25"/>
  <c r="S34" i="25"/>
  <c r="S39" i="25"/>
  <c r="R39" i="25"/>
  <c r="T39" i="25"/>
  <c r="S57" i="25"/>
  <c r="R57" i="25"/>
  <c r="T57" i="25"/>
  <c r="S56" i="25"/>
  <c r="R56" i="25"/>
  <c r="T56" i="25"/>
  <c r="T15" i="25"/>
  <c r="S15" i="25"/>
  <c r="R15" i="25"/>
  <c r="J6" i="11"/>
  <c r="Q6" i="11"/>
  <c r="I10" i="11"/>
  <c r="B10" i="11"/>
  <c r="R26" i="11"/>
  <c r="Y26" i="11"/>
  <c r="Y30" i="11"/>
  <c r="R30" i="11"/>
  <c r="I30" i="11"/>
  <c r="B30" i="11"/>
  <c r="R2" i="11"/>
  <c r="Y2" i="11"/>
  <c r="P2" i="11"/>
  <c r="P18" i="11"/>
  <c r="Q18" i="11"/>
  <c r="J18" i="11"/>
  <c r="R11" i="25"/>
  <c r="S11" i="25"/>
  <c r="T11" i="25"/>
  <c r="T49" i="25"/>
  <c r="S49" i="25"/>
  <c r="R49" i="25"/>
  <c r="T33" i="25"/>
  <c r="S33" i="25"/>
  <c r="R33" i="25"/>
  <c r="S28" i="25"/>
  <c r="R28" i="25"/>
  <c r="T28" i="25"/>
  <c r="T52" i="25"/>
  <c r="S52" i="25"/>
  <c r="R52" i="25"/>
  <c r="R4" i="25"/>
  <c r="S4" i="25"/>
  <c r="T4" i="25"/>
  <c r="T25" i="25"/>
  <c r="S25" i="25"/>
  <c r="R25" i="25"/>
  <c r="P6" i="11"/>
  <c r="Y10" i="11"/>
  <c r="R10" i="11"/>
  <c r="X26" i="11"/>
  <c r="J30" i="11"/>
  <c r="Q30" i="11"/>
  <c r="BY4" i="10" a="1"/>
  <c r="BY4" i="10" s="1"/>
  <c r="CA5" i="10" a="1"/>
  <c r="CA5" i="10" s="1"/>
  <c r="CF2" i="10" a="1"/>
  <c r="CF2" i="10" s="1"/>
  <c r="CC4" i="10" a="1"/>
  <c r="CC4" i="10" s="1"/>
  <c r="I22" i="11"/>
  <c r="B22" i="11"/>
  <c r="Q34" i="11"/>
  <c r="J34" i="11"/>
  <c r="R14" i="11"/>
  <c r="Y14" i="11"/>
  <c r="H14" i="11"/>
  <c r="S30" i="25"/>
  <c r="T30" i="25"/>
  <c r="R30" i="25"/>
  <c r="S48" i="25"/>
  <c r="T48" i="25"/>
  <c r="R48" i="25"/>
  <c r="T27" i="25"/>
  <c r="S27" i="25"/>
  <c r="R27" i="25"/>
  <c r="T43" i="25"/>
  <c r="S43" i="25"/>
  <c r="R43" i="25"/>
  <c r="T29" i="25"/>
  <c r="S29" i="25"/>
  <c r="R29" i="25"/>
  <c r="T7" i="25"/>
  <c r="S7" i="25"/>
  <c r="R7" i="25"/>
  <c r="T24" i="25"/>
  <c r="S24" i="25"/>
  <c r="R24" i="25"/>
  <c r="R6" i="11"/>
  <c r="Y6" i="11"/>
  <c r="I18" i="11"/>
  <c r="B18" i="11"/>
  <c r="R22" i="11"/>
  <c r="Y22" i="11"/>
  <c r="P34" i="11"/>
  <c r="J14" i="11"/>
  <c r="Q14" i="11"/>
  <c r="T36" i="25"/>
  <c r="S36" i="25"/>
  <c r="R36" i="25"/>
  <c r="T17" i="25"/>
  <c r="S17" i="25"/>
  <c r="R17" i="25"/>
  <c r="T14" i="25"/>
  <c r="S14" i="25"/>
  <c r="R14" i="25"/>
  <c r="T32" i="25"/>
  <c r="S32" i="25"/>
  <c r="R32" i="25"/>
  <c r="T35" i="25"/>
  <c r="R35" i="25"/>
  <c r="S35" i="25"/>
  <c r="S18" i="25"/>
  <c r="T18" i="25"/>
  <c r="R18" i="25"/>
  <c r="S51" i="25"/>
  <c r="T51" i="25"/>
  <c r="R51" i="25"/>
  <c r="I6" i="11"/>
  <c r="B6" i="11"/>
  <c r="I2" i="11"/>
  <c r="B2" i="11"/>
  <c r="R34" i="11"/>
  <c r="Y34" i="11"/>
  <c r="T53" i="25"/>
  <c r="S53" i="25"/>
  <c r="R53" i="25"/>
  <c r="S41" i="25"/>
  <c r="T41" i="25"/>
  <c r="R41" i="25"/>
  <c r="R47" i="25"/>
  <c r="S47" i="25"/>
  <c r="T47" i="25"/>
  <c r="R44" i="25"/>
  <c r="T44" i="25"/>
  <c r="S44" i="25"/>
  <c r="T31" i="25"/>
  <c r="S31" i="25"/>
  <c r="R31" i="25"/>
  <c r="T21" i="25"/>
  <c r="S21" i="25"/>
  <c r="R21" i="25"/>
  <c r="T5" i="25"/>
  <c r="S5" i="25"/>
  <c r="R5" i="25"/>
  <c r="P10" i="11"/>
  <c r="P22" i="11"/>
  <c r="Q22" i="11"/>
  <c r="J22" i="11"/>
  <c r="I34" i="11"/>
  <c r="B34" i="11"/>
  <c r="X14" i="11"/>
  <c r="S45" i="25"/>
  <c r="R45" i="25"/>
  <c r="T45" i="25"/>
  <c r="T50" i="25"/>
  <c r="S50" i="25"/>
  <c r="R50" i="25"/>
  <c r="S23" i="25"/>
  <c r="R23" i="25"/>
  <c r="T23" i="25"/>
  <c r="R42" i="25"/>
  <c r="T42" i="25"/>
  <c r="S42" i="25"/>
  <c r="R8" i="25"/>
  <c r="S8" i="25"/>
  <c r="T8" i="25"/>
  <c r="R9" i="25"/>
  <c r="S9" i="25"/>
  <c r="T9" i="25"/>
  <c r="T20" i="25"/>
  <c r="S20" i="25"/>
  <c r="R20" i="25"/>
  <c r="H6" i="11"/>
  <c r="B26" i="11"/>
  <c r="I26" i="11"/>
  <c r="I14" i="11"/>
  <c r="B14" i="11"/>
  <c r="T16" i="25"/>
  <c r="R16" i="25"/>
  <c r="S16" i="25"/>
  <c r="T26" i="25"/>
  <c r="S26" i="25"/>
  <c r="R26" i="25"/>
  <c r="T37" i="25"/>
  <c r="S37" i="25"/>
  <c r="R37" i="25"/>
  <c r="S38" i="25"/>
  <c r="R38" i="25"/>
  <c r="T38" i="25"/>
  <c r="R19" i="25"/>
  <c r="T19" i="25"/>
  <c r="S19" i="25"/>
  <c r="R3" i="25"/>
  <c r="C1" i="25"/>
  <c r="T3" i="25"/>
  <c r="S3" i="25"/>
  <c r="R12" i="25"/>
  <c r="T12" i="25"/>
  <c r="S12" i="25"/>
  <c r="X13" i="11" l="1"/>
  <c r="B35" i="11"/>
  <c r="H13" i="11"/>
  <c r="H37" i="11"/>
  <c r="I16" i="11"/>
  <c r="R4" i="11"/>
  <c r="R13" i="11"/>
  <c r="B16" i="11"/>
  <c r="H21" i="11"/>
  <c r="Y4" i="11"/>
  <c r="B13" i="11"/>
  <c r="I13" i="11"/>
  <c r="R16" i="11"/>
  <c r="B20" i="11"/>
  <c r="Y13" i="11"/>
  <c r="Q20" i="11"/>
  <c r="I4" i="11"/>
  <c r="R19" i="11"/>
  <c r="I35" i="11"/>
  <c r="B4" i="11"/>
  <c r="Y19" i="11"/>
  <c r="Q9" i="11"/>
  <c r="BR7" i="10" a="1"/>
  <c r="BR7" i="10" s="1"/>
  <c r="BR24" i="10" s="1"/>
  <c r="P21" i="11"/>
  <c r="CR7" i="10" a="1"/>
  <c r="CR7" i="10" s="1"/>
  <c r="CO5" i="10" a="1"/>
  <c r="CO5" i="10" s="1"/>
  <c r="CR8" i="10" a="1"/>
  <c r="CR8" i="10" s="1"/>
  <c r="CI6" i="10" a="1"/>
  <c r="CI6" i="10" s="1"/>
  <c r="CI23" i="10" s="1"/>
  <c r="BL9" i="10" a="1"/>
  <c r="BL9" i="10" s="1"/>
  <c r="BL35" i="10" s="1"/>
  <c r="CN2" i="10" a="1"/>
  <c r="CN2" i="10" s="1"/>
  <c r="CN28" i="10" s="1"/>
  <c r="CE2" i="10" a="1"/>
  <c r="CE2" i="10" s="1"/>
  <c r="CE19" i="10" s="1"/>
  <c r="BM3" i="10" a="1"/>
  <c r="BM3" i="10" s="1"/>
  <c r="BM29" i="10" s="1"/>
  <c r="BU6" i="10" a="1"/>
  <c r="BU6" i="10" s="1"/>
  <c r="CP7" i="10" a="1"/>
  <c r="CP7" i="10" s="1"/>
  <c r="CJ2" i="10" a="1"/>
  <c r="CJ2" i="10" s="1"/>
  <c r="BJ5" i="10" a="1"/>
  <c r="BJ5" i="10" s="1"/>
  <c r="CR9" i="10" a="1"/>
  <c r="CR9" i="10" s="1"/>
  <c r="CC2" i="10" a="1"/>
  <c r="CC2" i="10" s="1"/>
  <c r="CC28" i="10" s="1"/>
  <c r="BS6" i="10" a="1"/>
  <c r="BS6" i="10" s="1"/>
  <c r="BT3" i="10" a="1"/>
  <c r="BT3" i="10" s="1"/>
  <c r="CJ3" i="10" a="1"/>
  <c r="CJ3" i="10" s="1"/>
  <c r="H19" i="11"/>
  <c r="X19" i="11"/>
  <c r="BK5" i="10" a="1"/>
  <c r="BK5" i="10" s="1"/>
  <c r="CA2" i="10" a="1"/>
  <c r="CA2" i="10" s="1"/>
  <c r="CA19" i="10" s="1"/>
  <c r="CC8" i="10" a="1"/>
  <c r="CC8" i="10" s="1"/>
  <c r="CC34" i="10" s="1"/>
  <c r="CC9" i="10" a="1"/>
  <c r="CC9" i="10" s="1"/>
  <c r="CC26" i="10" s="1"/>
  <c r="CD4" i="10" a="1"/>
  <c r="CD4" i="10" s="1"/>
  <c r="CD12" i="10" s="1"/>
  <c r="CQ8" i="10" a="1"/>
  <c r="CQ8" i="10" s="1"/>
  <c r="CA7" i="10" a="1"/>
  <c r="CA7" i="10" s="1"/>
  <c r="BV2" i="10" a="1"/>
  <c r="BV2" i="10" s="1"/>
  <c r="B19" i="11"/>
  <c r="R9" i="11"/>
  <c r="H20" i="11"/>
  <c r="J9" i="11"/>
  <c r="I19" i="11"/>
  <c r="P9" i="11"/>
  <c r="J19" i="11"/>
  <c r="Y9" i="11"/>
  <c r="I21" i="11"/>
  <c r="P19" i="11"/>
  <c r="P4" i="11"/>
  <c r="Y35" i="11"/>
  <c r="Q19" i="11"/>
  <c r="BX5" i="10" a="1"/>
  <c r="BX5" i="10" s="1"/>
  <c r="BV6" i="10" a="1"/>
  <c r="BV6" i="10" s="1"/>
  <c r="BU3" i="10" a="1"/>
  <c r="BU3" i="10" s="1"/>
  <c r="BU29" i="10" s="1"/>
  <c r="CG6" i="10" a="1"/>
  <c r="CG6" i="10" s="1"/>
  <c r="CG32" i="10" s="1"/>
  <c r="CJ5" i="10" a="1"/>
  <c r="CJ5" i="10" s="1"/>
  <c r="CJ31" i="10" s="1"/>
  <c r="BT4" i="10" a="1"/>
  <c r="BT4" i="10" s="1"/>
  <c r="BT21" i="10" s="1"/>
  <c r="BR3" i="10" a="1"/>
  <c r="BR3" i="10" s="1"/>
  <c r="BR29" i="10" s="1"/>
  <c r="BY8" i="10" a="1"/>
  <c r="BY8" i="10" s="1"/>
  <c r="BY34" i="10" s="1"/>
  <c r="BZ8" i="10" a="1"/>
  <c r="BZ8" i="10" s="1"/>
  <c r="CQ7" i="10" a="1"/>
  <c r="CQ7" i="10" s="1"/>
  <c r="BX9" i="10" a="1"/>
  <c r="BX9" i="10" s="1"/>
  <c r="BX26" i="10" s="1"/>
  <c r="CN3" i="10" a="1"/>
  <c r="CN3" i="10" s="1"/>
  <c r="CC6" i="10" a="1"/>
  <c r="CC6" i="10" s="1"/>
  <c r="CC32" i="10" s="1"/>
  <c r="CG9" i="10" a="1"/>
  <c r="CG9" i="10" s="1"/>
  <c r="CD5" i="10" a="1"/>
  <c r="CD5" i="10" s="1"/>
  <c r="CD31" i="10" s="1"/>
  <c r="CG4" i="10" a="1"/>
  <c r="CG4" i="10" s="1"/>
  <c r="BK7" i="10" a="1"/>
  <c r="BK7" i="10" s="1"/>
  <c r="BS7" i="10" a="1"/>
  <c r="BS7" i="10" s="1"/>
  <c r="CL9" i="10" a="1"/>
  <c r="CL9" i="10" s="1"/>
  <c r="CL35" i="10" s="1"/>
  <c r="CI3" i="10" a="1"/>
  <c r="CI3" i="10" s="1"/>
  <c r="CI29" i="10" s="1"/>
  <c r="BU2" i="10" a="1"/>
  <c r="BU2" i="10" s="1"/>
  <c r="BU28" i="10" s="1"/>
  <c r="Q4" i="11"/>
  <c r="CD9" i="10" a="1"/>
  <c r="CD9" i="10" s="1"/>
  <c r="BY7" i="10" a="1"/>
  <c r="BY7" i="10" s="1"/>
  <c r="BY24" i="10" s="1"/>
  <c r="BW4" i="10" a="1"/>
  <c r="BW4" i="10" s="1"/>
  <c r="BK2" i="10" a="1"/>
  <c r="BK2" i="10" s="1"/>
  <c r="BV3" i="10" a="1"/>
  <c r="BV3" i="10" s="1"/>
  <c r="CE4" i="10" a="1"/>
  <c r="CE4" i="10" s="1"/>
  <c r="CE21" i="10" s="1"/>
  <c r="CI2" i="10" a="1"/>
  <c r="CI2" i="10" s="1"/>
  <c r="CJ9" i="10" a="1"/>
  <c r="CJ9" i="10" s="1"/>
  <c r="CJ35" i="10" s="1"/>
  <c r="BX7" i="10" a="1"/>
  <c r="BX7" i="10" s="1"/>
  <c r="BX33" i="10" s="1"/>
  <c r="CG5" i="10" a="1"/>
  <c r="CG5" i="10" s="1"/>
  <c r="CG31" i="10" s="1"/>
  <c r="BP6" i="10" a="1"/>
  <c r="BP6" i="10" s="1"/>
  <c r="BW6" i="10" a="1"/>
  <c r="BW6" i="10" s="1"/>
  <c r="BW32" i="10" s="1"/>
  <c r="CC3" i="10" a="1"/>
  <c r="CC3" i="10" s="1"/>
  <c r="CC11" i="10" s="1"/>
  <c r="BM2" i="10" a="1"/>
  <c r="BM2" i="10" s="1"/>
  <c r="BM19" i="10" s="1"/>
  <c r="BX2" i="10" a="1"/>
  <c r="BX2" i="10" s="1"/>
  <c r="BX10" i="10" s="1"/>
  <c r="CN6" i="10" a="1"/>
  <c r="CN6" i="10" s="1"/>
  <c r="CN32" i="10" s="1"/>
  <c r="CR4" i="10" a="1"/>
  <c r="CR4" i="10" s="1"/>
  <c r="CR30" i="10" s="1"/>
  <c r="BR8" i="10" a="1"/>
  <c r="BR8" i="10" s="1"/>
  <c r="BR34" i="10" s="1"/>
  <c r="CP2" i="10" a="1"/>
  <c r="CP2" i="10" s="1"/>
  <c r="BR4" i="10" a="1"/>
  <c r="BR4" i="10" s="1"/>
  <c r="BS2" i="10" a="1"/>
  <c r="BS2" i="10" s="1"/>
  <c r="BS19" i="10" s="1"/>
  <c r="BQ2" i="10" a="1"/>
  <c r="BQ2" i="10" s="1"/>
  <c r="BQ28" i="10" s="1"/>
  <c r="CF3" i="10" a="1"/>
  <c r="CF3" i="10" s="1"/>
  <c r="CF20" i="10" s="1"/>
  <c r="BT6" i="10" a="1"/>
  <c r="BT6" i="10" s="1"/>
  <c r="BT32" i="10" s="1"/>
  <c r="CF7" i="10" a="1"/>
  <c r="CF7" i="10" s="1"/>
  <c r="CF24" i="10" s="1"/>
  <c r="B21" i="11"/>
  <c r="BN7" i="10" a="1"/>
  <c r="BN7" i="10" s="1"/>
  <c r="BK3" i="10" a="1"/>
  <c r="BK3" i="10" s="1"/>
  <c r="BK20" i="10" s="1"/>
  <c r="CE8" i="10" a="1"/>
  <c r="CE8" i="10" s="1"/>
  <c r="CE34" i="10" s="1"/>
  <c r="BO8" i="10" a="1"/>
  <c r="BO8" i="10" s="1"/>
  <c r="BO25" i="10" s="1"/>
  <c r="CO6" i="10" a="1"/>
  <c r="CO6" i="10" s="1"/>
  <c r="BL7" i="10" a="1"/>
  <c r="BL7" i="10" s="1"/>
  <c r="BT2" i="10" a="1"/>
  <c r="BT2" i="10" s="1"/>
  <c r="CA6" i="10" a="1"/>
  <c r="CA6" i="10" s="1"/>
  <c r="CA32" i="10" s="1"/>
  <c r="BS8" i="10" a="1"/>
  <c r="BS8" i="10" s="1"/>
  <c r="CI9" i="10" a="1"/>
  <c r="CI9" i="10" s="1"/>
  <c r="BQ9" i="10" a="1"/>
  <c r="BQ9" i="10" s="1"/>
  <c r="BQ35" i="10" s="1"/>
  <c r="CI4" i="10" a="1"/>
  <c r="CI4" i="10" s="1"/>
  <c r="CP9" i="10" a="1"/>
  <c r="CP9" i="10" s="1"/>
  <c r="CP26" i="10" s="1"/>
  <c r="J20" i="11"/>
  <c r="CH9" i="10" a="1"/>
  <c r="CH9" i="10" s="1"/>
  <c r="CH35" i="10" s="1"/>
  <c r="BZ4" i="10" a="1"/>
  <c r="BZ4" i="10" s="1"/>
  <c r="CL4" i="10" a="1"/>
  <c r="CL4" i="10" s="1"/>
  <c r="BP5" i="10" a="1"/>
  <c r="BP5" i="10" s="1"/>
  <c r="CE6" i="10" a="1"/>
  <c r="CE6" i="10" s="1"/>
  <c r="CN5" i="10" a="1"/>
  <c r="CN5" i="10" s="1"/>
  <c r="CN13" i="10" s="1"/>
  <c r="CD7" i="10" a="1"/>
  <c r="CD7" i="10" s="1"/>
  <c r="CD33" i="10" s="1"/>
  <c r="BZ7" i="10" a="1"/>
  <c r="BZ7" i="10" s="1"/>
  <c r="BZ33" i="10" s="1"/>
  <c r="BU9" i="10" a="1"/>
  <c r="BU9" i="10" s="1"/>
  <c r="CL8" i="10" a="1"/>
  <c r="CL8" i="10" s="1"/>
  <c r="CL25" i="10" s="1"/>
  <c r="CK8" i="10" a="1"/>
  <c r="CK8" i="10" s="1"/>
  <c r="CM3" i="10" a="1"/>
  <c r="CM3" i="10" s="1"/>
  <c r="CM29" i="10" s="1"/>
  <c r="BJ3" i="10" a="1"/>
  <c r="BJ3" i="10" s="1"/>
  <c r="BP3" i="10" a="1"/>
  <c r="BP3" i="10" s="1"/>
  <c r="BP29" i="10" s="1"/>
  <c r="BS9" i="10" a="1"/>
  <c r="BS9" i="10" s="1"/>
  <c r="BS35" i="10" s="1"/>
  <c r="BV8" i="10" a="1"/>
  <c r="BV8" i="10" s="1"/>
  <c r="BV34" i="10" s="1"/>
  <c r="CI7" i="10" a="1"/>
  <c r="CI7" i="10" s="1"/>
  <c r="CI15" i="10" s="1"/>
  <c r="BZ9" i="10" a="1"/>
  <c r="BZ9" i="10" s="1"/>
  <c r="BZ26" i="10" s="1"/>
  <c r="BT8" i="10" a="1"/>
  <c r="BT8" i="10" s="1"/>
  <c r="BN5" i="10" a="1"/>
  <c r="BN5" i="10" s="1"/>
  <c r="CP8" i="10" a="1"/>
  <c r="CP8" i="10" s="1"/>
  <c r="CP34" i="10" s="1"/>
  <c r="CH2" i="10" a="1"/>
  <c r="CH2" i="10" s="1"/>
  <c r="CH28" i="10" s="1"/>
  <c r="BY2" i="10" a="1"/>
  <c r="BY2" i="10" s="1"/>
  <c r="BY19" i="10" s="1"/>
  <c r="CB2" i="10" a="1"/>
  <c r="CB2" i="10" s="1"/>
  <c r="CB28" i="10" s="1"/>
  <c r="CO8" i="10" a="1"/>
  <c r="CO8" i="10" s="1"/>
  <c r="CO25" i="10" s="1"/>
  <c r="BS5" i="10" a="1"/>
  <c r="BS5" i="10" s="1"/>
  <c r="BS31" i="10" s="1"/>
  <c r="CE5" i="10" a="1"/>
  <c r="CE5" i="10" s="1"/>
  <c r="CP3" i="10" a="1"/>
  <c r="CP3" i="10" s="1"/>
  <c r="CP29" i="10" s="1"/>
  <c r="BM5" i="10" a="1"/>
  <c r="BM5" i="10" s="1"/>
  <c r="BM31" i="10" s="1"/>
  <c r="CA9" i="10" a="1"/>
  <c r="CA9" i="10" s="1"/>
  <c r="CA17" i="10" s="1"/>
  <c r="BM7" i="10" a="1"/>
  <c r="BM7" i="10" s="1"/>
  <c r="BM33" i="10" s="1"/>
  <c r="B9" i="11"/>
  <c r="I9" i="11"/>
  <c r="CA13" i="10" s="1"/>
  <c r="BT5" i="10" a="1"/>
  <c r="BT5" i="10" s="1"/>
  <c r="BT31" i="10" s="1"/>
  <c r="CQ5" i="10" a="1"/>
  <c r="CQ5" i="10" s="1"/>
  <c r="BL2" i="10" a="1"/>
  <c r="BL2" i="10" s="1"/>
  <c r="BL19" i="10" s="1"/>
  <c r="BL6" i="10" a="1"/>
  <c r="BL6" i="10" s="1"/>
  <c r="BJ7" i="10" a="1"/>
  <c r="BJ7" i="10" s="1"/>
  <c r="BJ33" i="10" s="1"/>
  <c r="BP7" i="10" a="1"/>
  <c r="BP7" i="10" s="1"/>
  <c r="BN6" i="10" a="1"/>
  <c r="BN6" i="10" s="1"/>
  <c r="BY3" i="10" a="1"/>
  <c r="BY3" i="10" s="1"/>
  <c r="BY29" i="10" s="1"/>
  <c r="CJ7" i="10" a="1"/>
  <c r="CJ7" i="10" s="1"/>
  <c r="CJ33" i="10" s="1"/>
  <c r="BR9" i="10" a="1"/>
  <c r="BR9" i="10" s="1"/>
  <c r="BW5" i="10" a="1"/>
  <c r="BW5" i="10" s="1"/>
  <c r="BW22" i="10" s="1"/>
  <c r="BK8" i="10" a="1"/>
  <c r="BK8" i="10" s="1"/>
  <c r="BK34" i="10" s="1"/>
  <c r="CK2" i="10" a="1"/>
  <c r="CK2" i="10" s="1"/>
  <c r="CK28" i="10" s="1"/>
  <c r="BY9" i="10" a="1"/>
  <c r="BY9" i="10" s="1"/>
  <c r="BY35" i="10" s="1"/>
  <c r="CF5" i="10" a="1"/>
  <c r="CF5" i="10" s="1"/>
  <c r="CF22" i="10" s="1"/>
  <c r="CD6" i="10" a="1"/>
  <c r="CD6" i="10" s="1"/>
  <c r="CD32" i="10" s="1"/>
  <c r="CH7" i="10" a="1"/>
  <c r="CH7" i="10" s="1"/>
  <c r="CH33" i="10" s="1"/>
  <c r="BU5" i="10" a="1"/>
  <c r="BU5" i="10" s="1"/>
  <c r="BU31" i="10" s="1"/>
  <c r="CQ2" i="10" a="1"/>
  <c r="CQ2" i="10" s="1"/>
  <c r="CQ28" i="10" s="1"/>
  <c r="BZ2" i="10" a="1"/>
  <c r="BZ2" i="10" s="1"/>
  <c r="BZ19" i="10" s="1"/>
  <c r="BX8" i="10" a="1"/>
  <c r="BX8" i="10" s="1"/>
  <c r="BN3" i="10" a="1"/>
  <c r="BN3" i="10" s="1"/>
  <c r="BO4" i="10" a="1"/>
  <c r="BO4" i="10" s="1"/>
  <c r="BW2" i="10" a="1"/>
  <c r="BW2" i="10" s="1"/>
  <c r="CM9" i="10" a="1"/>
  <c r="CM9" i="10" s="1"/>
  <c r="CO9" i="10" a="1"/>
  <c r="CO9" i="10" s="1"/>
  <c r="CB7" i="10" a="1"/>
  <c r="CB7" i="10" s="1"/>
  <c r="CB33" i="10" s="1"/>
  <c r="CK3" i="10" a="1"/>
  <c r="CK3" i="10" s="1"/>
  <c r="CR6" i="10" a="1"/>
  <c r="CR6" i="10" s="1"/>
  <c r="CR32" i="10" s="1"/>
  <c r="CK4" i="10" a="1"/>
  <c r="CK4" i="10" s="1"/>
  <c r="CK21" i="10" s="1"/>
  <c r="BJ8" i="10" a="1"/>
  <c r="BJ8" i="10" s="1"/>
  <c r="BJ16" i="10" s="1"/>
  <c r="CC7" i="10" a="1"/>
  <c r="CC7" i="10" s="1"/>
  <c r="BN9" i="10" a="1"/>
  <c r="BN9" i="10" s="1"/>
  <c r="BN26" i="10" s="1"/>
  <c r="BR6" i="10" a="1"/>
  <c r="BR6" i="10" s="1"/>
  <c r="BR32" i="10" s="1"/>
  <c r="CB8" i="10" a="1"/>
  <c r="CB8" i="10" s="1"/>
  <c r="CB16" i="10" s="1"/>
  <c r="CL6" i="10" a="1"/>
  <c r="CL6" i="10" s="1"/>
  <c r="BS3" i="10" a="1"/>
  <c r="BS3" i="10" s="1"/>
  <c r="BS29" i="10" s="1"/>
  <c r="BU8" i="10" a="1"/>
  <c r="BU8" i="10" s="1"/>
  <c r="BU34" i="10" s="1"/>
  <c r="CG8" i="10" a="1"/>
  <c r="CG8" i="10" s="1"/>
  <c r="CG25" i="10" s="1"/>
  <c r="CN9" i="10" a="1"/>
  <c r="CN9" i="10" s="1"/>
  <c r="CN35" i="10" s="1"/>
  <c r="CQ4" i="10" a="1"/>
  <c r="CQ4" i="10" s="1"/>
  <c r="CQ21" i="10" s="1"/>
  <c r="BX4" i="10" a="1"/>
  <c r="BX4" i="10" s="1"/>
  <c r="BX30" i="10" s="1"/>
  <c r="CE9" i="10" a="1"/>
  <c r="CE9" i="10" s="1"/>
  <c r="CE26" i="10" s="1"/>
  <c r="CB9" i="10" a="1"/>
  <c r="CB9" i="10" s="1"/>
  <c r="CB35" i="10" s="1"/>
  <c r="CF4" i="10" a="1"/>
  <c r="CF4" i="10" s="1"/>
  <c r="CF30" i="10" s="1"/>
  <c r="BM9" i="10" a="1"/>
  <c r="BM9" i="10" s="1"/>
  <c r="BM35" i="10" s="1"/>
  <c r="CL7" i="10" a="1"/>
  <c r="CL7" i="10" s="1"/>
  <c r="CL15" i="10" s="1"/>
  <c r="CP4" i="10" a="1"/>
  <c r="CP4" i="10" s="1"/>
  <c r="BP4" i="10" a="1"/>
  <c r="BP4" i="10" s="1"/>
  <c r="BR2" i="10" a="1"/>
  <c r="BR2" i="10" s="1"/>
  <c r="BR10" i="10" s="1"/>
  <c r="CI8" i="10" a="1"/>
  <c r="CI8" i="10" s="1"/>
  <c r="CI25" i="10" s="1"/>
  <c r="CM8" i="10" a="1"/>
  <c r="CM8" i="10" s="1"/>
  <c r="CM25" i="10" s="1"/>
  <c r="BL8" i="10" a="1"/>
  <c r="BL8" i="10" s="1"/>
  <c r="BL34" i="10" s="1"/>
  <c r="BP8" i="10" a="1"/>
  <c r="BP8" i="10" s="1"/>
  <c r="BP34" i="10" s="1"/>
  <c r="CE3" i="10" a="1"/>
  <c r="CE3" i="10" s="1"/>
  <c r="CE29" i="10" s="1"/>
  <c r="CO2" i="10" a="1"/>
  <c r="CO2" i="10" s="1"/>
  <c r="BQ4" i="10" a="1"/>
  <c r="BQ4" i="10" s="1"/>
  <c r="BQ12" i="10" s="1"/>
  <c r="BO7" i="10" a="1"/>
  <c r="BO7" i="10" s="1"/>
  <c r="BO24" i="10" s="1"/>
  <c r="CN8" i="10" a="1"/>
  <c r="CN8" i="10" s="1"/>
  <c r="CN34" i="10" s="1"/>
  <c r="CH6" i="10" a="1"/>
  <c r="CH6" i="10" s="1"/>
  <c r="CF6" i="10" a="1"/>
  <c r="CF6" i="10" s="1"/>
  <c r="CF32" i="10" s="1"/>
  <c r="CR2" i="10" a="1"/>
  <c r="CR2" i="10" s="1"/>
  <c r="CK9" i="10" a="1"/>
  <c r="CK9" i="10" s="1"/>
  <c r="CK35" i="10" s="1"/>
  <c r="BJ4" i="10" a="1"/>
  <c r="BJ4" i="10" s="1"/>
  <c r="CR3" i="10" a="1"/>
  <c r="CR3" i="10" s="1"/>
  <c r="CE7" i="10" a="1"/>
  <c r="CE7" i="10" s="1"/>
  <c r="BX6" i="10" a="1"/>
  <c r="BX6" i="10" s="1"/>
  <c r="CM7" i="10" a="1"/>
  <c r="CM7" i="10" s="1"/>
  <c r="CM33" i="10" s="1"/>
  <c r="CD8" i="10" a="1"/>
  <c r="CD8" i="10" s="1"/>
  <c r="CK5" i="10" a="1"/>
  <c r="CK5" i="10" s="1"/>
  <c r="CK13" i="10" s="1"/>
  <c r="BN8" i="10" a="1"/>
  <c r="BN8" i="10" s="1"/>
  <c r="BN34" i="10" s="1"/>
  <c r="CO3" i="10" a="1"/>
  <c r="CO3" i="10" s="1"/>
  <c r="CO20" i="10" s="1"/>
  <c r="CH3" i="10" a="1"/>
  <c r="CH3" i="10" s="1"/>
  <c r="CG3" i="10" a="1"/>
  <c r="CG3" i="10" s="1"/>
  <c r="CG20" i="10" s="1"/>
  <c r="CN4" i="10" a="1"/>
  <c r="CN4" i="10" s="1"/>
  <c r="BQ3" i="10" a="1"/>
  <c r="BQ3" i="10" s="1"/>
  <c r="BQ20" i="10" s="1"/>
  <c r="BW3" i="10" a="1"/>
  <c r="BW3" i="10" s="1"/>
  <c r="BW29" i="10" s="1"/>
  <c r="BM4" i="10" a="1"/>
  <c r="BM4" i="10" s="1"/>
  <c r="BM12" i="10" s="1"/>
  <c r="BL3" i="10" a="1"/>
  <c r="BL3" i="10" s="1"/>
  <c r="BL29" i="10" s="1"/>
  <c r="BV9" i="10" a="1"/>
  <c r="BV9" i="10" s="1"/>
  <c r="BV35" i="10" s="1"/>
  <c r="CG2" i="10" a="1"/>
  <c r="CG2" i="10" s="1"/>
  <c r="CG28" i="10" s="1"/>
  <c r="BY6" i="10" a="1"/>
  <c r="BY6" i="10" s="1"/>
  <c r="CM6" i="10" a="1"/>
  <c r="CM6" i="10" s="1"/>
  <c r="CM32" i="10" s="1"/>
  <c r="BY5" i="10" a="1"/>
  <c r="BY5" i="10" s="1"/>
  <c r="BY31" i="10" s="1"/>
  <c r="BJ6" i="10" a="1"/>
  <c r="BJ6" i="10" s="1"/>
  <c r="CN7" i="10" a="1"/>
  <c r="CN7" i="10" s="1"/>
  <c r="BX3" i="10" a="1"/>
  <c r="BX3" i="10" s="1"/>
  <c r="BX20" i="10" s="1"/>
  <c r="CB5" i="10" a="1"/>
  <c r="CB5" i="10" s="1"/>
  <c r="CB31" i="10" s="1"/>
  <c r="BV7" i="10" a="1"/>
  <c r="BV7" i="10" s="1"/>
  <c r="BV24" i="10" s="1"/>
  <c r="CA4" i="10" a="1"/>
  <c r="CA4" i="10" s="1"/>
  <c r="CA30" i="10" s="1"/>
  <c r="CG7" i="10" a="1"/>
  <c r="CG7" i="10" s="1"/>
  <c r="CG24" i="10" s="1"/>
  <c r="BK6" i="10" a="1"/>
  <c r="BK6" i="10" s="1"/>
  <c r="BK23" i="10" s="1"/>
  <c r="BI1" i="10"/>
  <c r="BI6" i="10" s="1" a="1"/>
  <c r="BI6" i="10" s="1"/>
  <c r="BO3" i="10" a="1"/>
  <c r="BO3" i="10" s="1"/>
  <c r="BO11" i="10" s="1"/>
  <c r="BZ5" i="10" a="1"/>
  <c r="BZ5" i="10" s="1"/>
  <c r="BZ22" i="10" s="1"/>
  <c r="CF8" i="10" a="1"/>
  <c r="CF8" i="10" s="1"/>
  <c r="CF25" i="10" s="1"/>
  <c r="CD2" i="10" a="1"/>
  <c r="CD2" i="10" s="1"/>
  <c r="CD28" i="10" s="1"/>
  <c r="CM2" i="10" a="1"/>
  <c r="CM2" i="10" s="1"/>
  <c r="CM19" i="10" s="1"/>
  <c r="CL3" i="10" a="1"/>
  <c r="CL3" i="10" s="1"/>
  <c r="CL11" i="10" s="1"/>
  <c r="CH5" i="10" a="1"/>
  <c r="CH5" i="10" s="1"/>
  <c r="CO4" i="10" a="1"/>
  <c r="CO4" i="10" s="1"/>
  <c r="CO30" i="10" s="1"/>
  <c r="CB6" i="10" a="1"/>
  <c r="CB6" i="10" s="1"/>
  <c r="CB32" i="10" s="1"/>
  <c r="BQ5" i="10" a="1"/>
  <c r="BQ5" i="10" s="1"/>
  <c r="BQ31" i="10" s="1"/>
  <c r="CP5" i="10" a="1"/>
  <c r="CP5" i="10" s="1"/>
  <c r="CP22" i="10" s="1"/>
  <c r="BP9" i="10" a="1"/>
  <c r="BP9" i="10" s="1"/>
  <c r="BV4" i="10" a="1"/>
  <c r="BV4" i="10" s="1"/>
  <c r="CF9" i="10" a="1"/>
  <c r="CF9" i="10" s="1"/>
  <c r="CF35" i="10" s="1"/>
  <c r="BQ6" i="10" a="1"/>
  <c r="BQ6" i="10" s="1"/>
  <c r="BQ32" i="10" s="1"/>
  <c r="BQ7" i="10" a="1"/>
  <c r="BQ7" i="10" s="1"/>
  <c r="BQ33" i="10" s="1"/>
  <c r="BO5" i="10" a="1"/>
  <c r="BO5" i="10" s="1"/>
  <c r="BO13" i="10" s="1"/>
  <c r="BV5" i="10" a="1"/>
  <c r="BV5" i="10" s="1"/>
  <c r="CH4" i="10" a="1"/>
  <c r="CH4" i="10" s="1"/>
  <c r="CH30" i="10" s="1"/>
  <c r="CQ6" i="10" a="1"/>
  <c r="CQ6" i="10" s="1"/>
  <c r="CK6" i="10" a="1"/>
  <c r="CK6" i="10" s="1"/>
  <c r="CK32" i="10" s="1"/>
  <c r="BL4" i="10" a="1"/>
  <c r="BL4" i="10" s="1"/>
  <c r="BL30" i="10" s="1"/>
  <c r="CQ9" i="10" a="1"/>
  <c r="CQ9" i="10" s="1"/>
  <c r="CQ26" i="10" s="1"/>
  <c r="BZ3" i="10" a="1"/>
  <c r="BZ3" i="10" s="1"/>
  <c r="BZ29" i="10" s="1"/>
  <c r="CO7" i="10" a="1"/>
  <c r="CO7" i="10" s="1"/>
  <c r="BZ6" i="10" a="1"/>
  <c r="BZ6" i="10" s="1"/>
  <c r="BZ32" i="10" s="1"/>
  <c r="BM6" i="10" a="1"/>
  <c r="BM6" i="10" s="1"/>
  <c r="BM32" i="10" s="1"/>
  <c r="BU4" i="10" a="1"/>
  <c r="BU4" i="10" s="1"/>
  <c r="BU30" i="10" s="1"/>
  <c r="BU7" i="10" a="1"/>
  <c r="BU7" i="10" s="1"/>
  <c r="BU33" i="10" s="1"/>
  <c r="CB3" i="10" a="1"/>
  <c r="CB3" i="10" s="1"/>
  <c r="CB29" i="10" s="1"/>
  <c r="CC5" i="10" a="1"/>
  <c r="CC5" i="10" s="1"/>
  <c r="CC31" i="10" s="1"/>
  <c r="BN2" i="10" a="1"/>
  <c r="BN2" i="10" s="1"/>
  <c r="BN19" i="10" s="1"/>
  <c r="BO2" i="10" a="1"/>
  <c r="BO2" i="10" s="1"/>
  <c r="BO28" i="10" s="1"/>
  <c r="CM4" i="10" a="1"/>
  <c r="CM4" i="10" s="1"/>
  <c r="BL5" i="10" a="1"/>
  <c r="BL5" i="10" s="1"/>
  <c r="BN4" i="10" a="1"/>
  <c r="BN4" i="10" s="1"/>
  <c r="BP2" i="10" a="1"/>
  <c r="BP2" i="10" s="1"/>
  <c r="BP28" i="10" s="1"/>
  <c r="BW9" i="10" a="1"/>
  <c r="BW9" i="10" s="1"/>
  <c r="BW17" i="10" s="1"/>
  <c r="CQ3" i="10" a="1"/>
  <c r="CQ3" i="10" s="1"/>
  <c r="CQ29" i="10" s="1"/>
  <c r="CP6" i="10" a="1"/>
  <c r="CP6" i="10" s="1"/>
  <c r="CP32" i="10" s="1"/>
  <c r="BW7" i="10" a="1"/>
  <c r="BW7" i="10" s="1"/>
  <c r="BW33" i="10" s="1"/>
  <c r="CR5" i="10" a="1"/>
  <c r="CR5" i="10" s="1"/>
  <c r="CR31" i="10" s="1"/>
  <c r="CJ6" i="10" a="1"/>
  <c r="CJ6" i="10" s="1"/>
  <c r="BT7" i="10" a="1"/>
  <c r="BT7" i="10" s="1"/>
  <c r="BT24" i="10" s="1"/>
  <c r="CM5" i="10" a="1"/>
  <c r="CM5" i="10" s="1"/>
  <c r="CM13" i="10" s="1"/>
  <c r="CD3" i="10" a="1"/>
  <c r="CD3" i="10" s="1"/>
  <c r="BJ2" i="10" a="1"/>
  <c r="BJ2" i="10" s="1"/>
  <c r="BJ28" i="10" s="1"/>
  <c r="CL2" i="10" a="1"/>
  <c r="CL2" i="10" s="1"/>
  <c r="CL10" i="10" s="1"/>
  <c r="BK9" i="10" a="1"/>
  <c r="BK9" i="10" s="1"/>
  <c r="BK26" i="10" s="1"/>
  <c r="CJ8" i="10" a="1"/>
  <c r="CJ8" i="10" s="1"/>
  <c r="BM8" i="10" a="1"/>
  <c r="BM8" i="10" s="1"/>
  <c r="BM16" i="10" s="1"/>
  <c r="CJ4" i="10" a="1"/>
  <c r="CJ4" i="10" s="1"/>
  <c r="BQ8" i="10" a="1"/>
  <c r="BQ8" i="10" s="1"/>
  <c r="CH8" i="10" a="1"/>
  <c r="CH8" i="10" s="1"/>
  <c r="CH16" i="10" s="1"/>
  <c r="CA3" i="10" a="1"/>
  <c r="CA3" i="10" s="1"/>
  <c r="CA11" i="10" s="1"/>
  <c r="BW8" i="10" a="1"/>
  <c r="BW8" i="10" s="1"/>
  <c r="BW34" i="10" s="1"/>
  <c r="BO9" i="10" a="1"/>
  <c r="BO9" i="10" s="1"/>
  <c r="CI5" i="10" a="1"/>
  <c r="CI5" i="10" s="1"/>
  <c r="BS4" i="10" a="1"/>
  <c r="BS4" i="10" s="1"/>
  <c r="BS21" i="10" s="1"/>
  <c r="CB4" i="10" a="1"/>
  <c r="CB4" i="10" s="1"/>
  <c r="CB30" i="10" s="1"/>
  <c r="BR5" i="10" a="1"/>
  <c r="BR5" i="10" s="1"/>
  <c r="BR13" i="10" s="1"/>
  <c r="BJ9" i="10" a="1"/>
  <c r="BJ9" i="10" s="1"/>
  <c r="BJ35" i="10" s="1"/>
  <c r="CL5" i="10" a="1"/>
  <c r="CL5" i="10" s="1"/>
  <c r="CL31" i="10" s="1"/>
  <c r="CA8" i="10" a="1"/>
  <c r="CA8" i="10" s="1"/>
  <c r="CA34" i="10" s="1"/>
  <c r="BT9" i="10" a="1"/>
  <c r="BT9" i="10" s="1"/>
  <c r="BT35" i="10" s="1"/>
  <c r="BO6" i="10" a="1"/>
  <c r="BO6" i="10" s="1"/>
  <c r="BO32" i="10" s="1"/>
  <c r="CK7" i="10" a="1"/>
  <c r="CK7" i="10" s="1"/>
  <c r="CK24" i="10" s="1"/>
  <c r="X20" i="11"/>
  <c r="Q21" i="11"/>
  <c r="X21" i="11"/>
  <c r="Y21" i="11"/>
  <c r="J21" i="11"/>
  <c r="I20" i="11"/>
  <c r="Y20" i="11"/>
  <c r="R21" i="11"/>
  <c r="R20" i="11"/>
  <c r="K22" i="33"/>
  <c r="L22" i="33" s="1" a="1"/>
  <c r="L22" i="33" s="1"/>
  <c r="K30" i="33"/>
  <c r="L30" i="33" s="1" a="1"/>
  <c r="L30" i="33" s="1"/>
  <c r="K21" i="33"/>
  <c r="L21" i="33" s="1" a="1"/>
  <c r="L21" i="33" s="1"/>
  <c r="K4" i="33"/>
  <c r="L4" i="33" s="1" a="1"/>
  <c r="L4" i="33" s="1"/>
  <c r="K19" i="33"/>
  <c r="L19" i="33" s="1" a="1"/>
  <c r="L19" i="33" s="1"/>
  <c r="K29" i="33"/>
  <c r="L29" i="33" s="1" a="1"/>
  <c r="L29" i="33" s="1"/>
  <c r="K6" i="33"/>
  <c r="L6" i="33" s="1" a="1"/>
  <c r="L6" i="33" s="1"/>
  <c r="K12" i="33"/>
  <c r="L12" i="33" s="1" a="1"/>
  <c r="L12" i="33" s="1"/>
  <c r="K16" i="33"/>
  <c r="L16" i="33" s="1" a="1"/>
  <c r="L16" i="33" s="1"/>
  <c r="K25" i="33"/>
  <c r="L25" i="33" s="1" a="1"/>
  <c r="L25" i="33" s="1"/>
  <c r="K3" i="33"/>
  <c r="L3" i="33" s="1" a="1"/>
  <c r="L3" i="33" s="1"/>
  <c r="K2" i="33"/>
  <c r="L2" i="33" s="1" a="1"/>
  <c r="L2" i="33" s="1"/>
  <c r="K20" i="33"/>
  <c r="L20" i="33" s="1" a="1"/>
  <c r="L20" i="33" s="1"/>
  <c r="K31" i="33"/>
  <c r="L31" i="33" s="1" a="1"/>
  <c r="L31" i="33" s="1"/>
  <c r="K17" i="33"/>
  <c r="L17" i="33" s="1" a="1"/>
  <c r="L17" i="33" s="1"/>
  <c r="K35" i="33"/>
  <c r="L35" i="33" s="1" a="1"/>
  <c r="L35" i="33" s="1"/>
  <c r="K8" i="33"/>
  <c r="L8" i="33" s="1" a="1"/>
  <c r="L8" i="33" s="1"/>
  <c r="K15" i="33"/>
  <c r="L15" i="33" s="1" a="1"/>
  <c r="L15" i="33" s="1"/>
  <c r="K27" i="33"/>
  <c r="L27" i="33" s="1" a="1"/>
  <c r="L27" i="33" s="1"/>
  <c r="K32" i="33"/>
  <c r="L32" i="33" s="1" a="1"/>
  <c r="L32" i="33" s="1"/>
  <c r="K37" i="33"/>
  <c r="L37" i="33" s="1" a="1"/>
  <c r="L37" i="33" s="1"/>
  <c r="K18" i="33"/>
  <c r="L18" i="33" s="1" a="1"/>
  <c r="L18" i="33" s="1"/>
  <c r="K7" i="33"/>
  <c r="L7" i="33" s="1" a="1"/>
  <c r="L7" i="33" s="1"/>
  <c r="K11" i="33"/>
  <c r="L11" i="33" s="1" a="1"/>
  <c r="L11" i="33" s="1"/>
  <c r="K9" i="33"/>
  <c r="L9" i="33" s="1" a="1"/>
  <c r="L9" i="33" s="1"/>
  <c r="K24" i="33"/>
  <c r="L24" i="33" s="1" a="1"/>
  <c r="L24" i="33" s="1"/>
  <c r="K5" i="33"/>
  <c r="L5" i="33" s="1" a="1"/>
  <c r="L5" i="33" s="1"/>
  <c r="K14" i="33"/>
  <c r="L14" i="33" s="1" a="1"/>
  <c r="L14" i="33" s="1"/>
  <c r="K34" i="33"/>
  <c r="L34" i="33" s="1" a="1"/>
  <c r="L34" i="33" s="1"/>
  <c r="K23" i="33"/>
  <c r="L23" i="33" s="1" a="1"/>
  <c r="L23" i="33" s="1"/>
  <c r="K36" i="33"/>
  <c r="L36" i="33" s="1" a="1"/>
  <c r="L36" i="33" s="1"/>
  <c r="K10" i="33"/>
  <c r="L10" i="33" s="1" a="1"/>
  <c r="L10" i="33" s="1"/>
  <c r="K28" i="33"/>
  <c r="L28" i="33" s="1" a="1"/>
  <c r="L28" i="33" s="1"/>
  <c r="K13" i="33"/>
  <c r="L13" i="33" s="1" a="1"/>
  <c r="L13" i="33" s="1"/>
  <c r="K26" i="33"/>
  <c r="L26" i="33" s="1" a="1"/>
  <c r="L26" i="33" s="1"/>
  <c r="K33" i="33"/>
  <c r="L33" i="33" s="1" a="1"/>
  <c r="L33" i="33" s="1"/>
  <c r="P7" i="11"/>
  <c r="X31" i="11"/>
  <c r="B31" i="11"/>
  <c r="I31" i="11"/>
  <c r="CI17" i="10" s="1"/>
  <c r="P31" i="11"/>
  <c r="H31" i="11"/>
  <c r="BW21" i="10" s="1"/>
  <c r="Y31" i="11"/>
  <c r="R31" i="11"/>
  <c r="Q31" i="11"/>
  <c r="J31" i="11"/>
  <c r="H28" i="11"/>
  <c r="BY21" i="10" s="1"/>
  <c r="X5" i="11"/>
  <c r="Q28" i="11"/>
  <c r="H5" i="11"/>
  <c r="CM20" i="10" s="1"/>
  <c r="X11" i="11"/>
  <c r="J5" i="11"/>
  <c r="Q5" i="11"/>
  <c r="N2" i="25"/>
  <c r="P28" i="11"/>
  <c r="M2" i="25"/>
  <c r="AG79" i="25" s="1"/>
  <c r="W79" i="25" s="1"/>
  <c r="X28" i="11"/>
  <c r="J28" i="11"/>
  <c r="R28" i="11"/>
  <c r="Y28" i="11"/>
  <c r="R5" i="11"/>
  <c r="Y5" i="11"/>
  <c r="B28" i="11"/>
  <c r="I28" i="11"/>
  <c r="CC15" i="10" s="1"/>
  <c r="B5" i="11"/>
  <c r="I5" i="11"/>
  <c r="P5" i="11"/>
  <c r="Q11" i="11"/>
  <c r="J11" i="11"/>
  <c r="R7" i="11"/>
  <c r="Y7" i="11"/>
  <c r="R11" i="11"/>
  <c r="Y11" i="11"/>
  <c r="P11" i="11"/>
  <c r="X7" i="11"/>
  <c r="B7" i="11"/>
  <c r="I7" i="11"/>
  <c r="B11" i="11"/>
  <c r="I11" i="11"/>
  <c r="BS15" i="10" s="1"/>
  <c r="H7" i="11"/>
  <c r="BT22" i="10" s="1"/>
  <c r="H11" i="11"/>
  <c r="Q7" i="11"/>
  <c r="J7" i="11"/>
  <c r="BK31" i="10"/>
  <c r="BP32" i="10"/>
  <c r="BP23" i="10"/>
  <c r="BP14" i="10"/>
  <c r="BZ30" i="10"/>
  <c r="CE32" i="10"/>
  <c r="BX35" i="10"/>
  <c r="BX17" i="10"/>
  <c r="BV29" i="10"/>
  <c r="BS33" i="10"/>
  <c r="BT34" i="10"/>
  <c r="CC29" i="10"/>
  <c r="CC20" i="10"/>
  <c r="BP31" i="10"/>
  <c r="CQ34" i="10"/>
  <c r="CP28" i="10"/>
  <c r="CP19" i="10"/>
  <c r="CP10" i="10"/>
  <c r="BR30" i="10"/>
  <c r="CI35" i="10"/>
  <c r="BK33" i="10"/>
  <c r="BK15" i="10"/>
  <c r="BK24" i="10"/>
  <c r="BK21" i="10"/>
  <c r="BK30" i="10"/>
  <c r="BK11" i="10"/>
  <c r="BK29" i="10"/>
  <c r="BZ34" i="10"/>
  <c r="BZ25" i="10"/>
  <c r="BZ16" i="10"/>
  <c r="BU11" i="10"/>
  <c r="BU20" i="10"/>
  <c r="CN22" i="10"/>
  <c r="CN31" i="10"/>
  <c r="CG14" i="10"/>
  <c r="CF28" i="10"/>
  <c r="CE31" i="10"/>
  <c r="CK16" i="10"/>
  <c r="CK34" i="10"/>
  <c r="CK25" i="10"/>
  <c r="BY30" i="10"/>
  <c r="BN33" i="10"/>
  <c r="BN15" i="10"/>
  <c r="CR33" i="10"/>
  <c r="CR24" i="10"/>
  <c r="CR15" i="10"/>
  <c r="BW30" i="10"/>
  <c r="CA22" i="10"/>
  <c r="CA31" i="10"/>
  <c r="BS16" i="10"/>
  <c r="BS25" i="10"/>
  <c r="BS34" i="10"/>
  <c r="CA24" i="10"/>
  <c r="CA33" i="10"/>
  <c r="CA15" i="10"/>
  <c r="CO31" i="10"/>
  <c r="CI14" i="10"/>
  <c r="BV28" i="10"/>
  <c r="BV19" i="10"/>
  <c r="BV10" i="10"/>
  <c r="BJ31" i="10"/>
  <c r="BV32" i="10"/>
  <c r="CR34" i="10"/>
  <c r="CP33" i="10"/>
  <c r="CQ24" i="10"/>
  <c r="CQ33" i="10"/>
  <c r="CQ15" i="10"/>
  <c r="CC21" i="10"/>
  <c r="CC30" i="10"/>
  <c r="CC12" i="10"/>
  <c r="BK28" i="10"/>
  <c r="BR14" i="10"/>
  <c r="CO35" i="10"/>
  <c r="BZ28" i="10"/>
  <c r="BR35" i="10"/>
  <c r="BR26" i="10"/>
  <c r="BL32" i="10"/>
  <c r="CQ31" i="10"/>
  <c r="BX31" i="10"/>
  <c r="BX13" i="10"/>
  <c r="BX22" i="10"/>
  <c r="CL30" i="10"/>
  <c r="CL21" i="10"/>
  <c r="BU32" i="10"/>
  <c r="CJ28" i="10"/>
  <c r="CJ29" i="10"/>
  <c r="CI26" i="10" l="1"/>
  <c r="CL26" i="10"/>
  <c r="CM17" i="10"/>
  <c r="BO26" i="10"/>
  <c r="CD25" i="10"/>
  <c r="BX16" i="10"/>
  <c r="CP15" i="10"/>
  <c r="BL10" i="10"/>
  <c r="BL28" i="10"/>
  <c r="BW13" i="10"/>
  <c r="BT25" i="10"/>
  <c r="BT16" i="10"/>
  <c r="BQ16" i="10"/>
  <c r="BP15" i="10"/>
  <c r="BV21" i="10"/>
  <c r="CN15" i="10"/>
  <c r="CE15" i="10"/>
  <c r="BL15" i="10"/>
  <c r="BN24" i="10"/>
  <c r="CQ14" i="10"/>
  <c r="CL14" i="10"/>
  <c r="BX14" i="10"/>
  <c r="CH23" i="10"/>
  <c r="BN14" i="10"/>
  <c r="BL23" i="10"/>
  <c r="CH22" i="10"/>
  <c r="CQ10" i="10"/>
  <c r="CQ19" i="10"/>
  <c r="BW31" i="10"/>
  <c r="BL13" i="10"/>
  <c r="BN13" i="10"/>
  <c r="BN22" i="10"/>
  <c r="CO22" i="10"/>
  <c r="CO13" i="10"/>
  <c r="CQ22" i="10"/>
  <c r="BP13" i="10"/>
  <c r="BP22" i="10"/>
  <c r="BJ22" i="10"/>
  <c r="BY12" i="10"/>
  <c r="BW12" i="10"/>
  <c r="BZ12" i="10"/>
  <c r="CP12" i="10"/>
  <c r="CI21" i="10"/>
  <c r="BL33" i="10"/>
  <c r="BT23" i="10"/>
  <c r="CM21" i="10"/>
  <c r="BP12" i="10"/>
  <c r="CJ12" i="10"/>
  <c r="BN31" i="10"/>
  <c r="CM23" i="10"/>
  <c r="CP20" i="10"/>
  <c r="CJ11" i="10"/>
  <c r="BK19" i="10"/>
  <c r="BJ11" i="10"/>
  <c r="CA26" i="10"/>
  <c r="BU17" i="10"/>
  <c r="CK19" i="10"/>
  <c r="CN12" i="10"/>
  <c r="CG17" i="10"/>
  <c r="CR25" i="10"/>
  <c r="CR20" i="10"/>
  <c r="CK20" i="10"/>
  <c r="BW19" i="10"/>
  <c r="CO19" i="10"/>
  <c r="CR10" i="10"/>
  <c r="BK10" i="10"/>
  <c r="BR17" i="10"/>
  <c r="BS23" i="10"/>
  <c r="AE61" i="25"/>
  <c r="AG8" i="25"/>
  <c r="AE11" i="25"/>
  <c r="AG63" i="25"/>
  <c r="W63" i="25" s="1"/>
  <c r="AG24" i="25"/>
  <c r="AE54" i="25"/>
  <c r="AG82" i="25"/>
  <c r="W82" i="25" s="1"/>
  <c r="AE65" i="25"/>
  <c r="U65" i="25" s="1"/>
  <c r="AG6" i="25"/>
  <c r="AG29" i="25"/>
  <c r="AG51" i="25"/>
  <c r="AG61" i="25"/>
  <c r="W61" i="25" s="1"/>
  <c r="AG35" i="25"/>
  <c r="AE51" i="25"/>
  <c r="AG11" i="25"/>
  <c r="AG81" i="25"/>
  <c r="W81" i="25" s="1"/>
  <c r="AG50" i="25"/>
  <c r="AG85" i="25"/>
  <c r="W85" i="25" s="1"/>
  <c r="AE42" i="25"/>
  <c r="AG27" i="25"/>
  <c r="AE49" i="25"/>
  <c r="AE41" i="25"/>
  <c r="AG19" i="25"/>
  <c r="AE86" i="25"/>
  <c r="U86" i="25" s="1"/>
  <c r="AG58" i="25"/>
  <c r="W58" i="25" s="1"/>
  <c r="AG18" i="25"/>
  <c r="AE12" i="25"/>
  <c r="AG74" i="25"/>
  <c r="W74" i="25" s="1"/>
  <c r="AE19" i="25"/>
  <c r="AG56" i="25"/>
  <c r="AE25" i="25"/>
  <c r="AF25" i="25" s="1"/>
  <c r="AG37" i="25"/>
  <c r="AE27" i="25"/>
  <c r="AG67" i="25"/>
  <c r="W67" i="25" s="1"/>
  <c r="AE69" i="25"/>
  <c r="AG42" i="25"/>
  <c r="AE45" i="25"/>
  <c r="AG5" i="25"/>
  <c r="AE23" i="25"/>
  <c r="AG30" i="25"/>
  <c r="W30" i="25" s="1"/>
  <c r="AE82" i="25"/>
  <c r="AE78" i="25"/>
  <c r="AG39" i="25"/>
  <c r="AG14" i="25"/>
  <c r="W14" i="25" s="1"/>
  <c r="CD17" i="10"/>
  <c r="CD11" i="10"/>
  <c r="CN20" i="10"/>
  <c r="CN11" i="10"/>
  <c r="BT20" i="10"/>
  <c r="CJ19" i="10"/>
  <c r="CL33" i="10"/>
  <c r="BL20" i="10"/>
  <c r="CQ25" i="10"/>
  <c r="CQ13" i="10"/>
  <c r="BN32" i="10"/>
  <c r="BK12" i="10"/>
  <c r="BS14" i="10"/>
  <c r="CP24" i="10"/>
  <c r="BO15" i="10"/>
  <c r="CR26" i="10"/>
  <c r="CG12" i="10"/>
  <c r="CD13" i="10"/>
  <c r="BT14" i="10"/>
  <c r="BY25" i="10"/>
  <c r="CD22" i="10"/>
  <c r="CJ14" i="10"/>
  <c r="BJ25" i="10"/>
  <c r="CC10" i="10"/>
  <c r="BL26" i="10"/>
  <c r="BR20" i="10"/>
  <c r="CG26" i="10"/>
  <c r="CJ26" i="10"/>
  <c r="CE28" i="10"/>
  <c r="BX24" i="10"/>
  <c r="CC19" i="10"/>
  <c r="CC35" i="10"/>
  <c r="CG35" i="10"/>
  <c r="CB10" i="10"/>
  <c r="CF31" i="10"/>
  <c r="CG34" i="10"/>
  <c r="BL24" i="10"/>
  <c r="CJ16" i="10"/>
  <c r="CF10" i="10"/>
  <c r="CJ10" i="10"/>
  <c r="CR16" i="10"/>
  <c r="CH20" i="10"/>
  <c r="CE10" i="10"/>
  <c r="CB24" i="10"/>
  <c r="BN25" i="10"/>
  <c r="BR33" i="10"/>
  <c r="CC17" i="10"/>
  <c r="BT30" i="10"/>
  <c r="CR12" i="10"/>
  <c r="CD26" i="10"/>
  <c r="CO16" i="10"/>
  <c r="CF13" i="10"/>
  <c r="CB15" i="10"/>
  <c r="BN16" i="10"/>
  <c r="BR15" i="10"/>
  <c r="CD35" i="10"/>
  <c r="CF15" i="10"/>
  <c r="BX15" i="10"/>
  <c r="BU35" i="10"/>
  <c r="BU36" i="10" s="1"/>
  <c r="AB14" i="11" s="1" a="1"/>
  <c r="AB14" i="11" s="1"/>
  <c r="CF33" i="10"/>
  <c r="BU26" i="10"/>
  <c r="CB25" i="10"/>
  <c r="BM20" i="10"/>
  <c r="BS32" i="10"/>
  <c r="BY15" i="10"/>
  <c r="BR11" i="10"/>
  <c r="CJ17" i="10"/>
  <c r="BM11" i="10"/>
  <c r="BT29" i="10"/>
  <c r="BN11" i="10"/>
  <c r="CF19" i="10"/>
  <c r="BY33" i="10"/>
  <c r="BV13" i="10"/>
  <c r="CK26" i="10"/>
  <c r="BY23" i="10"/>
  <c r="CA23" i="10"/>
  <c r="BR16" i="10"/>
  <c r="CA14" i="10"/>
  <c r="CG21" i="10"/>
  <c r="BR25" i="10"/>
  <c r="CG30" i="10"/>
  <c r="BS13" i="10"/>
  <c r="BZ17" i="10"/>
  <c r="CD30" i="10"/>
  <c r="BZ21" i="10"/>
  <c r="CD21" i="10"/>
  <c r="BZ35" i="10"/>
  <c r="BT11" i="10"/>
  <c r="CL34" i="10"/>
  <c r="CL16" i="10"/>
  <c r="BY16" i="10"/>
  <c r="CH32" i="10"/>
  <c r="BS22" i="10"/>
  <c r="BN17" i="10"/>
  <c r="BW28" i="10"/>
  <c r="CM35" i="10"/>
  <c r="CM26" i="10"/>
  <c r="CQ12" i="10"/>
  <c r="BQ21" i="10"/>
  <c r="CD19" i="10"/>
  <c r="BP30" i="10"/>
  <c r="BP21" i="10"/>
  <c r="BT10" i="10"/>
  <c r="CI10" i="10"/>
  <c r="CG11" i="10"/>
  <c r="BT19" i="10"/>
  <c r="CE33" i="10"/>
  <c r="BY14" i="10"/>
  <c r="CG29" i="10"/>
  <c r="BR23" i="10"/>
  <c r="BR19" i="10"/>
  <c r="CE24" i="10"/>
  <c r="BR28" i="10"/>
  <c r="CO26" i="10"/>
  <c r="BO12" i="10"/>
  <c r="CB34" i="10"/>
  <c r="CB36" i="10" s="1"/>
  <c r="AB21" i="11" s="1" a="1"/>
  <c r="AB21" i="11" s="1"/>
  <c r="CN30" i="10"/>
  <c r="CE17" i="10"/>
  <c r="CI34" i="10"/>
  <c r="CE35" i="10"/>
  <c r="CI16" i="10"/>
  <c r="BX32" i="10"/>
  <c r="CG33" i="10"/>
  <c r="BX23" i="10"/>
  <c r="CG15" i="10"/>
  <c r="CM14" i="10"/>
  <c r="BO21" i="10"/>
  <c r="CL29" i="10"/>
  <c r="BL14" i="10"/>
  <c r="BZ10" i="10"/>
  <c r="BJ20" i="10"/>
  <c r="CE16" i="10"/>
  <c r="BS10" i="10"/>
  <c r="CE25" i="10"/>
  <c r="CK11" i="10"/>
  <c r="CM16" i="10"/>
  <c r="CP25" i="10"/>
  <c r="CL17" i="10"/>
  <c r="BS28" i="10"/>
  <c r="CM34" i="10"/>
  <c r="CK29" i="10"/>
  <c r="CP16" i="10"/>
  <c r="CE23" i="10"/>
  <c r="BQ26" i="10"/>
  <c r="CL32" i="10"/>
  <c r="CH13" i="10"/>
  <c r="BK22" i="10"/>
  <c r="CN21" i="10"/>
  <c r="CM24" i="10"/>
  <c r="BQ29" i="10"/>
  <c r="BY22" i="10"/>
  <c r="CM15" i="10"/>
  <c r="BQ11" i="10"/>
  <c r="CL20" i="10"/>
  <c r="BQ14" i="10"/>
  <c r="CF17" i="10"/>
  <c r="BK13" i="10"/>
  <c r="CM12" i="10"/>
  <c r="BZ13" i="10"/>
  <c r="CM30" i="10"/>
  <c r="BX29" i="10"/>
  <c r="BQ13" i="10"/>
  <c r="CQ17" i="10"/>
  <c r="CH26" i="10"/>
  <c r="CF26" i="10"/>
  <c r="CD29" i="10"/>
  <c r="BU24" i="10"/>
  <c r="BP10" i="10"/>
  <c r="CK23" i="10"/>
  <c r="BO33" i="10"/>
  <c r="BY32" i="10"/>
  <c r="CM28" i="10"/>
  <c r="CQ16" i="10"/>
  <c r="BW35" i="10"/>
  <c r="CA35" i="10"/>
  <c r="CH14" i="10"/>
  <c r="CN29" i="10"/>
  <c r="BJ13" i="10"/>
  <c r="CI30" i="10"/>
  <c r="BO16" i="10"/>
  <c r="BX25" i="10"/>
  <c r="CI32" i="10"/>
  <c r="BM10" i="10"/>
  <c r="BO34" i="10"/>
  <c r="BM28" i="10"/>
  <c r="CM31" i="10"/>
  <c r="BJ15" i="10"/>
  <c r="CE30" i="10"/>
  <c r="CK10" i="10"/>
  <c r="BL16" i="10"/>
  <c r="CG23" i="10"/>
  <c r="CI20" i="10"/>
  <c r="CI13" i="10"/>
  <c r="CM22" i="10"/>
  <c r="BR21" i="10"/>
  <c r="BU15" i="10"/>
  <c r="BJ23" i="10"/>
  <c r="CM10" i="10"/>
  <c r="BI3" i="10" a="1"/>
  <c r="BI3" i="10" s="1"/>
  <c r="BI29" i="10" s="1"/>
  <c r="BL25" i="10"/>
  <c r="BX34" i="10"/>
  <c r="CL23" i="10"/>
  <c r="BJ29" i="10"/>
  <c r="CO21" i="10"/>
  <c r="CE12" i="10"/>
  <c r="BV20" i="10"/>
  <c r="CH31" i="10"/>
  <c r="CQ11" i="10"/>
  <c r="BG6" i="10" a="1"/>
  <c r="BG6" i="10" s="1"/>
  <c r="BQ17" i="10"/>
  <c r="BK14" i="10"/>
  <c r="CF12" i="10"/>
  <c r="BQ30" i="10"/>
  <c r="CD16" i="10"/>
  <c r="CJ25" i="10"/>
  <c r="CF21" i="10"/>
  <c r="CD34" i="10"/>
  <c r="CR14" i="10"/>
  <c r="BW11" i="10"/>
  <c r="BQ23" i="10"/>
  <c r="BM13" i="10"/>
  <c r="CR23" i="10"/>
  <c r="BW20" i="10"/>
  <c r="CO24" i="10"/>
  <c r="CO14" i="10"/>
  <c r="CP14" i="10"/>
  <c r="CL19" i="10"/>
  <c r="CG13" i="10"/>
  <c r="BN10" i="10"/>
  <c r="CA10" i="10"/>
  <c r="CL28" i="10"/>
  <c r="BR12" i="10"/>
  <c r="CH25" i="10"/>
  <c r="CA28" i="10"/>
  <c r="CH24" i="10"/>
  <c r="CA25" i="10"/>
  <c r="BN20" i="10"/>
  <c r="BX19" i="10"/>
  <c r="BV16" i="10"/>
  <c r="BP26" i="10"/>
  <c r="BO35" i="10"/>
  <c r="BV12" i="10"/>
  <c r="CC24" i="10"/>
  <c r="BP19" i="10"/>
  <c r="BN21" i="10"/>
  <c r="CH34" i="10"/>
  <c r="BJ24" i="10"/>
  <c r="BV25" i="10"/>
  <c r="CH17" i="10"/>
  <c r="BM22" i="10"/>
  <c r="BW23" i="10"/>
  <c r="BJ21" i="10"/>
  <c r="CI28" i="10"/>
  <c r="CB19" i="10"/>
  <c r="CQ30" i="10"/>
  <c r="CQ20" i="10"/>
  <c r="BW14" i="10"/>
  <c r="CF29" i="10"/>
  <c r="BZ20" i="10"/>
  <c r="CP17" i="10"/>
  <c r="BL17" i="10"/>
  <c r="CR35" i="10"/>
  <c r="BX28" i="10"/>
  <c r="CR17" i="10"/>
  <c r="CJ22" i="10"/>
  <c r="BS17" i="10"/>
  <c r="CC23" i="10"/>
  <c r="BM21" i="10"/>
  <c r="BY28" i="10"/>
  <c r="CC14" i="10"/>
  <c r="CG22" i="10"/>
  <c r="CI19" i="10"/>
  <c r="BK25" i="10"/>
  <c r="BP16" i="10"/>
  <c r="CD15" i="10"/>
  <c r="CJ13" i="10"/>
  <c r="BU19" i="10"/>
  <c r="CF11" i="10"/>
  <c r="CA16" i="10"/>
  <c r="BJ32" i="10"/>
  <c r="BI4" i="10" a="1"/>
  <c r="BI4" i="10" s="1"/>
  <c r="BI30" i="10" s="1"/>
  <c r="BV30" i="10"/>
  <c r="BQ15" i="10"/>
  <c r="BU13" i="10"/>
  <c r="CB14" i="10"/>
  <c r="BV23" i="10"/>
  <c r="BL11" i="10"/>
  <c r="CL24" i="10"/>
  <c r="CO34" i="10"/>
  <c r="BQ22" i="10"/>
  <c r="CI24" i="10"/>
  <c r="BZ31" i="10"/>
  <c r="BJ30" i="10"/>
  <c r="CO11" i="10"/>
  <c r="CI33" i="10"/>
  <c r="BT28" i="10"/>
  <c r="BW26" i="10"/>
  <c r="CR21" i="10"/>
  <c r="CG16" i="10"/>
  <c r="CE11" i="10"/>
  <c r="BV22" i="10"/>
  <c r="CP21" i="10"/>
  <c r="BN23" i="10"/>
  <c r="BO30" i="10"/>
  <c r="BJ34" i="10"/>
  <c r="CE20" i="10"/>
  <c r="BJ14" i="10"/>
  <c r="BV31" i="10"/>
  <c r="CN14" i="10"/>
  <c r="BX11" i="10"/>
  <c r="CD14" i="10"/>
  <c r="BQ34" i="10"/>
  <c r="CJ34" i="10"/>
  <c r="BZ15" i="10"/>
  <c r="CC33" i="10"/>
  <c r="CK17" i="10"/>
  <c r="CI11" i="10"/>
  <c r="CB11" i="10"/>
  <c r="CD20" i="10"/>
  <c r="BO20" i="10"/>
  <c r="BM15" i="10"/>
  <c r="CP35" i="10"/>
  <c r="BO22" i="10"/>
  <c r="CN24" i="10"/>
  <c r="BO29" i="10"/>
  <c r="BP33" i="10"/>
  <c r="CH15" i="10"/>
  <c r="CK12" i="10"/>
  <c r="CN16" i="10"/>
  <c r="CR19" i="10"/>
  <c r="BM24" i="10"/>
  <c r="CN33" i="10"/>
  <c r="CD24" i="10"/>
  <c r="BP24" i="10"/>
  <c r="BY26" i="10"/>
  <c r="CK30" i="10"/>
  <c r="CK31" i="10"/>
  <c r="CO15" i="10"/>
  <c r="BN29" i="10"/>
  <c r="CR28" i="10"/>
  <c r="BY17" i="10"/>
  <c r="CO10" i="10"/>
  <c r="CK22" i="10"/>
  <c r="CO33" i="10"/>
  <c r="CO32" i="10"/>
  <c r="BO17" i="10"/>
  <c r="BY10" i="10"/>
  <c r="CO23" i="10"/>
  <c r="BP25" i="10"/>
  <c r="BM30" i="10"/>
  <c r="BS26" i="10"/>
  <c r="CB23" i="10"/>
  <c r="BO31" i="10"/>
  <c r="AG78" i="25"/>
  <c r="W78" i="25" s="1"/>
  <c r="AE30" i="25"/>
  <c r="U41" i="25" s="1"/>
  <c r="AG44" i="25"/>
  <c r="W44" i="25" s="1"/>
  <c r="AE87" i="25"/>
  <c r="AE7" i="25"/>
  <c r="AE34" i="25"/>
  <c r="AE89" i="25"/>
  <c r="U89" i="25" s="1"/>
  <c r="BT26" i="10"/>
  <c r="CA20" i="10"/>
  <c r="BK32" i="10"/>
  <c r="AG45" i="25"/>
  <c r="W45" i="25" s="1"/>
  <c r="AG28" i="25"/>
  <c r="AE58" i="25"/>
  <c r="AE9" i="25"/>
  <c r="AG84" i="25"/>
  <c r="W84" i="25" s="1"/>
  <c r="AG76" i="25"/>
  <c r="W76" i="25" s="1"/>
  <c r="AE67" i="25"/>
  <c r="AE6" i="25"/>
  <c r="AF6" i="25" s="1"/>
  <c r="AE66" i="25"/>
  <c r="U66" i="25" s="1"/>
  <c r="CC22" i="10"/>
  <c r="CC13" i="10"/>
  <c r="CL22" i="10"/>
  <c r="CQ35" i="10"/>
  <c r="AG90" i="25"/>
  <c r="W90" i="25" s="1"/>
  <c r="AE60" i="25"/>
  <c r="AE28" i="25"/>
  <c r="AF28" i="25" s="1"/>
  <c r="AG36" i="25"/>
  <c r="W36" i="25" s="1"/>
  <c r="AE33" i="25"/>
  <c r="AG4" i="25"/>
  <c r="W4" i="25" s="1"/>
  <c r="AE16" i="25"/>
  <c r="AE84" i="25"/>
  <c r="CJ24" i="10"/>
  <c r="CL12" i="10"/>
  <c r="CB26" i="10"/>
  <c r="CF23" i="10"/>
  <c r="BJ19" i="10"/>
  <c r="BS11" i="10"/>
  <c r="BQ19" i="10"/>
  <c r="CN23" i="10"/>
  <c r="AE43" i="25"/>
  <c r="AE79" i="25"/>
  <c r="AE17" i="25"/>
  <c r="AF17" i="25" s="1"/>
  <c r="AE91" i="25"/>
  <c r="U91" i="25" s="1"/>
  <c r="AG92" i="25"/>
  <c r="W92" i="25" s="1"/>
  <c r="AG93" i="25"/>
  <c r="W93" i="25" s="1"/>
  <c r="AE38" i="25"/>
  <c r="AE85" i="25"/>
  <c r="AF85" i="25" s="1"/>
  <c r="V85" i="25" s="1"/>
  <c r="AG7" i="25"/>
  <c r="W6" i="25" s="1"/>
  <c r="AG16" i="25"/>
  <c r="AE90" i="25"/>
  <c r="AE70" i="25"/>
  <c r="U70" i="25" s="1"/>
  <c r="AG38" i="25"/>
  <c r="AG60" i="25"/>
  <c r="W60" i="25" s="1"/>
  <c r="AG22" i="25"/>
  <c r="AG70" i="25"/>
  <c r="W70" i="25" s="1"/>
  <c r="AG72" i="25"/>
  <c r="W72" i="25" s="1"/>
  <c r="AE22" i="25"/>
  <c r="AE56" i="25"/>
  <c r="AF56" i="25" s="1"/>
  <c r="AG10" i="25"/>
  <c r="W10" i="25" s="1"/>
  <c r="AG64" i="25"/>
  <c r="W64" i="25" s="1"/>
  <c r="AG59" i="25"/>
  <c r="W59" i="25" s="1"/>
  <c r="AE48" i="25"/>
  <c r="AG12" i="25"/>
  <c r="W12" i="25" s="1"/>
  <c r="AE57" i="25"/>
  <c r="U56" i="25" s="1"/>
  <c r="AE81" i="25"/>
  <c r="AG77" i="25"/>
  <c r="W77" i="25" s="1"/>
  <c r="AE46" i="25"/>
  <c r="U46" i="25" s="1"/>
  <c r="AG66" i="25"/>
  <c r="W66" i="25" s="1"/>
  <c r="AG15" i="25"/>
  <c r="W15" i="25" s="1"/>
  <c r="AE47" i="25"/>
  <c r="AE44" i="25"/>
  <c r="AF44" i="25" s="1"/>
  <c r="AE40" i="25"/>
  <c r="AF40" i="25" s="1"/>
  <c r="AG86" i="25"/>
  <c r="W86" i="25" s="1"/>
  <c r="AG13" i="25"/>
  <c r="W13" i="25" s="1"/>
  <c r="AE53" i="25"/>
  <c r="U53" i="25" s="1"/>
  <c r="AG55" i="25"/>
  <c r="W55" i="25" s="1"/>
  <c r="AG25" i="25"/>
  <c r="W25" i="25" s="1"/>
  <c r="AE63" i="25"/>
  <c r="AE50" i="25"/>
  <c r="AF50" i="25" s="1"/>
  <c r="AE15" i="25"/>
  <c r="U15" i="25" s="1"/>
  <c r="AE35" i="25"/>
  <c r="AE80" i="25"/>
  <c r="U80" i="25" s="1"/>
  <c r="AE83" i="25"/>
  <c r="U83" i="25" s="1"/>
  <c r="AG54" i="25"/>
  <c r="W54" i="25" s="1"/>
  <c r="AE92" i="25"/>
  <c r="AG91" i="25"/>
  <c r="W91" i="25" s="1"/>
  <c r="AG65" i="25"/>
  <c r="W65" i="25" s="1"/>
  <c r="AG33" i="25"/>
  <c r="W33" i="25" s="1"/>
  <c r="AE10" i="25"/>
  <c r="AG71" i="25"/>
  <c r="W71" i="25" s="1"/>
  <c r="AG23" i="25"/>
  <c r="W23" i="25" s="1"/>
  <c r="AG17" i="25"/>
  <c r="W50" i="25" s="1"/>
  <c r="AE76" i="25"/>
  <c r="AF76" i="25" s="1"/>
  <c r="V76" i="25" s="1"/>
  <c r="AE26" i="25"/>
  <c r="AG68" i="25"/>
  <c r="W68" i="25" s="1"/>
  <c r="AE4" i="25"/>
  <c r="AE74" i="25"/>
  <c r="AE3" i="25"/>
  <c r="AF3" i="25" s="1"/>
  <c r="V3" i="25" s="1"/>
  <c r="AG41" i="25"/>
  <c r="W41" i="25" s="1"/>
  <c r="AG89" i="25"/>
  <c r="W89" i="25" s="1"/>
  <c r="AG21" i="25"/>
  <c r="W21" i="25" s="1"/>
  <c r="AG32" i="25"/>
  <c r="AE24" i="25"/>
  <c r="AF24" i="25" s="1"/>
  <c r="AE64" i="25"/>
  <c r="AF64" i="25" s="1"/>
  <c r="V64" i="25" s="1"/>
  <c r="AE18" i="25"/>
  <c r="AG9" i="25"/>
  <c r="W9" i="25" s="1"/>
  <c r="AE71" i="25"/>
  <c r="U71" i="25" s="1"/>
  <c r="AG73" i="25"/>
  <c r="W73" i="25" s="1"/>
  <c r="AE77" i="25"/>
  <c r="AG88" i="25"/>
  <c r="W88" i="25" s="1"/>
  <c r="AE59" i="25"/>
  <c r="AF59" i="25" s="1"/>
  <c r="V59" i="25" s="1"/>
  <c r="AG31" i="25"/>
  <c r="AE14" i="25"/>
  <c r="AG69" i="25"/>
  <c r="W69" i="25" s="1"/>
  <c r="AE20" i="25"/>
  <c r="AF20" i="25" s="1"/>
  <c r="AG75" i="25"/>
  <c r="W75" i="25" s="1"/>
  <c r="AG52" i="25"/>
  <c r="AG87" i="25"/>
  <c r="W87" i="25" s="1"/>
  <c r="AG34" i="25"/>
  <c r="W34" i="25" s="1"/>
  <c r="AE88" i="25"/>
  <c r="AF88" i="25" s="1"/>
  <c r="V88" i="25" s="1"/>
  <c r="AG49" i="25"/>
  <c r="AE39" i="25"/>
  <c r="AF39" i="25" s="1"/>
  <c r="AE52" i="25"/>
  <c r="AF52" i="25" s="1"/>
  <c r="AG80" i="25"/>
  <c r="W80" i="25" s="1"/>
  <c r="AG20" i="25"/>
  <c r="AG3" i="25"/>
  <c r="W3" i="25" s="1"/>
  <c r="AE21" i="25"/>
  <c r="AF21" i="25" s="1"/>
  <c r="AG62" i="25"/>
  <c r="W62" i="25" s="1"/>
  <c r="AE75" i="25"/>
  <c r="U75" i="25" s="1"/>
  <c r="AE68" i="25"/>
  <c r="AF68" i="25" s="1"/>
  <c r="V68" i="25" s="1"/>
  <c r="AG83" i="25"/>
  <c r="W83" i="25" s="1"/>
  <c r="AE55" i="25"/>
  <c r="AF55" i="25" s="1"/>
  <c r="AG57" i="25"/>
  <c r="W56" i="25" s="1"/>
  <c r="AE36" i="25"/>
  <c r="AE29" i="25"/>
  <c r="U29" i="25" s="1"/>
  <c r="AE37" i="25"/>
  <c r="U37" i="25" s="1"/>
  <c r="AE32" i="25"/>
  <c r="AG53" i="25"/>
  <c r="W49" i="25" s="1"/>
  <c r="AE73" i="25"/>
  <c r="AF73" i="25" s="1"/>
  <c r="V73" i="25" s="1"/>
  <c r="AG40" i="25"/>
  <c r="W35" i="25" s="1"/>
  <c r="AE31" i="25"/>
  <c r="AF31" i="25" s="1"/>
  <c r="AG46" i="25"/>
  <c r="W46" i="25" s="1"/>
  <c r="AE13" i="25"/>
  <c r="AF13" i="25" s="1"/>
  <c r="V13" i="25" s="1"/>
  <c r="AG43" i="25"/>
  <c r="AG47" i="25"/>
  <c r="AG48" i="25"/>
  <c r="W48" i="25" s="1"/>
  <c r="AE5" i="25"/>
  <c r="U5" i="25" s="1"/>
  <c r="AE93" i="25"/>
  <c r="AF93" i="25" s="1"/>
  <c r="V93" i="25" s="1"/>
  <c r="AE72" i="25"/>
  <c r="AF72" i="25" s="1"/>
  <c r="V72" i="25" s="1"/>
  <c r="BJ17" i="10"/>
  <c r="BY13" i="10"/>
  <c r="BV14" i="10"/>
  <c r="CB21" i="10"/>
  <c r="BU12" i="10"/>
  <c r="BV15" i="10"/>
  <c r="CA29" i="10"/>
  <c r="BJ10" i="10"/>
  <c r="CG10" i="10"/>
  <c r="CJ15" i="10"/>
  <c r="BN30" i="10"/>
  <c r="CH11" i="10"/>
  <c r="CQ23" i="10"/>
  <c r="BT33" i="10"/>
  <c r="BM14" i="10"/>
  <c r="CD10" i="10"/>
  <c r="BV33" i="10"/>
  <c r="CH29" i="10"/>
  <c r="BP17" i="10"/>
  <c r="BN12" i="10"/>
  <c r="CN25" i="10"/>
  <c r="CR11" i="10"/>
  <c r="CJ23" i="10"/>
  <c r="CR29" i="10"/>
  <c r="CB12" i="10"/>
  <c r="CJ21" i="10"/>
  <c r="BU21" i="10"/>
  <c r="BP35" i="10"/>
  <c r="BN35" i="10"/>
  <c r="BM25" i="10"/>
  <c r="BN28" i="10"/>
  <c r="BJ26" i="10"/>
  <c r="CP13" i="10"/>
  <c r="CJ30" i="10"/>
  <c r="BU10" i="10"/>
  <c r="BT15" i="10"/>
  <c r="CQ32" i="10"/>
  <c r="BS12" i="10"/>
  <c r="BS20" i="10"/>
  <c r="BT12" i="10"/>
  <c r="CL13" i="10"/>
  <c r="CI22" i="10"/>
  <c r="CI31" i="10"/>
  <c r="CM11" i="10"/>
  <c r="CI12" i="10"/>
  <c r="BO10" i="10"/>
  <c r="BO19" i="10"/>
  <c r="BT17" i="10"/>
  <c r="BK17" i="10"/>
  <c r="BK35" i="10"/>
  <c r="BR22" i="10"/>
  <c r="CB20" i="10"/>
  <c r="BS30" i="10"/>
  <c r="CJ32" i="10"/>
  <c r="CP31" i="10"/>
  <c r="BL22" i="10"/>
  <c r="BM34" i="10"/>
  <c r="BW10" i="10"/>
  <c r="BG2" i="10" a="1"/>
  <c r="BG2" i="10" s="1"/>
  <c r="BQ24" i="10"/>
  <c r="BL31" i="10"/>
  <c r="CP30" i="10"/>
  <c r="CB22" i="10"/>
  <c r="BY11" i="10"/>
  <c r="CD23" i="10"/>
  <c r="CF16" i="10"/>
  <c r="BI7" i="10" a="1"/>
  <c r="BI7" i="10" s="1"/>
  <c r="BI33" i="10" s="1"/>
  <c r="CO12" i="10"/>
  <c r="CP23" i="10"/>
  <c r="BO14" i="10"/>
  <c r="CO28" i="10"/>
  <c r="CB13" i="10"/>
  <c r="BY20" i="10"/>
  <c r="CK15" i="10"/>
  <c r="CF34" i="10"/>
  <c r="BI9" i="10" a="1"/>
  <c r="BI9" i="10" s="1"/>
  <c r="BI17" i="10" s="1"/>
  <c r="BI2" i="10" a="1"/>
  <c r="BI2" i="10" s="1"/>
  <c r="BI28" i="10" s="1"/>
  <c r="BO23" i="10"/>
  <c r="BJ12" i="10"/>
  <c r="CO29" i="10"/>
  <c r="CK33" i="10"/>
  <c r="BI5" i="10" a="1"/>
  <c r="BI5" i="10" s="1"/>
  <c r="BI22" i="10" s="1"/>
  <c r="BI8" i="10" a="1"/>
  <c r="BI8" i="10" s="1"/>
  <c r="BI16" i="10" s="1"/>
  <c r="BM23" i="10"/>
  <c r="BZ11" i="10"/>
  <c r="CH21" i="10"/>
  <c r="BW16" i="10"/>
  <c r="BQ25" i="10"/>
  <c r="BR31" i="10"/>
  <c r="CK14" i="10"/>
  <c r="BW25" i="10"/>
  <c r="CP11" i="10"/>
  <c r="AD23" i="11"/>
  <c r="AD34" i="11"/>
  <c r="BZ14" i="10"/>
  <c r="BV11" i="10"/>
  <c r="CN17" i="10"/>
  <c r="CN26" i="10"/>
  <c r="CG19" i="10"/>
  <c r="AD17" i="11"/>
  <c r="AD8" i="11"/>
  <c r="BW24" i="10"/>
  <c r="BQ10" i="10"/>
  <c r="AD31" i="11"/>
  <c r="BU16" i="10"/>
  <c r="CB17" i="10"/>
  <c r="AD28" i="11"/>
  <c r="CH19" i="10"/>
  <c r="BZ24" i="10"/>
  <c r="CA12" i="10"/>
  <c r="AD12" i="11"/>
  <c r="AD2" i="11"/>
  <c r="AD19" i="11"/>
  <c r="AD27" i="11"/>
  <c r="AD24" i="11"/>
  <c r="AD6" i="11"/>
  <c r="BV26" i="10"/>
  <c r="CA21" i="10"/>
  <c r="AD10" i="11"/>
  <c r="BU25" i="10"/>
  <c r="BM17" i="10"/>
  <c r="BL12" i="10"/>
  <c r="BW15" i="10"/>
  <c r="BU14" i="10"/>
  <c r="CF14" i="10"/>
  <c r="AD36" i="11"/>
  <c r="BV17" i="10"/>
  <c r="CH10" i="10"/>
  <c r="CR13" i="10"/>
  <c r="CH12" i="10"/>
  <c r="CJ20" i="10"/>
  <c r="BU23" i="10"/>
  <c r="BT13" i="10"/>
  <c r="BX12" i="10"/>
  <c r="CR22" i="10"/>
  <c r="BX21" i="10"/>
  <c r="CC25" i="10"/>
  <c r="BS24" i="10"/>
  <c r="CN19" i="10"/>
  <c r="BM26" i="10"/>
  <c r="CE22" i="10"/>
  <c r="BZ23" i="10"/>
  <c r="AD11" i="11"/>
  <c r="BP11" i="10"/>
  <c r="CN10" i="10"/>
  <c r="BP20" i="10"/>
  <c r="CE14" i="10"/>
  <c r="CE13" i="10"/>
  <c r="CC16" i="10"/>
  <c r="AD14" i="11"/>
  <c r="P2" i="33" a="1"/>
  <c r="P2" i="33" s="1"/>
  <c r="N2" i="33" a="1"/>
  <c r="N2" i="33" s="1"/>
  <c r="BK16" i="10"/>
  <c r="AD7" i="11"/>
  <c r="AD29" i="11"/>
  <c r="AD35" i="11"/>
  <c r="BL21" i="10"/>
  <c r="AD3" i="11"/>
  <c r="BU22" i="10"/>
  <c r="CO17" i="10"/>
  <c r="AD13" i="11"/>
  <c r="AD32" i="11"/>
  <c r="AD26" i="11"/>
  <c r="AD33" i="11"/>
  <c r="AD30" i="11"/>
  <c r="AD16" i="11"/>
  <c r="AD15" i="11"/>
  <c r="AD5" i="11"/>
  <c r="W16" i="25"/>
  <c r="W22" i="25"/>
  <c r="AE62" i="25"/>
  <c r="AF62" i="25" s="1"/>
  <c r="V62" i="25" s="1"/>
  <c r="AE8" i="25"/>
  <c r="U8" i="25" s="1"/>
  <c r="AG26" i="25"/>
  <c r="W24" i="25" s="1"/>
  <c r="W5" i="25"/>
  <c r="W51" i="25"/>
  <c r="W7" i="25"/>
  <c r="W39" i="25"/>
  <c r="W27" i="25"/>
  <c r="W18" i="25"/>
  <c r="AD4" i="11"/>
  <c r="AD18" i="11"/>
  <c r="AD25" i="11"/>
  <c r="AD20" i="11"/>
  <c r="AD9" i="11"/>
  <c r="AD21" i="11"/>
  <c r="AD22" i="11"/>
  <c r="AD37" i="11"/>
  <c r="AF48" i="25"/>
  <c r="AF57" i="25"/>
  <c r="AF81" i="25"/>
  <c r="V81" i="25" s="1"/>
  <c r="U81" i="25"/>
  <c r="AF47" i="25"/>
  <c r="U43" i="25"/>
  <c r="U38" i="25"/>
  <c r="U63" i="25"/>
  <c r="AF63" i="25"/>
  <c r="V63" i="25" s="1"/>
  <c r="U92" i="25"/>
  <c r="AF92" i="25"/>
  <c r="V92" i="25" s="1"/>
  <c r="AF10" i="25"/>
  <c r="AF26" i="25"/>
  <c r="AF4" i="25"/>
  <c r="U22" i="25"/>
  <c r="AF74" i="25"/>
  <c r="V74" i="25" s="1"/>
  <c r="U74" i="25"/>
  <c r="AF35" i="25"/>
  <c r="U30" i="25"/>
  <c r="AF19" i="25"/>
  <c r="U77" i="25"/>
  <c r="AF77" i="25"/>
  <c r="V77" i="25" s="1"/>
  <c r="AF14" i="25"/>
  <c r="U12" i="25"/>
  <c r="AF80" i="25"/>
  <c r="V80" i="25" s="1"/>
  <c r="BI14" i="10"/>
  <c r="BI32" i="10"/>
  <c r="BI23" i="10"/>
  <c r="AF69" i="25"/>
  <c r="V69" i="25" s="1"/>
  <c r="U69" i="25"/>
  <c r="AF41" i="25"/>
  <c r="U40" i="25"/>
  <c r="AF87" i="25"/>
  <c r="V87" i="25" s="1"/>
  <c r="U87" i="25"/>
  <c r="AF54" i="25"/>
  <c r="AF49" i="25"/>
  <c r="U14" i="25"/>
  <c r="AF51" i="25"/>
  <c r="AF34" i="25"/>
  <c r="AF45" i="25"/>
  <c r="U42" i="25"/>
  <c r="U64" i="25"/>
  <c r="U60" i="25"/>
  <c r="AF60" i="25"/>
  <c r="V60" i="25" s="1"/>
  <c r="AF61" i="25"/>
  <c r="V61" i="25" s="1"/>
  <c r="U61" i="25"/>
  <c r="AF9" i="25"/>
  <c r="V9" i="25" s="1"/>
  <c r="U9" i="25"/>
  <c r="AF33" i="25"/>
  <c r="U28" i="25"/>
  <c r="AF23" i="25"/>
  <c r="AF12" i="25"/>
  <c r="U11" i="25"/>
  <c r="AF67" i="25"/>
  <c r="V67" i="25" s="1"/>
  <c r="U67" i="25"/>
  <c r="U7" i="25"/>
  <c r="U58" i="25"/>
  <c r="AF58" i="25"/>
  <c r="V58" i="25" s="1"/>
  <c r="U82" i="25"/>
  <c r="AF82" i="25"/>
  <c r="V82" i="25" s="1"/>
  <c r="AF27" i="25"/>
  <c r="U25" i="25"/>
  <c r="U78" i="25"/>
  <c r="AF78" i="25"/>
  <c r="V78" i="25" s="1"/>
  <c r="AF7" i="25"/>
  <c r="U6" i="25"/>
  <c r="AF42" i="25"/>
  <c r="U36" i="25"/>
  <c r="AF16" i="25"/>
  <c r="U48" i="25"/>
  <c r="AF11" i="25"/>
  <c r="U10" i="25"/>
  <c r="AF18" i="25"/>
  <c r="U51" i="25"/>
  <c r="AF75" i="25"/>
  <c r="V75" i="25" s="1"/>
  <c r="AF36" i="25"/>
  <c r="U31" i="25"/>
  <c r="AF29" i="25"/>
  <c r="AF32" i="25"/>
  <c r="U18" i="25"/>
  <c r="AF89" i="25"/>
  <c r="V89" i="25" s="1"/>
  <c r="AF84" i="25"/>
  <c r="V84" i="25" s="1"/>
  <c r="U84" i="25"/>
  <c r="U19" i="25"/>
  <c r="AF43" i="25"/>
  <c r="U79" i="25"/>
  <c r="AF79" i="25"/>
  <c r="V79" i="25" s="1"/>
  <c r="AF38" i="25"/>
  <c r="U33" i="25"/>
  <c r="U85" i="25"/>
  <c r="U90" i="25"/>
  <c r="AF90" i="25"/>
  <c r="V90" i="25" s="1"/>
  <c r="AF22" i="25"/>
  <c r="U55" i="25"/>
  <c r="BL36" i="10" l="1"/>
  <c r="AB5" i="11" s="1" a="1"/>
  <c r="AB5" i="11" s="1"/>
  <c r="U57" i="25"/>
  <c r="U76" i="25"/>
  <c r="W19" i="25"/>
  <c r="W28" i="25"/>
  <c r="U27" i="25"/>
  <c r="AF15" i="25"/>
  <c r="V15" i="25" s="1"/>
  <c r="U23" i="25"/>
  <c r="AF30" i="25"/>
  <c r="U45" i="25"/>
  <c r="W38" i="25"/>
  <c r="AF91" i="25"/>
  <c r="V91" i="25" s="1"/>
  <c r="U16" i="25"/>
  <c r="U50" i="25"/>
  <c r="U68" i="25"/>
  <c r="U35" i="25"/>
  <c r="U4" i="25"/>
  <c r="AF70" i="25"/>
  <c r="V70" i="25" s="1"/>
  <c r="W52" i="25"/>
  <c r="V47" i="25"/>
  <c r="V51" i="25"/>
  <c r="U88" i="25"/>
  <c r="U3" i="25"/>
  <c r="W17" i="25"/>
  <c r="U13" i="25"/>
  <c r="W42" i="25"/>
  <c r="U17" i="25"/>
  <c r="W11" i="25"/>
  <c r="AF65" i="25"/>
  <c r="V65" i="25" s="1"/>
  <c r="U26" i="25"/>
  <c r="U54" i="25"/>
  <c r="U34" i="25"/>
  <c r="U39" i="25"/>
  <c r="W40" i="25"/>
  <c r="W47" i="25"/>
  <c r="U32" i="25"/>
  <c r="U47" i="25"/>
  <c r="U73" i="25"/>
  <c r="W31" i="25"/>
  <c r="U49" i="25"/>
  <c r="W8" i="25"/>
  <c r="W32" i="25"/>
  <c r="W29" i="25"/>
  <c r="W57" i="25"/>
  <c r="V18" i="25"/>
  <c r="V57" i="25"/>
  <c r="U93" i="25"/>
  <c r="W26" i="25"/>
  <c r="AF5" i="25"/>
  <c r="V4" i="25" s="1"/>
  <c r="U24" i="25"/>
  <c r="V10" i="25"/>
  <c r="AF8" i="25"/>
  <c r="V8" i="25" s="1"/>
  <c r="AF83" i="25"/>
  <c r="V83" i="25" s="1"/>
  <c r="U44" i="25"/>
  <c r="U59" i="25"/>
  <c r="AF86" i="25"/>
  <c r="V86" i="25" s="1"/>
  <c r="AF71" i="25"/>
  <c r="V71" i="25" s="1"/>
  <c r="AF53" i="25"/>
  <c r="V53" i="25" s="1"/>
  <c r="AF46" i="25"/>
  <c r="V46" i="25" s="1"/>
  <c r="AF37" i="25"/>
  <c r="V48" i="25"/>
  <c r="U21" i="25"/>
  <c r="V50" i="25"/>
  <c r="W37" i="25"/>
  <c r="U20" i="25"/>
  <c r="U52" i="25"/>
  <c r="U72" i="25"/>
  <c r="W43" i="25"/>
  <c r="W53" i="25"/>
  <c r="AF66" i="25"/>
  <c r="V66" i="25" s="1"/>
  <c r="V20" i="25"/>
  <c r="CD18" i="10"/>
  <c r="Z23" i="11" s="1" a="1"/>
  <c r="Z23" i="11" s="1"/>
  <c r="CA18" i="10"/>
  <c r="Z20" i="11" s="1" a="1"/>
  <c r="Z20" i="11" s="1"/>
  <c r="CQ18" i="10"/>
  <c r="Z36" i="11" s="1" a="1"/>
  <c r="Z36" i="11" s="1"/>
  <c r="BX18" i="10"/>
  <c r="Z17" i="11" s="1" a="1"/>
  <c r="Z17" i="11" s="1"/>
  <c r="CL18" i="10"/>
  <c r="Z31" i="11" s="1" a="1"/>
  <c r="Z31" i="11" s="1"/>
  <c r="BW36" i="10"/>
  <c r="AB16" i="11" s="1" a="1"/>
  <c r="AB16" i="11" s="1"/>
  <c r="BZ36" i="10"/>
  <c r="AB19" i="11" s="1" a="1"/>
  <c r="AB19" i="11" s="1"/>
  <c r="CJ18" i="10"/>
  <c r="Z29" i="11" s="1" a="1"/>
  <c r="Z29" i="11" s="1"/>
  <c r="CC36" i="10"/>
  <c r="AB22" i="11" s="1" a="1"/>
  <c r="AB22" i="11" s="1"/>
  <c r="BR36" i="10"/>
  <c r="AB11" i="11" s="1" a="1"/>
  <c r="AB11" i="11" s="1"/>
  <c r="BR18" i="10"/>
  <c r="Z11" i="11" s="1" a="1"/>
  <c r="Z11" i="11" s="1"/>
  <c r="BT27" i="10"/>
  <c r="AA13" i="11" s="1" a="1"/>
  <c r="AA13" i="11" s="1"/>
  <c r="CI18" i="10"/>
  <c r="Z28" i="11" s="1" a="1"/>
  <c r="Z28" i="11" s="1"/>
  <c r="CG36" i="10"/>
  <c r="AB26" i="11" s="1" a="1"/>
  <c r="AB26" i="11" s="1"/>
  <c r="CE36" i="10"/>
  <c r="AB24" i="11" s="1" a="1"/>
  <c r="AB24" i="11" s="1"/>
  <c r="BR27" i="10"/>
  <c r="AA11" i="11" s="1" a="1"/>
  <c r="AA11" i="11" s="1"/>
  <c r="CD36" i="10"/>
  <c r="AB23" i="11" s="1" a="1"/>
  <c r="AB23" i="11" s="1"/>
  <c r="BI20" i="10"/>
  <c r="BI11" i="10"/>
  <c r="CA36" i="10"/>
  <c r="AB20" i="11" s="1" a="1"/>
  <c r="AB20" i="11" s="1"/>
  <c r="CK27" i="10"/>
  <c r="AA30" i="11" s="1" a="1"/>
  <c r="AA30" i="11" s="1"/>
  <c r="CL36" i="10"/>
  <c r="AB31" i="11" s="1" a="1"/>
  <c r="AB31" i="11" s="1"/>
  <c r="BQ18" i="10"/>
  <c r="Z10" i="11" s="1" a="1"/>
  <c r="Z10" i="11" s="1"/>
  <c r="CN36" i="10"/>
  <c r="AB33" i="11" s="1" a="1"/>
  <c r="AB33" i="11" s="1"/>
  <c r="CF36" i="10"/>
  <c r="AB25" i="11" s="1" a="1"/>
  <c r="AB25" i="11" s="1"/>
  <c r="BX36" i="10"/>
  <c r="AB17" i="11" s="1" a="1"/>
  <c r="AB17" i="11" s="1"/>
  <c r="BK27" i="10"/>
  <c r="AA4" i="11" s="1" a="1"/>
  <c r="AA4" i="11" s="1"/>
  <c r="BS36" i="10"/>
  <c r="AB12" i="11" s="1" a="1"/>
  <c r="AB12" i="11" s="1"/>
  <c r="CG27" i="10"/>
  <c r="AA26" i="11" s="1" a="1"/>
  <c r="AA26" i="11" s="1"/>
  <c r="CM27" i="10"/>
  <c r="AA32" i="11" s="1" a="1"/>
  <c r="AA32" i="11" s="1"/>
  <c r="CF27" i="10"/>
  <c r="AA25" i="11" s="1" a="1"/>
  <c r="AA25" i="11" s="1"/>
  <c r="CK36" i="10"/>
  <c r="AB30" i="11" s="1" a="1"/>
  <c r="AB30" i="11" s="1"/>
  <c r="CE27" i="10"/>
  <c r="AA24" i="11" s="1" a="1"/>
  <c r="AA24" i="11" s="1"/>
  <c r="BY36" i="10"/>
  <c r="AB18" i="11" s="1" a="1"/>
  <c r="AB18" i="11" s="1"/>
  <c r="CA27" i="10"/>
  <c r="AA20" i="11" s="1" a="1"/>
  <c r="AA20" i="11" s="1"/>
  <c r="BN27" i="10"/>
  <c r="AA7" i="11" s="1" a="1"/>
  <c r="AA7" i="11" s="1"/>
  <c r="BQ36" i="10"/>
  <c r="AB10" i="11" s="1" a="1"/>
  <c r="AB10" i="11" s="1"/>
  <c r="CO27" i="10"/>
  <c r="AA34" i="11" s="1" a="1"/>
  <c r="AA34" i="11" s="1"/>
  <c r="CM36" i="10"/>
  <c r="AB32" i="11" s="1" a="1"/>
  <c r="AB32" i="11" s="1"/>
  <c r="BX27" i="10"/>
  <c r="AA17" i="11" s="1" a="1"/>
  <c r="AA17" i="11" s="1"/>
  <c r="BV27" i="10"/>
  <c r="AA15" i="11" s="1" a="1"/>
  <c r="AA15" i="11" s="1"/>
  <c r="CR27" i="10"/>
  <c r="AA37" i="11" s="1" a="1"/>
  <c r="AA37" i="11" s="1"/>
  <c r="CM18" i="10"/>
  <c r="Z32" i="11" s="1" a="1"/>
  <c r="Z32" i="11" s="1"/>
  <c r="BN18" i="10"/>
  <c r="Z7" i="11" s="1" a="1"/>
  <c r="Z7" i="11" s="1"/>
  <c r="CH36" i="10"/>
  <c r="AB27" i="11" s="1" a="1"/>
  <c r="AB27" i="11" s="1"/>
  <c r="CQ36" i="10"/>
  <c r="AB36" i="11" s="1" a="1"/>
  <c r="AB36" i="11" s="1"/>
  <c r="CL27" i="10"/>
  <c r="AA31" i="11" s="1" a="1"/>
  <c r="AA31" i="11" s="1"/>
  <c r="BI21" i="10"/>
  <c r="BT36" i="10"/>
  <c r="AB13" i="11" s="1" a="1"/>
  <c r="AB13" i="11" s="1"/>
  <c r="BI12" i="10"/>
  <c r="CQ27" i="10"/>
  <c r="AA36" i="11" s="1" a="1"/>
  <c r="AA36" i="11" s="1"/>
  <c r="CI36" i="10"/>
  <c r="AB28" i="11" s="1" a="1"/>
  <c r="AB28" i="11" s="1"/>
  <c r="BL18" i="10"/>
  <c r="Z5" i="11" s="1" a="1"/>
  <c r="Z5" i="11" s="1"/>
  <c r="CI27" i="10"/>
  <c r="AA28" i="11" s="1" a="1"/>
  <c r="AA28" i="11" s="1"/>
  <c r="BS18" i="10"/>
  <c r="Z12" i="11" s="1" a="1"/>
  <c r="Z12" i="11" s="1"/>
  <c r="BO36" i="10"/>
  <c r="AB8" i="11" s="1" a="1"/>
  <c r="AB8" i="11" s="1"/>
  <c r="BJ36" i="10"/>
  <c r="AB3" i="11" s="1" a="1"/>
  <c r="AB3" i="11" s="1"/>
  <c r="CC18" i="10"/>
  <c r="Z22" i="11" s="1" a="1"/>
  <c r="Z22" i="11" s="1"/>
  <c r="BP27" i="10"/>
  <c r="AA9" i="11" s="1" a="1"/>
  <c r="AA9" i="11" s="1"/>
  <c r="BK36" i="10"/>
  <c r="AB4" i="11" s="1" a="1"/>
  <c r="AB4" i="11" s="1"/>
  <c r="BV36" i="10"/>
  <c r="AB15" i="11" s="1" a="1"/>
  <c r="AB15" i="11" s="1"/>
  <c r="CG18" i="10"/>
  <c r="Z26" i="11" s="1" a="1"/>
  <c r="Z26" i="11" s="1"/>
  <c r="CD27" i="10"/>
  <c r="AA23" i="11" s="1" a="1"/>
  <c r="AA23" i="11" s="1"/>
  <c r="BY18" i="10"/>
  <c r="Z18" i="11" s="1" a="1"/>
  <c r="Z18" i="11" s="1"/>
  <c r="CR36" i="10"/>
  <c r="AB37" i="11" s="1" a="1"/>
  <c r="AB37" i="11" s="1"/>
  <c r="CP27" i="10"/>
  <c r="AA35" i="11" s="1" a="1"/>
  <c r="AA35" i="11" s="1"/>
  <c r="CK18" i="10"/>
  <c r="Z30" i="11" s="1" a="1"/>
  <c r="Z30" i="11" s="1"/>
  <c r="CC27" i="10"/>
  <c r="AA22" i="11" s="1" a="1"/>
  <c r="AA22" i="11" s="1"/>
  <c r="BI31" i="10"/>
  <c r="BJ27" i="10"/>
  <c r="AA3" i="11" s="1" a="1"/>
  <c r="AA3" i="11" s="1"/>
  <c r="BI10" i="10"/>
  <c r="CP36" i="10"/>
  <c r="AB35" i="11" s="1" a="1"/>
  <c r="AB35" i="11" s="1"/>
  <c r="BP36" i="10"/>
  <c r="AB9" i="11" s="1" a="1"/>
  <c r="AB9" i="11" s="1"/>
  <c r="CO18" i="10"/>
  <c r="Z34" i="11" s="1" a="1"/>
  <c r="Z34" i="11" s="1"/>
  <c r="BM18" i="10"/>
  <c r="Z6" i="11" s="1" a="1"/>
  <c r="Z6" i="11" s="1"/>
  <c r="BY27" i="10"/>
  <c r="AA18" i="11" s="1" a="1"/>
  <c r="AA18" i="11" s="1"/>
  <c r="BM36" i="10"/>
  <c r="AB6" i="11" s="1" a="1"/>
  <c r="AB6" i="11" s="1"/>
  <c r="V19" i="25"/>
  <c r="C70" i="25" s="1" a="1"/>
  <c r="C70" i="25" s="1"/>
  <c r="V14" i="25"/>
  <c r="V40" i="25"/>
  <c r="W20" i="25"/>
  <c r="V54" i="25"/>
  <c r="CJ36" i="10"/>
  <c r="AB29" i="11" s="1" a="1"/>
  <c r="AB29" i="11" s="1"/>
  <c r="V23" i="25"/>
  <c r="CR18" i="10"/>
  <c r="Z37" i="11" s="1" a="1"/>
  <c r="Z37" i="11" s="1"/>
  <c r="V26" i="25"/>
  <c r="BO18" i="10"/>
  <c r="Z8" i="11" s="1" a="1"/>
  <c r="Z8" i="11" s="1"/>
  <c r="BI13" i="10"/>
  <c r="V25" i="25"/>
  <c r="BJ18" i="10"/>
  <c r="Z3" i="11" s="1" a="1"/>
  <c r="Z3" i="11" s="1"/>
  <c r="U62" i="25"/>
  <c r="V28" i="25"/>
  <c r="V6" i="25"/>
  <c r="V27" i="25"/>
  <c r="BI35" i="10"/>
  <c r="BP18" i="10"/>
  <c r="Z9" i="11" s="1" a="1"/>
  <c r="Z9" i="11" s="1"/>
  <c r="CH27" i="10"/>
  <c r="AA27" i="11" s="1" a="1"/>
  <c r="AA27" i="11" s="1"/>
  <c r="BQ27" i="10"/>
  <c r="AA10" i="11" s="1" a="1"/>
  <c r="AA10" i="11" s="1"/>
  <c r="CB27" i="10"/>
  <c r="AA21" i="11" s="1" a="1"/>
  <c r="AA21" i="11" s="1"/>
  <c r="CF18" i="10"/>
  <c r="Z25" i="11" s="1" a="1"/>
  <c r="Z25" i="11" s="1"/>
  <c r="CJ27" i="10"/>
  <c r="AA29" i="11" s="1" a="1"/>
  <c r="AA29" i="11" s="1"/>
  <c r="BW27" i="10"/>
  <c r="AA16" i="11" s="1" a="1"/>
  <c r="AA16" i="11" s="1"/>
  <c r="BI15" i="10"/>
  <c r="BN36" i="10"/>
  <c r="AB7" i="11" s="1" a="1"/>
  <c r="AB7" i="11" s="1"/>
  <c r="BZ18" i="10"/>
  <c r="Z19" i="11" s="1" a="1"/>
  <c r="Z19" i="11" s="1"/>
  <c r="BS27" i="10"/>
  <c r="AA12" i="11" s="1" a="1"/>
  <c r="AA12" i="11" s="1"/>
  <c r="BL27" i="10"/>
  <c r="AA5" i="11" s="1" a="1"/>
  <c r="AA5" i="11" s="1"/>
  <c r="BI19" i="10"/>
  <c r="BZ27" i="10"/>
  <c r="AA19" i="11" s="1" a="1"/>
  <c r="AA19" i="11" s="1"/>
  <c r="CP18" i="10"/>
  <c r="Z35" i="11" s="1" a="1"/>
  <c r="Z35" i="11" s="1"/>
  <c r="BT18" i="10"/>
  <c r="Z13" i="11" s="1" a="1"/>
  <c r="Z13" i="11" s="1"/>
  <c r="CO36" i="10"/>
  <c r="AB34" i="11" s="1" a="1"/>
  <c r="AB34" i="11" s="1"/>
  <c r="BO27" i="10"/>
  <c r="AA8" i="11" s="1" a="1"/>
  <c r="AA8" i="11" s="1"/>
  <c r="BK18" i="10"/>
  <c r="Z4" i="11" s="1" a="1"/>
  <c r="Z4" i="11" s="1"/>
  <c r="BW18" i="10"/>
  <c r="Z16" i="11" s="1" a="1"/>
  <c r="Z16" i="11" s="1"/>
  <c r="CB18" i="10"/>
  <c r="Z21" i="11" s="1" a="1"/>
  <c r="Z21" i="11" s="1"/>
  <c r="BI34" i="10"/>
  <c r="BI24" i="10"/>
  <c r="BI25" i="10"/>
  <c r="BI26" i="10"/>
  <c r="BM27" i="10"/>
  <c r="AA6" i="11" s="1" a="1"/>
  <c r="AA6" i="11" s="1"/>
  <c r="CN27" i="10"/>
  <c r="AA33" i="11" s="1" a="1"/>
  <c r="AA33" i="11" s="1"/>
  <c r="BV18" i="10"/>
  <c r="Z15" i="11" s="1" a="1"/>
  <c r="Z15" i="11" s="1"/>
  <c r="CN18" i="10"/>
  <c r="Z33" i="11" s="1" a="1"/>
  <c r="Z33" i="11" s="1"/>
  <c r="CH18" i="10"/>
  <c r="Z27" i="11" s="1" a="1"/>
  <c r="Z27" i="11" s="1"/>
  <c r="BU27" i="10"/>
  <c r="AA14" i="11" s="1" a="1"/>
  <c r="AA14" i="11" s="1"/>
  <c r="CE18" i="10"/>
  <c r="Z24" i="11" s="1" a="1"/>
  <c r="Z24" i="11" s="1"/>
  <c r="BU18" i="10"/>
  <c r="Z14" i="11" s="1" a="1"/>
  <c r="Z14" i="11" s="1"/>
  <c r="AF25" i="11"/>
  <c r="AH25" i="11" s="1"/>
  <c r="AF3" i="11"/>
  <c r="AH3" i="11" s="1"/>
  <c r="AF26" i="11"/>
  <c r="AH26" i="11" s="1"/>
  <c r="AF21" i="11"/>
  <c r="AH21" i="11" s="1"/>
  <c r="AF12" i="11"/>
  <c r="AH12" i="11" s="1"/>
  <c r="AF23" i="11"/>
  <c r="AH23" i="11" s="1"/>
  <c r="AF4" i="11"/>
  <c r="AH4" i="11" s="1"/>
  <c r="AF15" i="11"/>
  <c r="AH15" i="11" s="1"/>
  <c r="AF31" i="11"/>
  <c r="AH31" i="11" s="1"/>
  <c r="AF10" i="11"/>
  <c r="AH10" i="11" s="1"/>
  <c r="AF27" i="11"/>
  <c r="AH27" i="11" s="1"/>
  <c r="AF29" i="11"/>
  <c r="AH29" i="11" s="1"/>
  <c r="AF18" i="11"/>
  <c r="AH18" i="11" s="1"/>
  <c r="V32" i="25"/>
  <c r="AF6" i="11"/>
  <c r="AH6" i="11" s="1"/>
  <c r="AF17" i="11"/>
  <c r="AH17" i="11" s="1"/>
  <c r="V55" i="25"/>
  <c r="V33" i="25"/>
  <c r="V37" i="25"/>
  <c r="AF8" i="11"/>
  <c r="AH8" i="11" s="1"/>
  <c r="V31" i="25"/>
  <c r="AF19" i="11"/>
  <c r="AH19" i="11" s="1"/>
  <c r="AF22" i="11"/>
  <c r="AH22" i="11" s="1"/>
  <c r="AF11" i="11"/>
  <c r="AH11" i="11" s="1"/>
  <c r="AF35" i="11"/>
  <c r="AH35" i="11" s="1"/>
  <c r="AF32" i="11"/>
  <c r="AH32" i="11" s="1"/>
  <c r="AF16" i="11"/>
  <c r="AH16" i="11" s="1"/>
  <c r="AF33" i="11"/>
  <c r="AH33" i="11" s="1"/>
  <c r="AF30" i="11"/>
  <c r="AH30" i="11" s="1"/>
  <c r="AF36" i="11"/>
  <c r="AH36" i="11" s="1"/>
  <c r="AF2" i="11"/>
  <c r="AH2" i="11" s="1"/>
  <c r="AF34" i="11"/>
  <c r="AH34" i="11" s="1"/>
  <c r="AF13" i="11"/>
  <c r="AH13" i="11" s="1"/>
  <c r="AF28" i="11"/>
  <c r="AH28" i="11" s="1"/>
  <c r="AF37" i="11"/>
  <c r="AH37" i="11" s="1"/>
  <c r="AF24" i="11"/>
  <c r="AH24" i="11" s="1"/>
  <c r="AF14" i="11"/>
  <c r="AH14" i="11" s="1"/>
  <c r="AF7" i="11"/>
  <c r="AH7" i="11" s="1"/>
  <c r="V11" i="25"/>
  <c r="V16" i="25"/>
  <c r="V21" i="25"/>
  <c r="V17" i="25"/>
  <c r="V45" i="25"/>
  <c r="V38" i="25"/>
  <c r="V56" i="25"/>
  <c r="V7" i="25"/>
  <c r="V5" i="25"/>
  <c r="V12" i="25"/>
  <c r="V52" i="25"/>
  <c r="V43" i="25"/>
  <c r="V44" i="25"/>
  <c r="V36" i="25"/>
  <c r="V42" i="25"/>
  <c r="V34" i="25"/>
  <c r="AF9" i="11"/>
  <c r="AH9" i="11" s="1"/>
  <c r="AF5" i="11"/>
  <c r="AH5" i="11" s="1"/>
  <c r="V22" i="25"/>
  <c r="V49" i="25"/>
  <c r="AF20" i="11"/>
  <c r="AH20" i="11" s="1"/>
  <c r="V29" i="25"/>
  <c r="V41" i="25"/>
  <c r="V30" i="25"/>
  <c r="V24" i="25"/>
  <c r="V35" i="25"/>
  <c r="C48" i="25" a="1"/>
  <c r="C48" i="25" s="1"/>
  <c r="C8" i="25" a="1"/>
  <c r="C8" i="25" s="1"/>
  <c r="C51" i="25" a="1"/>
  <c r="C51" i="25" s="1"/>
  <c r="C82" i="25" a="1"/>
  <c r="C82" i="25" s="1"/>
  <c r="C55" i="25" a="1"/>
  <c r="C55" i="25" s="1"/>
  <c r="C94" i="25" a="1"/>
  <c r="C94" i="25" s="1"/>
  <c r="C59" i="25" a="1"/>
  <c r="C59" i="25" s="1"/>
  <c r="C87" i="25" l="1" a="1"/>
  <c r="C87" i="25" s="1"/>
  <c r="C137" i="25" a="1"/>
  <c r="C137" i="25" s="1"/>
  <c r="V39" i="25"/>
  <c r="C12" i="25" a="1"/>
  <c r="C12" i="25" s="1"/>
  <c r="C108" i="25" a="1"/>
  <c r="C108" i="25" s="1"/>
  <c r="C44" i="25" a="1"/>
  <c r="C44" i="25" s="1"/>
  <c r="C20" i="25" a="1"/>
  <c r="C20" i="25" s="1"/>
  <c r="C21" i="25" a="1"/>
  <c r="C21" i="25" s="1"/>
  <c r="C122" i="25" a="1"/>
  <c r="C122" i="25" s="1"/>
  <c r="C122" i="10" s="1"/>
  <c r="C145" i="25" a="1"/>
  <c r="C145" i="25" s="1"/>
  <c r="C4" i="25" a="1"/>
  <c r="C4" i="25" s="1"/>
  <c r="C96" i="25" a="1"/>
  <c r="C96" i="25" s="1"/>
  <c r="C50" i="25" a="1"/>
  <c r="C50" i="25" s="1"/>
  <c r="C139" i="25" a="1"/>
  <c r="C139" i="25" s="1"/>
  <c r="C124" i="25" a="1"/>
  <c r="C124" i="25" s="1"/>
  <c r="C30" i="25" a="1"/>
  <c r="C30" i="25" s="1"/>
  <c r="C67" i="25" a="1"/>
  <c r="C67" i="25" s="1"/>
  <c r="C67" i="10" s="1"/>
  <c r="C41" i="25" a="1"/>
  <c r="C41" i="25" s="1"/>
  <c r="C26" i="25" a="1"/>
  <c r="C26" i="25" s="1"/>
  <c r="C26" i="10" s="1"/>
  <c r="C71" i="25" a="1"/>
  <c r="C71" i="25" s="1"/>
  <c r="C89" i="25" a="1"/>
  <c r="C89" i="25" s="1"/>
  <c r="C53" i="25" a="1"/>
  <c r="C53" i="25" s="1"/>
  <c r="C140" i="25" a="1"/>
  <c r="C140" i="25" s="1"/>
  <c r="C118" i="25" a="1"/>
  <c r="C118" i="25" s="1"/>
  <c r="C114" i="25" a="1"/>
  <c r="C114" i="25" s="1"/>
  <c r="B114" i="10" s="1"/>
  <c r="C116" i="25" a="1"/>
  <c r="C116" i="25" s="1"/>
  <c r="C116" i="10" s="1"/>
  <c r="C15" i="25" a="1"/>
  <c r="C15" i="25" s="1"/>
  <c r="C15" i="10" s="1"/>
  <c r="C102" i="25" a="1"/>
  <c r="C102" i="25" s="1"/>
  <c r="C22" i="25" a="1"/>
  <c r="C22" i="25" s="1"/>
  <c r="C3" i="25" a="1"/>
  <c r="C3" i="25" s="1"/>
  <c r="C3" i="10" s="1"/>
  <c r="L2" i="10" s="1"/>
  <c r="C58" i="25" a="1"/>
  <c r="C58" i="25" s="1"/>
  <c r="C142" i="25" a="1"/>
  <c r="C142" i="25" s="1"/>
  <c r="C56" i="25" a="1"/>
  <c r="C56" i="25" s="1"/>
  <c r="C56" i="10" s="1"/>
  <c r="C129" i="25" a="1"/>
  <c r="C129" i="25" s="1"/>
  <c r="B129" i="10" s="1"/>
  <c r="C133" i="25" a="1"/>
  <c r="C133" i="25" s="1"/>
  <c r="B133" i="10" s="1"/>
  <c r="C17" i="25" a="1"/>
  <c r="C17" i="25" s="1"/>
  <c r="C78" i="25" a="1"/>
  <c r="C78" i="25" s="1"/>
  <c r="B78" i="10" s="1"/>
  <c r="C52" i="25" a="1"/>
  <c r="C52" i="25" s="1"/>
  <c r="B52" i="10" s="1"/>
  <c r="C90" i="25" a="1"/>
  <c r="C90" i="25" s="1"/>
  <c r="C13" i="25" a="1"/>
  <c r="C13" i="25" s="1"/>
  <c r="B13" i="10" s="1"/>
  <c r="C18" i="25" a="1"/>
  <c r="C18" i="25" s="1"/>
  <c r="C18" i="10" s="1"/>
  <c r="C99" i="25" a="1"/>
  <c r="C99" i="25" s="1"/>
  <c r="C99" i="10" s="1"/>
  <c r="C104" i="25" a="1"/>
  <c r="C104" i="25" s="1"/>
  <c r="B104" i="10" s="1"/>
  <c r="C2" i="25" a="1"/>
  <c r="C2" i="25" s="1"/>
  <c r="C93" i="25" a="1"/>
  <c r="C93" i="25" s="1"/>
  <c r="B93" i="10" s="1"/>
  <c r="C125" i="25" a="1"/>
  <c r="C125" i="25" s="1"/>
  <c r="B125" i="10" s="1"/>
  <c r="C64" i="25" a="1"/>
  <c r="C64" i="25" s="1"/>
  <c r="C64" i="10" s="1"/>
  <c r="C35" i="25" a="1"/>
  <c r="C35" i="25" s="1"/>
  <c r="C144" i="25" a="1"/>
  <c r="C144" i="25" s="1"/>
  <c r="B144" i="10" s="1"/>
  <c r="C120" i="25" a="1"/>
  <c r="C120" i="25" s="1"/>
  <c r="C120" i="10" s="1"/>
  <c r="C24" i="25" a="1"/>
  <c r="C24" i="25" s="1"/>
  <c r="B24" i="10" s="1"/>
  <c r="C84" i="25" a="1"/>
  <c r="C84" i="25" s="1"/>
  <c r="C86" i="25" a="1"/>
  <c r="C86" i="25" s="1"/>
  <c r="C86" i="10" s="1"/>
  <c r="C103" i="25" a="1"/>
  <c r="C103" i="25" s="1"/>
  <c r="B103" i="10" s="1"/>
  <c r="C10" i="25" a="1"/>
  <c r="C10" i="25" s="1"/>
  <c r="B10" i="10" s="1"/>
  <c r="C110" i="25" a="1"/>
  <c r="C110" i="25" s="1"/>
  <c r="C110" i="10" s="1"/>
  <c r="C76" i="25" a="1"/>
  <c r="C76" i="25" s="1"/>
  <c r="B76" i="10" s="1"/>
  <c r="C117" i="25" a="1"/>
  <c r="C117" i="25" s="1"/>
  <c r="B117" i="10" s="1"/>
  <c r="C81" i="25" a="1"/>
  <c r="C81" i="25" s="1"/>
  <c r="C81" i="10" s="1"/>
  <c r="C92" i="25" a="1"/>
  <c r="C92" i="25" s="1"/>
  <c r="C101" i="25" a="1"/>
  <c r="C101" i="25" s="1"/>
  <c r="B101" i="10" s="1"/>
  <c r="C97" i="25" a="1"/>
  <c r="C97" i="25" s="1"/>
  <c r="B97" i="10" s="1"/>
  <c r="C42" i="25" a="1"/>
  <c r="C42" i="25" s="1"/>
  <c r="B42" i="10" s="1"/>
  <c r="C43" i="25" a="1"/>
  <c r="C43" i="25" s="1"/>
  <c r="C107" i="25" a="1"/>
  <c r="C107" i="25" s="1"/>
  <c r="C107" i="10" s="1"/>
  <c r="C39" i="25" a="1"/>
  <c r="C39" i="25" s="1"/>
  <c r="C39" i="10" s="1"/>
  <c r="C74" i="25" a="1"/>
  <c r="C74" i="25" s="1"/>
  <c r="C74" i="10" s="1"/>
  <c r="C143" i="25" a="1"/>
  <c r="C143" i="25" s="1"/>
  <c r="C130" i="25" a="1"/>
  <c r="C130" i="25" s="1"/>
  <c r="C130" i="10" s="1"/>
  <c r="C31" i="25" a="1"/>
  <c r="C31" i="25" s="1"/>
  <c r="B31" i="10" s="1"/>
  <c r="C105" i="25" a="1"/>
  <c r="C105" i="25" s="1"/>
  <c r="C105" i="10" s="1"/>
  <c r="C14" i="25" a="1"/>
  <c r="C14" i="25" s="1"/>
  <c r="C14" i="10" s="1"/>
  <c r="C37" i="25" a="1"/>
  <c r="C37" i="25" s="1"/>
  <c r="C37" i="10" s="1"/>
  <c r="C128" i="25" a="1"/>
  <c r="C128" i="25" s="1"/>
  <c r="C88" i="25" a="1"/>
  <c r="C88" i="25" s="1"/>
  <c r="B88" i="10" s="1"/>
  <c r="C5" i="25" a="1"/>
  <c r="C5" i="25" s="1"/>
  <c r="C79" i="25" a="1"/>
  <c r="C79" i="25" s="1"/>
  <c r="B79" i="10" s="1"/>
  <c r="C45" i="25" a="1"/>
  <c r="C45" i="25" s="1"/>
  <c r="C45" i="10" s="1"/>
  <c r="C47" i="25" a="1"/>
  <c r="C47" i="25" s="1"/>
  <c r="C47" i="10" s="1"/>
  <c r="C80" i="25" a="1"/>
  <c r="C80" i="25" s="1"/>
  <c r="C80" i="10" s="1"/>
  <c r="C27" i="25" a="1"/>
  <c r="C27" i="25" s="1"/>
  <c r="C27" i="10" s="1"/>
  <c r="C9" i="25" a="1"/>
  <c r="C9" i="25" s="1"/>
  <c r="C54" i="25" a="1"/>
  <c r="C54" i="25" s="1"/>
  <c r="B54" i="10" s="1"/>
  <c r="C119" i="25" a="1"/>
  <c r="C119" i="25" s="1"/>
  <c r="C11" i="25" a="1"/>
  <c r="C11" i="25" s="1"/>
  <c r="C11" i="10" s="1"/>
  <c r="C29" i="25" a="1"/>
  <c r="C29" i="25" s="1"/>
  <c r="C29" i="10" s="1"/>
  <c r="C16" i="25" a="1"/>
  <c r="C16" i="25" s="1"/>
  <c r="B16" i="10" s="1"/>
  <c r="C34" i="25" a="1"/>
  <c r="C34" i="25" s="1"/>
  <c r="C34" i="10" s="1"/>
  <c r="C121" i="25" a="1"/>
  <c r="C121" i="25" s="1"/>
  <c r="C121" i="10" s="1"/>
  <c r="C60" i="25" a="1"/>
  <c r="C60" i="25" s="1"/>
  <c r="C100" i="25" a="1"/>
  <c r="C100" i="25" s="1"/>
  <c r="C100" i="10" s="1"/>
  <c r="C23" i="25" a="1"/>
  <c r="C23" i="25" s="1"/>
  <c r="C23" i="10" s="1"/>
  <c r="C91" i="25" a="1"/>
  <c r="C91" i="25" s="1"/>
  <c r="B91" i="10" s="1"/>
  <c r="C95" i="25" a="1"/>
  <c r="C95" i="25" s="1"/>
  <c r="B95" i="10" s="1"/>
  <c r="C72" i="25" a="1"/>
  <c r="C72" i="25" s="1"/>
  <c r="B72" i="10" s="1"/>
  <c r="C141" i="25" a="1"/>
  <c r="C141" i="25" s="1"/>
  <c r="C141" i="10" s="1"/>
  <c r="C46" i="25" a="1"/>
  <c r="C46" i="25" s="1"/>
  <c r="B46" i="10" s="1"/>
  <c r="C66" i="25" a="1"/>
  <c r="C66" i="25" s="1"/>
  <c r="B66" i="10" s="1"/>
  <c r="C61" i="25" a="1"/>
  <c r="C61" i="25" s="1"/>
  <c r="B61" i="10" s="1"/>
  <c r="C57" i="25" a="1"/>
  <c r="C57" i="25" s="1"/>
  <c r="C57" i="10" s="1"/>
  <c r="C113" i="25" a="1"/>
  <c r="C113" i="25" s="1"/>
  <c r="C113" i="10" s="1"/>
  <c r="C106" i="25" a="1"/>
  <c r="C106" i="25" s="1"/>
  <c r="B106" i="10" s="1"/>
  <c r="C36" i="25" a="1"/>
  <c r="C36" i="25" s="1"/>
  <c r="C36" i="10" s="1"/>
  <c r="C25" i="25" a="1"/>
  <c r="C25" i="25" s="1"/>
  <c r="C25" i="10" s="1"/>
  <c r="C68" i="25" a="1"/>
  <c r="C68" i="25" s="1"/>
  <c r="B68" i="10" s="1"/>
  <c r="C62" i="25" a="1"/>
  <c r="C62" i="25" s="1"/>
  <c r="B62" i="10" s="1"/>
  <c r="C77" i="25" a="1"/>
  <c r="C77" i="25" s="1"/>
  <c r="C77" i="10" s="1"/>
  <c r="C69" i="25" a="1"/>
  <c r="C69" i="25" s="1"/>
  <c r="B69" i="10" s="1"/>
  <c r="C32" i="25" a="1"/>
  <c r="C32" i="25" s="1"/>
  <c r="B32" i="10" s="1"/>
  <c r="C111" i="25" a="1"/>
  <c r="C111" i="25" s="1"/>
  <c r="C111" i="10" s="1"/>
  <c r="C19" i="25" a="1"/>
  <c r="C19" i="25" s="1"/>
  <c r="C19" i="10" s="1"/>
  <c r="C138" i="25" a="1"/>
  <c r="C138" i="25" s="1"/>
  <c r="C138" i="10" s="1"/>
  <c r="C49" i="25" a="1"/>
  <c r="C49" i="25" s="1"/>
  <c r="B49" i="10" s="1"/>
  <c r="C127" i="25" a="1"/>
  <c r="C127" i="25" s="1"/>
  <c r="C127" i="10" s="1"/>
  <c r="C109" i="25" a="1"/>
  <c r="C109" i="25" s="1"/>
  <c r="C109" i="10" s="1"/>
  <c r="C6" i="25" a="1"/>
  <c r="C6" i="25" s="1"/>
  <c r="B6" i="10" s="1"/>
  <c r="C136" i="25" a="1"/>
  <c r="C136" i="25" s="1"/>
  <c r="B136" i="10" s="1"/>
  <c r="C85" i="25" a="1"/>
  <c r="C85" i="25" s="1"/>
  <c r="C85" i="10" s="1"/>
  <c r="C33" i="25" a="1"/>
  <c r="C33" i="25" s="1"/>
  <c r="C33" i="10" s="1"/>
  <c r="C65" i="25" a="1"/>
  <c r="C65" i="25" s="1"/>
  <c r="B65" i="10" s="1"/>
  <c r="C112" i="25" a="1"/>
  <c r="C112" i="25" s="1"/>
  <c r="B112" i="10" s="1"/>
  <c r="C75" i="25" a="1"/>
  <c r="C75" i="25" s="1"/>
  <c r="C123" i="25" a="1"/>
  <c r="C123" i="25" s="1"/>
  <c r="B123" i="10" s="1"/>
  <c r="C73" i="25" a="1"/>
  <c r="C73" i="25" s="1"/>
  <c r="C73" i="10" s="1"/>
  <c r="C63" i="25" a="1"/>
  <c r="C63" i="25" s="1"/>
  <c r="C63" i="10" s="1"/>
  <c r="C132" i="25" a="1"/>
  <c r="C132" i="25" s="1"/>
  <c r="B132" i="10" s="1"/>
  <c r="C40" i="25" a="1"/>
  <c r="C40" i="25" s="1"/>
  <c r="C40" i="10" s="1"/>
  <c r="C135" i="25" a="1"/>
  <c r="C135" i="25" s="1"/>
  <c r="B135" i="10" s="1"/>
  <c r="C83" i="25" a="1"/>
  <c r="C83" i="25" s="1"/>
  <c r="C83" i="10" s="1"/>
  <c r="C7" i="25" a="1"/>
  <c r="C7" i="25" s="1"/>
  <c r="C7" i="10" s="1"/>
  <c r="C126" i="25" a="1"/>
  <c r="C126" i="25" s="1"/>
  <c r="B126" i="10" s="1"/>
  <c r="C98" i="25" a="1"/>
  <c r="C98" i="25" s="1"/>
  <c r="C98" i="10" s="1"/>
  <c r="C115" i="25" a="1"/>
  <c r="C115" i="25" s="1"/>
  <c r="C115" i="10" s="1"/>
  <c r="C131" i="25" a="1"/>
  <c r="C131" i="25" s="1"/>
  <c r="C131" i="10" s="1"/>
  <c r="C28" i="25" a="1"/>
  <c r="C28" i="25" s="1"/>
  <c r="C28" i="10" s="1"/>
  <c r="C38" i="25" a="1"/>
  <c r="C38" i="25" s="1"/>
  <c r="C38" i="10" s="1"/>
  <c r="C134" i="25" a="1"/>
  <c r="C134" i="25" s="1"/>
  <c r="B134" i="10" s="1"/>
  <c r="BI18" i="10"/>
  <c r="Z2" i="11" s="1" a="1"/>
  <c r="Z2" i="11" s="1"/>
  <c r="BI36" i="10"/>
  <c r="AB2" i="11" s="1" a="1"/>
  <c r="AB2" i="11" s="1"/>
  <c r="BI27" i="10"/>
  <c r="AA2" i="11" s="1" a="1"/>
  <c r="AA2" i="11" s="1"/>
  <c r="AJ24" i="11"/>
  <c r="AJ30" i="11"/>
  <c r="AJ28" i="11"/>
  <c r="AJ29" i="11"/>
  <c r="AJ11" i="11"/>
  <c r="AJ10" i="11"/>
  <c r="AJ16" i="11"/>
  <c r="AJ32" i="11"/>
  <c r="AJ34" i="11"/>
  <c r="B128" i="10"/>
  <c r="C128" i="10"/>
  <c r="B102" i="10"/>
  <c r="C102" i="10"/>
  <c r="C87" i="10"/>
  <c r="B87" i="10"/>
  <c r="B70" i="10"/>
  <c r="C70" i="10"/>
  <c r="AJ36" i="11"/>
  <c r="C82" i="10"/>
  <c r="B82" i="10"/>
  <c r="B12" i="10"/>
  <c r="C12" i="10"/>
  <c r="B80" i="10"/>
  <c r="B8" i="10"/>
  <c r="C8" i="10"/>
  <c r="B48" i="10"/>
  <c r="C48" i="10"/>
  <c r="AJ25" i="11"/>
  <c r="C104" i="10"/>
  <c r="C52" i="10"/>
  <c r="B137" i="10"/>
  <c r="C137" i="10"/>
  <c r="C35" i="10"/>
  <c r="B35" i="10"/>
  <c r="B39" i="10"/>
  <c r="B84" i="10"/>
  <c r="C84" i="10"/>
  <c r="B9" i="10"/>
  <c r="C9" i="10"/>
  <c r="B71" i="10"/>
  <c r="C71" i="10"/>
  <c r="AJ14" i="11"/>
  <c r="AJ21" i="11"/>
  <c r="AJ4" i="11"/>
  <c r="C90" i="10"/>
  <c r="B90" i="10"/>
  <c r="B41" i="10"/>
  <c r="C41" i="10"/>
  <c r="C55" i="10"/>
  <c r="B55" i="10"/>
  <c r="B139" i="10"/>
  <c r="C139" i="10"/>
  <c r="C79" i="10"/>
  <c r="B120" i="10"/>
  <c r="B22" i="10"/>
  <c r="C22" i="10"/>
  <c r="B27" i="10"/>
  <c r="B30" i="10"/>
  <c r="C30" i="10"/>
  <c r="C17" i="10"/>
  <c r="B17" i="10"/>
  <c r="AJ23" i="11"/>
  <c r="C75" i="10"/>
  <c r="B75" i="10"/>
  <c r="AJ27" i="11"/>
  <c r="AJ8" i="11"/>
  <c r="AJ15" i="11"/>
  <c r="AJ33" i="11"/>
  <c r="AJ26" i="11"/>
  <c r="AJ35" i="11"/>
  <c r="AJ18" i="11"/>
  <c r="C143" i="10"/>
  <c r="B143" i="10"/>
  <c r="B58" i="10"/>
  <c r="C58" i="10"/>
  <c r="C89" i="10"/>
  <c r="B89" i="10"/>
  <c r="C145" i="10"/>
  <c r="B145" i="10"/>
  <c r="C125" i="10"/>
  <c r="C69" i="10"/>
  <c r="C44" i="10"/>
  <c r="B44" i="10"/>
  <c r="B53" i="10"/>
  <c r="C53" i="10"/>
  <c r="C10" i="10"/>
  <c r="B110" i="10"/>
  <c r="C66" i="10"/>
  <c r="B67" i="10"/>
  <c r="AJ7" i="11"/>
  <c r="B50" i="10"/>
  <c r="C50" i="10"/>
  <c r="B99" i="10"/>
  <c r="C94" i="10"/>
  <c r="B94" i="10"/>
  <c r="AJ6" i="11"/>
  <c r="AJ22" i="11"/>
  <c r="AJ17" i="11"/>
  <c r="AJ3" i="11"/>
  <c r="AJ19" i="11"/>
  <c r="C61" i="10"/>
  <c r="C13" i="10"/>
  <c r="B60" i="10"/>
  <c r="C60" i="10"/>
  <c r="C118" i="10"/>
  <c r="B118" i="10"/>
  <c r="C88" i="10"/>
  <c r="B64" i="10"/>
  <c r="B21" i="10"/>
  <c r="C21" i="10"/>
  <c r="B96" i="10"/>
  <c r="C96" i="10"/>
  <c r="B3" i="10"/>
  <c r="B119" i="10"/>
  <c r="C119" i="10"/>
  <c r="B11" i="10"/>
  <c r="AJ2" i="11"/>
  <c r="C20" i="10"/>
  <c r="B20" i="10"/>
  <c r="C142" i="10"/>
  <c r="B142" i="10"/>
  <c r="AJ5" i="11"/>
  <c r="AJ37" i="11"/>
  <c r="AJ12" i="11"/>
  <c r="AJ31" i="11"/>
  <c r="B130" i="10"/>
  <c r="B122" i="10"/>
  <c r="B15" i="10"/>
  <c r="C2" i="10"/>
  <c r="B2" i="10"/>
  <c r="B43" i="10"/>
  <c r="C43" i="10"/>
  <c r="C62" i="10"/>
  <c r="C5" i="10"/>
  <c r="B5" i="10"/>
  <c r="C124" i="10"/>
  <c r="B124" i="10"/>
  <c r="B4" i="10"/>
  <c r="C4" i="10"/>
  <c r="C51" i="10"/>
  <c r="B51" i="10"/>
  <c r="B116" i="10"/>
  <c r="C6" i="10"/>
  <c r="AJ20" i="11"/>
  <c r="AJ13" i="11"/>
  <c r="B108" i="10"/>
  <c r="C108" i="10"/>
  <c r="B57" i="10"/>
  <c r="B140" i="10"/>
  <c r="C140" i="10"/>
  <c r="B59" i="10"/>
  <c r="C59" i="10"/>
  <c r="B37" i="10"/>
  <c r="B26" i="10"/>
  <c r="B92" i="10"/>
  <c r="C92" i="10"/>
  <c r="B34" i="10"/>
  <c r="AJ9" i="11"/>
  <c r="B38" i="10" l="1"/>
  <c r="C65" i="10"/>
  <c r="B138" i="10"/>
  <c r="C42" i="10"/>
  <c r="C133" i="10"/>
  <c r="B47" i="10"/>
  <c r="B141" i="10"/>
  <c r="C24" i="10"/>
  <c r="B18" i="10"/>
  <c r="B105" i="10"/>
  <c r="C114" i="10"/>
  <c r="B56" i="10"/>
  <c r="B81" i="10"/>
  <c r="B107" i="10"/>
  <c r="C144" i="10"/>
  <c r="B121" i="10"/>
  <c r="C117" i="10"/>
  <c r="C129" i="10"/>
  <c r="C46" i="10"/>
  <c r="B74" i="10"/>
  <c r="C135" i="10"/>
  <c r="B83" i="10"/>
  <c r="C16" i="10"/>
  <c r="B19" i="10"/>
  <c r="B33" i="10"/>
  <c r="C72" i="10"/>
  <c r="C49" i="10"/>
  <c r="B40" i="10"/>
  <c r="C54" i="10"/>
  <c r="C68" i="10"/>
  <c r="C134" i="10"/>
  <c r="C112" i="10"/>
  <c r="B7" i="10"/>
  <c r="B28" i="10"/>
  <c r="B36" i="10"/>
  <c r="C76" i="10"/>
  <c r="B127" i="10"/>
  <c r="C126" i="10"/>
  <c r="B77" i="10"/>
  <c r="B109" i="10"/>
  <c r="B100" i="10"/>
  <c r="B73" i="10"/>
  <c r="C132" i="10"/>
  <c r="B98" i="10"/>
  <c r="B25" i="10"/>
  <c r="C97" i="10"/>
  <c r="B14" i="10"/>
  <c r="C31" i="10"/>
  <c r="B63" i="10"/>
  <c r="B85" i="10"/>
  <c r="C123" i="10"/>
  <c r="B86" i="10"/>
  <c r="C32" i="10"/>
  <c r="B113" i="10"/>
  <c r="C91" i="10"/>
  <c r="C103" i="10"/>
  <c r="C106" i="10"/>
  <c r="C95" i="10"/>
  <c r="C93" i="10"/>
  <c r="C101" i="10"/>
  <c r="B131" i="10"/>
  <c r="C136" i="10"/>
  <c r="B29" i="10"/>
  <c r="B111" i="10"/>
  <c r="B115" i="10"/>
  <c r="C78" i="10"/>
  <c r="B45" i="10"/>
  <c r="B23" i="10"/>
  <c r="AL28" i="11"/>
  <c r="AN28" i="11" s="1"/>
  <c r="AL13" i="11"/>
  <c r="AN13" i="11" s="1"/>
  <c r="AL21" i="11"/>
  <c r="AN21" i="11" s="1"/>
  <c r="AL25" i="11"/>
  <c r="AN25" i="11" s="1"/>
  <c r="AL34" i="11"/>
  <c r="AL9" i="11"/>
  <c r="AN9" i="11" s="1"/>
  <c r="AL18" i="11"/>
  <c r="AN18" i="11" s="1"/>
  <c r="AL14" i="11"/>
  <c r="AN14" i="11" s="1"/>
  <c r="AL11" i="11"/>
  <c r="AL29" i="11"/>
  <c r="AL31" i="11"/>
  <c r="AN31" i="11" s="1"/>
  <c r="AL7" i="11"/>
  <c r="AN7" i="11" s="1"/>
  <c r="AL35" i="11"/>
  <c r="AN35" i="11" s="1"/>
  <c r="AL19" i="11"/>
  <c r="AN19" i="11" s="1"/>
  <c r="AL26" i="11"/>
  <c r="AN26" i="11" s="1"/>
  <c r="AL36" i="11"/>
  <c r="AN36" i="11" s="1"/>
  <c r="AL32" i="11"/>
  <c r="AL20" i="11"/>
  <c r="AN20" i="11" s="1"/>
  <c r="AL3" i="11"/>
  <c r="AN3" i="11" s="1"/>
  <c r="AL33" i="11"/>
  <c r="AN33" i="11" s="1"/>
  <c r="AL23" i="11"/>
  <c r="AN23" i="11" s="1"/>
  <c r="AL2" i="11"/>
  <c r="AN2" i="11" s="1"/>
  <c r="AL17" i="11"/>
  <c r="AN17" i="11" s="1"/>
  <c r="AL15" i="11"/>
  <c r="AN15" i="11" s="1"/>
  <c r="AL30" i="11"/>
  <c r="AL24" i="11"/>
  <c r="AL37" i="11"/>
  <c r="AN37" i="11" s="1"/>
  <c r="AL5" i="11"/>
  <c r="AN5" i="11" s="1"/>
  <c r="AL22" i="11"/>
  <c r="AN22" i="11" s="1"/>
  <c r="AL8" i="11"/>
  <c r="AN8" i="11" s="1"/>
  <c r="AL12" i="11"/>
  <c r="AN12" i="11" s="1"/>
  <c r="AL6" i="11"/>
  <c r="AN6" i="11" s="1"/>
  <c r="AL10" i="11"/>
  <c r="AL27" i="11"/>
  <c r="AN27" i="11" s="1"/>
  <c r="AL4" i="11"/>
  <c r="AN4" i="11" s="1"/>
  <c r="AL16" i="11"/>
  <c r="AN11" i="11" l="1"/>
  <c r="AN16" i="11"/>
  <c r="AN24" i="11"/>
  <c r="AN32" i="11"/>
  <c r="AN30" i="11"/>
  <c r="AN10" i="11"/>
  <c r="AN29" i="11"/>
  <c r="AN34" i="11"/>
  <c r="AP5" i="11" l="1"/>
  <c r="AP10" i="11"/>
  <c r="AP30" i="11"/>
  <c r="AP8" i="11"/>
  <c r="AP34" i="11"/>
  <c r="AP15" i="11"/>
  <c r="AP17" i="11"/>
  <c r="AP6" i="11"/>
  <c r="AP32" i="11"/>
  <c r="AP16" i="11"/>
  <c r="AP35" i="11"/>
  <c r="AP3" i="11"/>
  <c r="AP27" i="11"/>
  <c r="AP22" i="11"/>
  <c r="AP12" i="11"/>
  <c r="AP33" i="11"/>
  <c r="AP20" i="11"/>
  <c r="AP21" i="11"/>
  <c r="AP2" i="11"/>
  <c r="AP19" i="11"/>
  <c r="AP37" i="11"/>
  <c r="AP36" i="11"/>
  <c r="AP25" i="11"/>
  <c r="AP18" i="11"/>
  <c r="AP11" i="11"/>
  <c r="AP24" i="11"/>
  <c r="AP9" i="11"/>
  <c r="AP7" i="11"/>
  <c r="AP29" i="11"/>
  <c r="AP4" i="11"/>
  <c r="AP28" i="11"/>
  <c r="AP13" i="11"/>
  <c r="AP31" i="11"/>
  <c r="AP23" i="11"/>
  <c r="AP26" i="11"/>
  <c r="AP14" i="11"/>
  <c r="AR17" i="11" l="1"/>
  <c r="AT17" i="11" s="1"/>
  <c r="AR8" i="11"/>
  <c r="AT8" i="11" s="1"/>
  <c r="AR32" i="11"/>
  <c r="AT32" i="11" s="1"/>
  <c r="AR25" i="11"/>
  <c r="AT25" i="11" s="1"/>
  <c r="AR36" i="11"/>
  <c r="AT36" i="11" s="1"/>
  <c r="AR33" i="11"/>
  <c r="AT33" i="11" s="1"/>
  <c r="AR7" i="11"/>
  <c r="AT7" i="11" s="1"/>
  <c r="AR6" i="11"/>
  <c r="AR14" i="11"/>
  <c r="AT14" i="11" s="1"/>
  <c r="AR24" i="11"/>
  <c r="AT24" i="11" s="1"/>
  <c r="AR26" i="11"/>
  <c r="AT26" i="11" s="1"/>
  <c r="AR28" i="11"/>
  <c r="AT28" i="11" s="1"/>
  <c r="AR10" i="11"/>
  <c r="AR15" i="11"/>
  <c r="AR12" i="11"/>
  <c r="AT12" i="11" s="1"/>
  <c r="AR16" i="11"/>
  <c r="AR20" i="11"/>
  <c r="AT20" i="11" s="1"/>
  <c r="AR4" i="11"/>
  <c r="AT4" i="11" s="1"/>
  <c r="AR22" i="11"/>
  <c r="AT22" i="11" s="1"/>
  <c r="AR23" i="11"/>
  <c r="AT23" i="11" s="1"/>
  <c r="AR31" i="11"/>
  <c r="AT31" i="11" s="1"/>
  <c r="AR29" i="11"/>
  <c r="AT29" i="11" s="1"/>
  <c r="AR11" i="11"/>
  <c r="AT11" i="11" s="1"/>
  <c r="AR37" i="11"/>
  <c r="AT37" i="11" s="1"/>
  <c r="AR27" i="11"/>
  <c r="AT27" i="11" s="1"/>
  <c r="AR9" i="11"/>
  <c r="AT9" i="11" s="1"/>
  <c r="AR18" i="11"/>
  <c r="AT18" i="11" s="1"/>
  <c r="AR19" i="11"/>
  <c r="AT19" i="11" s="1"/>
  <c r="AR3" i="11"/>
  <c r="AT3" i="11" s="1"/>
  <c r="AR21" i="11"/>
  <c r="AT21" i="11" s="1"/>
  <c r="AR13" i="11"/>
  <c r="AT13" i="11" s="1"/>
  <c r="AR5" i="11"/>
  <c r="AR34" i="11"/>
  <c r="AR2" i="11"/>
  <c r="AT2" i="11" s="1"/>
  <c r="AR35" i="11"/>
  <c r="AT35" i="11" s="1"/>
  <c r="AR30" i="11"/>
  <c r="AT6" i="11" l="1"/>
  <c r="AT10" i="11"/>
  <c r="AT34" i="11"/>
  <c r="AT16" i="11"/>
  <c r="AT5" i="11"/>
  <c r="AT30" i="11"/>
  <c r="AT15" i="11"/>
  <c r="AV23" i="11" l="1"/>
  <c r="AV3" i="11"/>
  <c r="AV33" i="11"/>
  <c r="AV36" i="11"/>
  <c r="AV14" i="11"/>
  <c r="AV34" i="11"/>
  <c r="AV22" i="11"/>
  <c r="AV4" i="11"/>
  <c r="AV15" i="11"/>
  <c r="AV18" i="11"/>
  <c r="AV30" i="11"/>
  <c r="AV12" i="11"/>
  <c r="AV10" i="11"/>
  <c r="AV6" i="11"/>
  <c r="AV37" i="11"/>
  <c r="AV7" i="11"/>
  <c r="AV11" i="11"/>
  <c r="AV5" i="11"/>
  <c r="AV29" i="11"/>
  <c r="AV35" i="11"/>
  <c r="AV21" i="11"/>
  <c r="AV25" i="11"/>
  <c r="AV20" i="11"/>
  <c r="AV28" i="11"/>
  <c r="AV31" i="11"/>
  <c r="AV27" i="11"/>
  <c r="AV26" i="11"/>
  <c r="AV32" i="11"/>
  <c r="AV16" i="11"/>
  <c r="AV2" i="11"/>
  <c r="AV13" i="11"/>
  <c r="AV9" i="11"/>
  <c r="AV17" i="11"/>
  <c r="AV24" i="11"/>
  <c r="AV19" i="11"/>
  <c r="AV8" i="11"/>
  <c r="AX2" i="11" l="1"/>
  <c r="AZ2" i="11" s="1"/>
  <c r="AX16" i="11"/>
  <c r="AZ16" i="11" s="1"/>
  <c r="AX23" i="11"/>
  <c r="AX35" i="11"/>
  <c r="AZ35" i="11" s="1"/>
  <c r="AX7" i="11"/>
  <c r="AZ7" i="11" s="1"/>
  <c r="AX34" i="11"/>
  <c r="AX8" i="11"/>
  <c r="AZ8" i="11" s="1"/>
  <c r="AX25" i="11"/>
  <c r="AZ25" i="11" s="1"/>
  <c r="AX33" i="11"/>
  <c r="AX21" i="11"/>
  <c r="AZ21" i="11" s="1"/>
  <c r="AX36" i="11"/>
  <c r="AX10" i="11"/>
  <c r="AX31" i="11"/>
  <c r="AZ31" i="11" s="1"/>
  <c r="AX29" i="11"/>
  <c r="AZ29" i="11" s="1"/>
  <c r="AX37" i="11"/>
  <c r="AZ37" i="11" s="1"/>
  <c r="AX19" i="11"/>
  <c r="AZ19" i="11" s="1"/>
  <c r="AX18" i="11"/>
  <c r="AX27" i="11"/>
  <c r="AZ27" i="11" s="1"/>
  <c r="AX4" i="11"/>
  <c r="AX9" i="11"/>
  <c r="AZ9" i="11" s="1"/>
  <c r="AX22" i="11"/>
  <c r="AX24" i="11"/>
  <c r="AZ24" i="11" s="1"/>
  <c r="AX17" i="11"/>
  <c r="AZ17" i="11" s="1"/>
  <c r="AX13" i="11"/>
  <c r="AZ13" i="11" s="1"/>
  <c r="AX14" i="11"/>
  <c r="AX12" i="11"/>
  <c r="AX15" i="11"/>
  <c r="AX3" i="11"/>
  <c r="AX32" i="11"/>
  <c r="AZ32" i="11" s="1"/>
  <c r="AX28" i="11"/>
  <c r="AZ28" i="11" s="1"/>
  <c r="AX5" i="11"/>
  <c r="AZ5" i="11" s="1"/>
  <c r="AX30" i="11"/>
  <c r="AX26" i="11"/>
  <c r="AZ26" i="11" s="1"/>
  <c r="AX20" i="11"/>
  <c r="AZ20" i="11" s="1"/>
  <c r="AX11" i="11"/>
  <c r="AZ11" i="11" s="1"/>
  <c r="AX6" i="11"/>
  <c r="AZ33" i="11" l="1"/>
  <c r="AZ23" i="11"/>
  <c r="AZ4" i="11"/>
  <c r="AZ18" i="11"/>
  <c r="AZ30" i="11"/>
  <c r="AZ15" i="11"/>
  <c r="AZ10" i="11"/>
  <c r="AZ3" i="11"/>
  <c r="AZ6" i="11"/>
  <c r="AZ12" i="11"/>
  <c r="AZ22" i="11"/>
  <c r="AZ36" i="11"/>
  <c r="AZ34" i="11"/>
  <c r="AZ14" i="11"/>
  <c r="BB11" i="11" l="1"/>
  <c r="BB10" i="11"/>
  <c r="BB14" i="11"/>
  <c r="BB34" i="11"/>
  <c r="BB22" i="11"/>
  <c r="BB30" i="11"/>
  <c r="BB19" i="11"/>
  <c r="BB15" i="11"/>
  <c r="BB18" i="11"/>
  <c r="BB36" i="11"/>
  <c r="BB12" i="11"/>
  <c r="BB23" i="11"/>
  <c r="BB3" i="11"/>
  <c r="BB9" i="11"/>
  <c r="BB5" i="11"/>
  <c r="BB28" i="11"/>
  <c r="BB29" i="11"/>
  <c r="BB26" i="11"/>
  <c r="BB20" i="11"/>
  <c r="BB27" i="11"/>
  <c r="BB37" i="11"/>
  <c r="BB35" i="11"/>
  <c r="BB21" i="11"/>
  <c r="BB25" i="11"/>
  <c r="BB16" i="11"/>
  <c r="BB31" i="11"/>
  <c r="BB8" i="11"/>
  <c r="BB17" i="11"/>
  <c r="BB2" i="11"/>
  <c r="BB32" i="11"/>
  <c r="BB4" i="11"/>
  <c r="BB33" i="11"/>
  <c r="BB6" i="11"/>
  <c r="BB24" i="11"/>
  <c r="BB7" i="11"/>
  <c r="BB13" i="11"/>
  <c r="BD3" i="11" l="1"/>
  <c r="BF3" i="11" s="1"/>
  <c r="BD33" i="11"/>
  <c r="BF33" i="11" s="1"/>
  <c r="BD7" i="11"/>
  <c r="BF7" i="11" s="1"/>
  <c r="BD30" i="11"/>
  <c r="BD37" i="11"/>
  <c r="BF37" i="11" s="1"/>
  <c r="BD18" i="11"/>
  <c r="BD31" i="11"/>
  <c r="BF31" i="11" s="1"/>
  <c r="BD27" i="11"/>
  <c r="BF27" i="11" s="1"/>
  <c r="BD19" i="11"/>
  <c r="BD4" i="11"/>
  <c r="BF4" i="11" s="1"/>
  <c r="BD34" i="11"/>
  <c r="BD16" i="11"/>
  <c r="BF16" i="11" s="1"/>
  <c r="BD20" i="11"/>
  <c r="BF20" i="11" s="1"/>
  <c r="BD15" i="11"/>
  <c r="BD32" i="11"/>
  <c r="BF32" i="11" s="1"/>
  <c r="BD24" i="11"/>
  <c r="BF24" i="11" s="1"/>
  <c r="BD26" i="11"/>
  <c r="BF26" i="11" s="1"/>
  <c r="BD2" i="11"/>
  <c r="BF2" i="11" s="1"/>
  <c r="BD6" i="11"/>
  <c r="BF6" i="11" s="1"/>
  <c r="BD14" i="11"/>
  <c r="BD22" i="11"/>
  <c r="BD29" i="11"/>
  <c r="BF29" i="11" s="1"/>
  <c r="BD17" i="11"/>
  <c r="BF17" i="11" s="1"/>
  <c r="BD25" i="11"/>
  <c r="BF25" i="11" s="1"/>
  <c r="BD28" i="11"/>
  <c r="BF28" i="11" s="1"/>
  <c r="BD23" i="11"/>
  <c r="BD36" i="11"/>
  <c r="BD8" i="11"/>
  <c r="BF8" i="11" s="1"/>
  <c r="BD21" i="11"/>
  <c r="BF21" i="11" s="1"/>
  <c r="BD5" i="11"/>
  <c r="BF5" i="11" s="1"/>
  <c r="BD13" i="11"/>
  <c r="BF13" i="11" s="1"/>
  <c r="BD11" i="11"/>
  <c r="BD35" i="11"/>
  <c r="BF35" i="11" s="1"/>
  <c r="BD9" i="11"/>
  <c r="BF9" i="11" s="1"/>
  <c r="BD12" i="11"/>
  <c r="BD10" i="11"/>
  <c r="BF12" i="11" l="1"/>
  <c r="BF15" i="11"/>
  <c r="BF19" i="11"/>
  <c r="BF30" i="11"/>
  <c r="BF10" i="11"/>
  <c r="BF11" i="11"/>
  <c r="BF36" i="11"/>
  <c r="BF23" i="11"/>
  <c r="BF22" i="11"/>
  <c r="BF14" i="11"/>
  <c r="BF34" i="11"/>
  <c r="BF18" i="11"/>
  <c r="BH23" i="11" l="1"/>
  <c r="BH36" i="11"/>
  <c r="BH37" i="11"/>
  <c r="BH4" i="11"/>
  <c r="BH17" i="11"/>
  <c r="BH32" i="11"/>
  <c r="BH14" i="11"/>
  <c r="BH5" i="11"/>
  <c r="BH21" i="11"/>
  <c r="BH9" i="11"/>
  <c r="BH10" i="11"/>
  <c r="BH30" i="11"/>
  <c r="BH16" i="11"/>
  <c r="BH19" i="11"/>
  <c r="BH29" i="11"/>
  <c r="BH15" i="11"/>
  <c r="BH18" i="11"/>
  <c r="BH34" i="11"/>
  <c r="BH33" i="11"/>
  <c r="BH24" i="11"/>
  <c r="BH12" i="11"/>
  <c r="BH8" i="11"/>
  <c r="BH11" i="11"/>
  <c r="BH3" i="11"/>
  <c r="BH22" i="11"/>
  <c r="BH27" i="11"/>
  <c r="BH26" i="11"/>
  <c r="BH35" i="11"/>
  <c r="BH7" i="11"/>
  <c r="BH20" i="11"/>
  <c r="BH31" i="11"/>
  <c r="BH2" i="11"/>
  <c r="BH28" i="11"/>
  <c r="BH13" i="11"/>
  <c r="BH25" i="11"/>
  <c r="BH6" i="11"/>
  <c r="BJ17" i="11" l="1"/>
  <c r="BL17" i="11" s="1"/>
  <c r="BJ25" i="11"/>
  <c r="BL25" i="11" s="1"/>
  <c r="BJ22" i="11"/>
  <c r="BL22" i="11" s="1"/>
  <c r="BJ10" i="11"/>
  <c r="BJ3" i="11"/>
  <c r="BL3" i="11" s="1"/>
  <c r="BJ8" i="11"/>
  <c r="BL8" i="11" s="1"/>
  <c r="BJ29" i="11"/>
  <c r="BJ20" i="11"/>
  <c r="BL20" i="11" s="1"/>
  <c r="BJ24" i="11"/>
  <c r="BJ28" i="11"/>
  <c r="BL28" i="11" s="1"/>
  <c r="BJ18" i="11"/>
  <c r="BJ36" i="11"/>
  <c r="BJ32" i="11"/>
  <c r="BJ35" i="11"/>
  <c r="BL35" i="11" s="1"/>
  <c r="BJ23" i="11"/>
  <c r="BJ15" i="11"/>
  <c r="BJ13" i="11"/>
  <c r="BL13" i="11" s="1"/>
  <c r="BJ33" i="11"/>
  <c r="BJ5" i="11"/>
  <c r="BJ14" i="11"/>
  <c r="BJ11" i="11"/>
  <c r="BL11" i="11" s="1"/>
  <c r="BJ37" i="11"/>
  <c r="BJ26" i="11"/>
  <c r="BL26" i="11" s="1"/>
  <c r="BJ2" i="11"/>
  <c r="BL2" i="11" s="1"/>
  <c r="BJ19" i="11"/>
  <c r="BJ31" i="11"/>
  <c r="BL31" i="11" s="1"/>
  <c r="BJ7" i="11"/>
  <c r="BL7" i="11" s="1"/>
  <c r="BJ21" i="11"/>
  <c r="BJ9" i="11"/>
  <c r="BJ30" i="11"/>
  <c r="BJ6" i="11"/>
  <c r="BL6" i="11" s="1"/>
  <c r="BJ16" i="11"/>
  <c r="BJ27" i="11"/>
  <c r="BL27" i="11" s="1"/>
  <c r="BJ4" i="11"/>
  <c r="BJ12" i="11"/>
  <c r="BJ34" i="11"/>
  <c r="BL37" i="11" l="1"/>
  <c r="BL23" i="11"/>
  <c r="BL24" i="11"/>
  <c r="BL10" i="11"/>
  <c r="BL19" i="11"/>
  <c r="BL14" i="11"/>
  <c r="BL30" i="11"/>
  <c r="BL5" i="11"/>
  <c r="BL32" i="11"/>
  <c r="BL29" i="11"/>
  <c r="BL16" i="11"/>
  <c r="BL36" i="11"/>
  <c r="BL15" i="11"/>
  <c r="BL34" i="11"/>
  <c r="BL9" i="11"/>
  <c r="BL33" i="11"/>
  <c r="BL4" i="11"/>
  <c r="BL21" i="11"/>
  <c r="BL18" i="11"/>
  <c r="BL12" i="11"/>
  <c r="BN7" i="11" l="1"/>
  <c r="BN30" i="11"/>
  <c r="BN15" i="11"/>
  <c r="BN18" i="11"/>
  <c r="BN21" i="11"/>
  <c r="BN14" i="11"/>
  <c r="BN32" i="11"/>
  <c r="BN35" i="11"/>
  <c r="BN16" i="11"/>
  <c r="BN19" i="11"/>
  <c r="BN10" i="11"/>
  <c r="BN12" i="11"/>
  <c r="BN9" i="11"/>
  <c r="BN29" i="11"/>
  <c r="BN23" i="11"/>
  <c r="BN25" i="11"/>
  <c r="BN27" i="11"/>
  <c r="BN8" i="11"/>
  <c r="BN34" i="11"/>
  <c r="BN5" i="11"/>
  <c r="BN37" i="11"/>
  <c r="BN28" i="11"/>
  <c r="BN3" i="11"/>
  <c r="BN33" i="11"/>
  <c r="BN13" i="11"/>
  <c r="BN26" i="11"/>
  <c r="BN11" i="11"/>
  <c r="BN6" i="11"/>
  <c r="BN22" i="11"/>
  <c r="BN4" i="11"/>
  <c r="BN20" i="11"/>
  <c r="BN17" i="11"/>
  <c r="BN24" i="11"/>
  <c r="BN31" i="11"/>
  <c r="BN36" i="11"/>
  <c r="BN2" i="11"/>
  <c r="BP19" i="11" l="1"/>
  <c r="BR19" i="11" s="1"/>
  <c r="BP35" i="11"/>
  <c r="BR35" i="11" s="1"/>
  <c r="BP36" i="11"/>
  <c r="BR36" i="11" s="1"/>
  <c r="BP27" i="11"/>
  <c r="BP34" i="11"/>
  <c r="BP13" i="11"/>
  <c r="BR13" i="11" s="1"/>
  <c r="BP37" i="11"/>
  <c r="BP16" i="11"/>
  <c r="BP6" i="11"/>
  <c r="BR6" i="11" s="1"/>
  <c r="BP33" i="11"/>
  <c r="BR33" i="11" s="1"/>
  <c r="BP9" i="11"/>
  <c r="BP20" i="11"/>
  <c r="BR20" i="11" s="1"/>
  <c r="BP25" i="11"/>
  <c r="BP3" i="11"/>
  <c r="BR3" i="11" s="1"/>
  <c r="BP29" i="11"/>
  <c r="BP14" i="11"/>
  <c r="BP28" i="11"/>
  <c r="BR28" i="11" s="1"/>
  <c r="BP5" i="11"/>
  <c r="BP17" i="11"/>
  <c r="BR17" i="11" s="1"/>
  <c r="BP11" i="11"/>
  <c r="BR11" i="11" s="1"/>
  <c r="BP30" i="11"/>
  <c r="BP4" i="11"/>
  <c r="BR4" i="11" s="1"/>
  <c r="BP26" i="11"/>
  <c r="BR26" i="11" s="1"/>
  <c r="BP8" i="11"/>
  <c r="BP23" i="11"/>
  <c r="BP10" i="11"/>
  <c r="BP31" i="11"/>
  <c r="BR31" i="11" s="1"/>
  <c r="BP22" i="11"/>
  <c r="BR22" i="11" s="1"/>
  <c r="BP18" i="11"/>
  <c r="BP24" i="11"/>
  <c r="BR24" i="11" s="1"/>
  <c r="BP21" i="11"/>
  <c r="BP32" i="11"/>
  <c r="BP2" i="11"/>
  <c r="BR2" i="11" s="1"/>
  <c r="BP7" i="11"/>
  <c r="BP12" i="11"/>
  <c r="BP15" i="11"/>
  <c r="BR30" i="11" l="1"/>
  <c r="BR14" i="11"/>
  <c r="BR34" i="11"/>
  <c r="BR29" i="11"/>
  <c r="BR27" i="11"/>
  <c r="BR32" i="11"/>
  <c r="BR21" i="11"/>
  <c r="BR10" i="11"/>
  <c r="BR23" i="11"/>
  <c r="BR15" i="11"/>
  <c r="BR18" i="11"/>
  <c r="BR25" i="11"/>
  <c r="BR16" i="11"/>
  <c r="BR8" i="11"/>
  <c r="BR12" i="11"/>
  <c r="BR7" i="11"/>
  <c r="BR5" i="11"/>
  <c r="BR37" i="11"/>
  <c r="BR9" i="11"/>
  <c r="BT31" i="11" l="1"/>
  <c r="BT10" i="11"/>
  <c r="BT4" i="11"/>
  <c r="BT20" i="11"/>
  <c r="BT18" i="11"/>
  <c r="BT37" i="11"/>
  <c r="BT5" i="11"/>
  <c r="BT25" i="11"/>
  <c r="BT34" i="11"/>
  <c r="BT14" i="11"/>
  <c r="BT16" i="11"/>
  <c r="BT7" i="11"/>
  <c r="BT9" i="11"/>
  <c r="BT30" i="11"/>
  <c r="BT13" i="11"/>
  <c r="BT2" i="11"/>
  <c r="BT26" i="11"/>
  <c r="BT24" i="11"/>
  <c r="BT11" i="11"/>
  <c r="BT36" i="11"/>
  <c r="BT6" i="11"/>
  <c r="BT32" i="11"/>
  <c r="BT28" i="11"/>
  <c r="BT3" i="11"/>
  <c r="BT12" i="11"/>
  <c r="BT27" i="11"/>
  <c r="BT17" i="11"/>
  <c r="BT22" i="11"/>
  <c r="BT23" i="11"/>
  <c r="BT8" i="11"/>
  <c r="BT33" i="11"/>
  <c r="BT15" i="11"/>
  <c r="BT29" i="11"/>
  <c r="BT19" i="11"/>
  <c r="BT21" i="11"/>
  <c r="BT35" i="11"/>
  <c r="BV14" i="11" l="1"/>
  <c r="BX14" i="11" s="1"/>
  <c r="BV3" i="11"/>
  <c r="BX3" i="11" s="1"/>
  <c r="BV36" i="11"/>
  <c r="BX36" i="11" s="1"/>
  <c r="BV18" i="11"/>
  <c r="BV17" i="11"/>
  <c r="BX17" i="11" s="1"/>
  <c r="BV28" i="11"/>
  <c r="BX28" i="11" s="1"/>
  <c r="BV11" i="11"/>
  <c r="BX11" i="11" s="1"/>
  <c r="BV30" i="11"/>
  <c r="BV22" i="11"/>
  <c r="BX22" i="11" s="1"/>
  <c r="BV15" i="11"/>
  <c r="BX15" i="11" s="1"/>
  <c r="BV24" i="11"/>
  <c r="BX24" i="11" s="1"/>
  <c r="BV16" i="11"/>
  <c r="BV33" i="11"/>
  <c r="BX33" i="11" s="1"/>
  <c r="BV20" i="11"/>
  <c r="BV7" i="11"/>
  <c r="BV26" i="11"/>
  <c r="BX26" i="11" s="1"/>
  <c r="BV8" i="11"/>
  <c r="BX8" i="11" s="1"/>
  <c r="BV32" i="11"/>
  <c r="BX32" i="11" s="1"/>
  <c r="BV2" i="11"/>
  <c r="BX2" i="11" s="1"/>
  <c r="BV34" i="11"/>
  <c r="BV29" i="11"/>
  <c r="BX29" i="11" s="1"/>
  <c r="BV12" i="11"/>
  <c r="BX12" i="11" s="1"/>
  <c r="BV13" i="11"/>
  <c r="BX13" i="11" s="1"/>
  <c r="BV10" i="11"/>
  <c r="BV19" i="11"/>
  <c r="BX19" i="11" s="1"/>
  <c r="BV23" i="11"/>
  <c r="BX23" i="11" s="1"/>
  <c r="BV35" i="11"/>
  <c r="BX35" i="11" s="1"/>
  <c r="BV4" i="11"/>
  <c r="BV5" i="11"/>
  <c r="BV25" i="11"/>
  <c r="BV31" i="11"/>
  <c r="BV9" i="11"/>
  <c r="BV27" i="11"/>
  <c r="BX27" i="11" s="1"/>
  <c r="BV6" i="11"/>
  <c r="BX6" i="11" s="1"/>
  <c r="BV21" i="11"/>
  <c r="BX21" i="11" s="1"/>
  <c r="BV37" i="11"/>
  <c r="BX20" i="11" l="1"/>
  <c r="BX18" i="11"/>
  <c r="BX30" i="11"/>
  <c r="BX9" i="11"/>
  <c r="BX16" i="11"/>
  <c r="BX31" i="11"/>
  <c r="BX25" i="11"/>
  <c r="BX34" i="11"/>
  <c r="BX4" i="11"/>
  <c r="BX37" i="11"/>
  <c r="BX5" i="11"/>
  <c r="BX10" i="11"/>
  <c r="BX7" i="11"/>
  <c r="BZ17" i="11" l="1"/>
  <c r="BZ25" i="11"/>
  <c r="BZ7" i="11"/>
  <c r="BZ10" i="11"/>
  <c r="BZ37" i="11"/>
  <c r="BZ4" i="11"/>
  <c r="BZ21" i="11"/>
  <c r="BZ34" i="11"/>
  <c r="BZ5" i="11"/>
  <c r="BZ16" i="11"/>
  <c r="BZ8" i="11"/>
  <c r="BZ23" i="11"/>
  <c r="BZ6" i="11"/>
  <c r="BZ30" i="11"/>
  <c r="BZ18" i="11"/>
  <c r="BZ20" i="11"/>
  <c r="BZ26" i="11"/>
  <c r="BZ13" i="11"/>
  <c r="BZ9" i="11"/>
  <c r="BZ11" i="11"/>
  <c r="BZ35" i="11"/>
  <c r="BZ32" i="11"/>
  <c r="BZ2" i="11"/>
  <c r="BZ31" i="11"/>
  <c r="BZ36" i="11"/>
  <c r="BZ19" i="11"/>
  <c r="BZ24" i="11"/>
  <c r="BZ15" i="11"/>
  <c r="BZ3" i="11"/>
  <c r="BZ33" i="11"/>
  <c r="BZ14" i="11"/>
  <c r="BZ12" i="11"/>
  <c r="BZ29" i="11"/>
  <c r="BZ28" i="11"/>
  <c r="BZ27" i="11"/>
  <c r="BZ22" i="11"/>
  <c r="CB4" i="11" l="1"/>
  <c r="CD4" i="11" s="1"/>
  <c r="CB12" i="11"/>
  <c r="CB8" i="11"/>
  <c r="CB33" i="11"/>
  <c r="CB2" i="11"/>
  <c r="CB24" i="11"/>
  <c r="CB32" i="11"/>
  <c r="CB21" i="11"/>
  <c r="CB16" i="11"/>
  <c r="CB29" i="11"/>
  <c r="CB19" i="11"/>
  <c r="CB35" i="11"/>
  <c r="CB20" i="11"/>
  <c r="CB11" i="11"/>
  <c r="CB13" i="11"/>
  <c r="CB6" i="11"/>
  <c r="CB3" i="11"/>
  <c r="CB26" i="11"/>
  <c r="CB18" i="11"/>
  <c r="CB5" i="11"/>
  <c r="CB27" i="11"/>
  <c r="CB15" i="11"/>
  <c r="CB37" i="11"/>
  <c r="CB25" i="11"/>
  <c r="CB22" i="11"/>
  <c r="CB28" i="11"/>
  <c r="CB23" i="11"/>
  <c r="CB36" i="11"/>
  <c r="CB7" i="11"/>
  <c r="CB34" i="11"/>
  <c r="CB14" i="11"/>
  <c r="CB17" i="11"/>
  <c r="CB31" i="11"/>
  <c r="CB9" i="11"/>
  <c r="CB10" i="11"/>
  <c r="CB30" i="11"/>
  <c r="CD25" i="11" l="1"/>
  <c r="CD6" i="11"/>
  <c r="CD35" i="11"/>
  <c r="CD29" i="11"/>
  <c r="CD30" i="11"/>
  <c r="CD23" i="11"/>
  <c r="CD37" i="11"/>
  <c r="CD18" i="11"/>
  <c r="CD16" i="11"/>
  <c r="CD20" i="11"/>
  <c r="CD15" i="11"/>
  <c r="CD13" i="11"/>
  <c r="CD21" i="11"/>
  <c r="CD12" i="11"/>
  <c r="CD27" i="11"/>
  <c r="CD14" i="11"/>
  <c r="CD26" i="11"/>
  <c r="CD2" i="11"/>
  <c r="CD17" i="11"/>
  <c r="CD9" i="11"/>
  <c r="CD34" i="11"/>
  <c r="CD28" i="11"/>
  <c r="CD3" i="11"/>
  <c r="CD10" i="11"/>
  <c r="CD7" i="11"/>
  <c r="CD32" i="11"/>
  <c r="CD33" i="11"/>
  <c r="CD22" i="11"/>
  <c r="CD5" i="11"/>
  <c r="CD31" i="11"/>
  <c r="CD19" i="11"/>
  <c r="CD36" i="11"/>
  <c r="CD11" i="11"/>
  <c r="CD24" i="11"/>
  <c r="CD8" i="11"/>
  <c r="CF31" i="11" l="1"/>
  <c r="CF24" i="11"/>
  <c r="CF5" i="11"/>
  <c r="CF8" i="11"/>
  <c r="CF7" i="11"/>
  <c r="CF10" i="11"/>
  <c r="CF18" i="11"/>
  <c r="CF19" i="11"/>
  <c r="CF28" i="11"/>
  <c r="CF12" i="11"/>
  <c r="CF23" i="11"/>
  <c r="CF34" i="11"/>
  <c r="CF21" i="11"/>
  <c r="CF30" i="11"/>
  <c r="CF9" i="11"/>
  <c r="CF13" i="11"/>
  <c r="CF33" i="11"/>
  <c r="CF17" i="11"/>
  <c r="CF15" i="11"/>
  <c r="CF32" i="11"/>
  <c r="CF4" i="11"/>
  <c r="CF6" i="11"/>
  <c r="CF26" i="11"/>
  <c r="CF16" i="11"/>
  <c r="CF25" i="11"/>
  <c r="CF22" i="11"/>
  <c r="CF29" i="11"/>
  <c r="CF36" i="11"/>
  <c r="CF2" i="11"/>
  <c r="CF27" i="11"/>
  <c r="CF11" i="11"/>
  <c r="CF14" i="11"/>
  <c r="CF35" i="11"/>
  <c r="CF20" i="11"/>
  <c r="CF37" i="11"/>
  <c r="CF3" i="11"/>
  <c r="AS5" i="10" l="1"/>
  <c r="AU5" i="10" s="1"/>
  <c r="AS8" i="10"/>
  <c r="AU8" i="10" s="1"/>
  <c r="AS16" i="10"/>
  <c r="AU16" i="10" s="1"/>
  <c r="AS24" i="10"/>
  <c r="AU24" i="10" s="1"/>
  <c r="AS32" i="10"/>
  <c r="AU32" i="10" s="1"/>
  <c r="AS2" i="10"/>
  <c r="AS11" i="10"/>
  <c r="AU11" i="10" s="1"/>
  <c r="AS19" i="10"/>
  <c r="AU19" i="10" s="1"/>
  <c r="AS3" i="10"/>
  <c r="AU3" i="10" s="1"/>
  <c r="AS14" i="10"/>
  <c r="AU14" i="10" s="1"/>
  <c r="AS25" i="10"/>
  <c r="AU25" i="10" s="1"/>
  <c r="AS34" i="10"/>
  <c r="AU34" i="10" s="1"/>
  <c r="AS4" i="10"/>
  <c r="AU4" i="10" s="1"/>
  <c r="AS15" i="10"/>
  <c r="AU15" i="10" s="1"/>
  <c r="AS26" i="10"/>
  <c r="AU26" i="10" s="1"/>
  <c r="AS35" i="10"/>
  <c r="AU35" i="10" s="1"/>
  <c r="AS6" i="10"/>
  <c r="AU6" i="10" s="1"/>
  <c r="AS17" i="10"/>
  <c r="AU17" i="10" s="1"/>
  <c r="AS27" i="10"/>
  <c r="AU27" i="10" s="1"/>
  <c r="AS36" i="10"/>
  <c r="AU36" i="10" s="1"/>
  <c r="AS7" i="10"/>
  <c r="AU7" i="10" s="1"/>
  <c r="AS18" i="10"/>
  <c r="AU18" i="10" s="1"/>
  <c r="AS28" i="10"/>
  <c r="AU28" i="10" s="1"/>
  <c r="AS37" i="10"/>
  <c r="AU37" i="10" s="1"/>
  <c r="AS9" i="10"/>
  <c r="AU9" i="10" s="1"/>
  <c r="AS20" i="10"/>
  <c r="AU20" i="10" s="1"/>
  <c r="AS29" i="10"/>
  <c r="AU29" i="10" s="1"/>
  <c r="AS10" i="10"/>
  <c r="AU10" i="10" s="1"/>
  <c r="AS21" i="10"/>
  <c r="AU21" i="10" s="1"/>
  <c r="AS30" i="10"/>
  <c r="AU30" i="10" s="1"/>
  <c r="AS12" i="10"/>
  <c r="AU12" i="10" s="1"/>
  <c r="AS22" i="10"/>
  <c r="AU22" i="10" s="1"/>
  <c r="AS31" i="10"/>
  <c r="AU31" i="10" s="1"/>
  <c r="AS13" i="10"/>
  <c r="AU13" i="10" s="1"/>
  <c r="AS23" i="10"/>
  <c r="AU23" i="10" s="1"/>
  <c r="AS33" i="10"/>
  <c r="AU33" i="10" s="1"/>
  <c r="AU2" i="10" l="1"/>
  <c r="AV15" i="10" s="1"/>
  <c r="AW15" i="10" s="1"/>
  <c r="CH4" i="11"/>
  <c r="CH37" i="11"/>
  <c r="CH12" i="11"/>
  <c r="CH14" i="11"/>
  <c r="CH6" i="11"/>
  <c r="CH29" i="11"/>
  <c r="CH20" i="11"/>
  <c r="CH13" i="11"/>
  <c r="CH7" i="11"/>
  <c r="CH19" i="11"/>
  <c r="CH16" i="11"/>
  <c r="CH25" i="11"/>
  <c r="CH23" i="11"/>
  <c r="CH9" i="11"/>
  <c r="CH8" i="11"/>
  <c r="CH36" i="11"/>
  <c r="CH35" i="11"/>
  <c r="CH2" i="11"/>
  <c r="CH28" i="11"/>
  <c r="CH10" i="11"/>
  <c r="CH18" i="11"/>
  <c r="CH21" i="11"/>
  <c r="CH27" i="11"/>
  <c r="CH17" i="11"/>
  <c r="CH30" i="11"/>
  <c r="CH15" i="11"/>
  <c r="CH26" i="11"/>
  <c r="CH34" i="11"/>
  <c r="CH32" i="11"/>
  <c r="CH31" i="11"/>
  <c r="CH24" i="11"/>
  <c r="CH33" i="11"/>
  <c r="CH11" i="11"/>
  <c r="CH3" i="11"/>
  <c r="CH22" i="11"/>
  <c r="CH5" i="11"/>
  <c r="AV21" i="10"/>
  <c r="AW21" i="10" s="1"/>
  <c r="AV7" i="10"/>
  <c r="AW7" i="10" s="1"/>
  <c r="AV32" i="10"/>
  <c r="AW32" i="10" s="1"/>
  <c r="AV10" i="10"/>
  <c r="AW10" i="10" s="1"/>
  <c r="AV34" i="10"/>
  <c r="AW34" i="10" s="1"/>
  <c r="AV24" i="10"/>
  <c r="AW24" i="10" s="1"/>
  <c r="AV23" i="10"/>
  <c r="AW23" i="10" s="1"/>
  <c r="AV27" i="10"/>
  <c r="AW27" i="10" s="1"/>
  <c r="AV16" i="10"/>
  <c r="AW16" i="10" s="1"/>
  <c r="AV33" i="10"/>
  <c r="AW33" i="10" s="1"/>
  <c r="AV13" i="10"/>
  <c r="AW13" i="10" s="1"/>
  <c r="AV17" i="10"/>
  <c r="AW17" i="10" s="1"/>
  <c r="AV14" i="10"/>
  <c r="AW14" i="10" s="1"/>
  <c r="AV8" i="10"/>
  <c r="AW8" i="10" s="1"/>
  <c r="AV31" i="10"/>
  <c r="AW31" i="10" s="1"/>
  <c r="AV9" i="10"/>
  <c r="AW9" i="10" s="1"/>
  <c r="AV6" i="10"/>
  <c r="AW6" i="10" s="1"/>
  <c r="AV3" i="10"/>
  <c r="AW3" i="10" s="1"/>
  <c r="AV5" i="10" l="1"/>
  <c r="AW5" i="10" s="1"/>
  <c r="AV20" i="10"/>
  <c r="AW20" i="10" s="1"/>
  <c r="AV36" i="10"/>
  <c r="AW36" i="10" s="1"/>
  <c r="AV29" i="10"/>
  <c r="AW29" i="10" s="1"/>
  <c r="AV25" i="10"/>
  <c r="AW25" i="10" s="1"/>
  <c r="AV4" i="10"/>
  <c r="AW4" i="10" s="1"/>
  <c r="CI31" i="11"/>
  <c r="CI11" i="11"/>
  <c r="CI30" i="11"/>
  <c r="CI35" i="11"/>
  <c r="CI7" i="11"/>
  <c r="CI4" i="11"/>
  <c r="CI33" i="11"/>
  <c r="CI17" i="11"/>
  <c r="CI36" i="11"/>
  <c r="CI13" i="11"/>
  <c r="AV2" i="10"/>
  <c r="AX2" i="10" s="1" a="1"/>
  <c r="AX2" i="10" s="1"/>
  <c r="AV12" i="10"/>
  <c r="AW12" i="10" s="1"/>
  <c r="AV28" i="10"/>
  <c r="AW28" i="10" s="1"/>
  <c r="CI24" i="11"/>
  <c r="CI27" i="11"/>
  <c r="CI8" i="11"/>
  <c r="CI20" i="11"/>
  <c r="CI21" i="11"/>
  <c r="CI9" i="11"/>
  <c r="CI29" i="11"/>
  <c r="AV37" i="10"/>
  <c r="AW37" i="10" s="1"/>
  <c r="AV19" i="10"/>
  <c r="AW19" i="10" s="1"/>
  <c r="CI32" i="11"/>
  <c r="CI18" i="11"/>
  <c r="CI23" i="11"/>
  <c r="CI6" i="11"/>
  <c r="AV11" i="10"/>
  <c r="AW11" i="10" s="1"/>
  <c r="CI5" i="11"/>
  <c r="CI34" i="11"/>
  <c r="CI10" i="11"/>
  <c r="CI25" i="11"/>
  <c r="CI14" i="11"/>
  <c r="AV18" i="10"/>
  <c r="AW18" i="10" s="1"/>
  <c r="AV35" i="10"/>
  <c r="AW35" i="10" s="1"/>
  <c r="CI22" i="11"/>
  <c r="CI26" i="11"/>
  <c r="CI28" i="11"/>
  <c r="CI16" i="11"/>
  <c r="CI12" i="11"/>
  <c r="AV30" i="10"/>
  <c r="AW30" i="10" s="1"/>
  <c r="CI3" i="11"/>
  <c r="CI15" i="11"/>
  <c r="CI2" i="11"/>
  <c r="CI19" i="11"/>
  <c r="CI37" i="11"/>
  <c r="AV26" i="10"/>
  <c r="AW26" i="10" s="1"/>
  <c r="AV22" i="10"/>
  <c r="AW22" i="10" s="1"/>
  <c r="CJ12" i="11" l="1"/>
  <c r="CJ2" i="11"/>
  <c r="CJ25" i="11"/>
  <c r="CJ16" i="11"/>
  <c r="CJ19" i="11"/>
  <c r="CJ37" i="11"/>
  <c r="AW2" i="10"/>
  <c r="CJ10" i="11"/>
  <c r="CJ27" i="11"/>
  <c r="CJ36" i="11"/>
  <c r="CJ28" i="11"/>
  <c r="CJ34" i="11"/>
  <c r="CJ24" i="11"/>
  <c r="CJ17" i="11"/>
  <c r="CJ26" i="11"/>
  <c r="CJ5" i="11"/>
  <c r="CJ29" i="11"/>
  <c r="CJ33" i="11"/>
  <c r="CJ22" i="11"/>
  <c r="CJ9" i="11"/>
  <c r="CJ4" i="11"/>
  <c r="CJ15" i="11"/>
  <c r="CJ6" i="11"/>
  <c r="CJ21" i="11"/>
  <c r="CJ7" i="11"/>
  <c r="CJ3" i="11"/>
  <c r="CJ23" i="11"/>
  <c r="CJ31" i="11"/>
  <c r="CJ35" i="11"/>
  <c r="CJ14" i="11"/>
  <c r="CJ18" i="11"/>
  <c r="CJ20" i="11"/>
  <c r="AV1" i="10"/>
  <c r="CJ30" i="11"/>
  <c r="CJ32" i="11"/>
  <c r="CJ8" i="11"/>
  <c r="CJ13" i="11"/>
  <c r="CJ11" i="11"/>
  <c r="R18" i="10" l="1"/>
  <c r="Q19" i="10"/>
  <c r="P20" i="10"/>
  <c r="X20" i="10"/>
  <c r="W21" i="10"/>
  <c r="V22" i="10"/>
  <c r="U23" i="10"/>
  <c r="T24" i="10"/>
  <c r="S25" i="10"/>
  <c r="R26" i="10"/>
  <c r="Q27" i="10"/>
  <c r="P28" i="10"/>
  <c r="X28" i="10"/>
  <c r="W29" i="10"/>
  <c r="V30" i="10"/>
  <c r="U31" i="10"/>
  <c r="T32" i="10"/>
  <c r="S33" i="10"/>
  <c r="R34" i="10"/>
  <c r="Q35" i="10"/>
  <c r="P36" i="10"/>
  <c r="X36" i="10"/>
  <c r="W37" i="10"/>
  <c r="T37" i="10"/>
  <c r="U37" i="10"/>
  <c r="T23" i="10"/>
  <c r="W28" i="10"/>
  <c r="X35" i="10"/>
  <c r="S18" i="10"/>
  <c r="R19" i="10"/>
  <c r="Q20" i="10"/>
  <c r="P21" i="10"/>
  <c r="X21" i="10"/>
  <c r="W22" i="10"/>
  <c r="V23" i="10"/>
  <c r="U24" i="10"/>
  <c r="T25" i="10"/>
  <c r="S26" i="10"/>
  <c r="R27" i="10"/>
  <c r="Q28" i="10"/>
  <c r="P29" i="10"/>
  <c r="X29" i="10"/>
  <c r="W30" i="10"/>
  <c r="V31" i="10"/>
  <c r="U32" i="10"/>
  <c r="T33" i="10"/>
  <c r="S34" i="10"/>
  <c r="R35" i="10"/>
  <c r="Q36" i="10"/>
  <c r="P37" i="10"/>
  <c r="X37" i="10"/>
  <c r="Q33" i="10"/>
  <c r="X19" i="10"/>
  <c r="P27" i="10"/>
  <c r="R33" i="10"/>
  <c r="T18" i="10"/>
  <c r="S19" i="10"/>
  <c r="R20" i="10"/>
  <c r="Q21" i="10"/>
  <c r="P22" i="10"/>
  <c r="X22" i="10"/>
  <c r="W23" i="10"/>
  <c r="V24" i="10"/>
  <c r="U25" i="10"/>
  <c r="T26" i="10"/>
  <c r="S27" i="10"/>
  <c r="R28" i="10"/>
  <c r="Q29" i="10"/>
  <c r="P30" i="10"/>
  <c r="X30" i="10"/>
  <c r="W31" i="10"/>
  <c r="V32" i="10"/>
  <c r="U33" i="10"/>
  <c r="T34" i="10"/>
  <c r="S35" i="10"/>
  <c r="R36" i="10"/>
  <c r="Q37" i="10"/>
  <c r="X33" i="10"/>
  <c r="P34" i="10"/>
  <c r="W20" i="10"/>
  <c r="Q26" i="10"/>
  <c r="S32" i="10"/>
  <c r="U18" i="10"/>
  <c r="T19" i="10"/>
  <c r="S20" i="10"/>
  <c r="R21" i="10"/>
  <c r="Q22" i="10"/>
  <c r="P23" i="10"/>
  <c r="X23" i="10"/>
  <c r="W24" i="10"/>
  <c r="V25" i="10"/>
  <c r="U26" i="10"/>
  <c r="T27" i="10"/>
  <c r="S28" i="10"/>
  <c r="R29" i="10"/>
  <c r="Q30" i="10"/>
  <c r="P31" i="10"/>
  <c r="X31" i="10"/>
  <c r="W32" i="10"/>
  <c r="V33" i="10"/>
  <c r="U34" i="10"/>
  <c r="T35" i="10"/>
  <c r="S36" i="10"/>
  <c r="R37" i="10"/>
  <c r="W34" i="10"/>
  <c r="V36" i="10"/>
  <c r="U22" i="10"/>
  <c r="V29" i="10"/>
  <c r="W36" i="10"/>
  <c r="V18" i="10"/>
  <c r="U19" i="10"/>
  <c r="T20" i="10"/>
  <c r="S21" i="10"/>
  <c r="R22" i="10"/>
  <c r="Q23" i="10"/>
  <c r="P24" i="10"/>
  <c r="X24" i="10"/>
  <c r="W25" i="10"/>
  <c r="V26" i="10"/>
  <c r="U27" i="10"/>
  <c r="T28" i="10"/>
  <c r="S29" i="10"/>
  <c r="R30" i="10"/>
  <c r="Q31" i="10"/>
  <c r="P32" i="10"/>
  <c r="X32" i="10"/>
  <c r="W33" i="10"/>
  <c r="V34" i="10"/>
  <c r="U35" i="10"/>
  <c r="T36" i="10"/>
  <c r="S37" i="10"/>
  <c r="R31" i="10"/>
  <c r="P33" i="10"/>
  <c r="V35" i="10"/>
  <c r="X34" i="10"/>
  <c r="Q18" i="10"/>
  <c r="S24" i="10"/>
  <c r="U30" i="10"/>
  <c r="P35" i="10"/>
  <c r="W18" i="10"/>
  <c r="V19" i="10"/>
  <c r="U20" i="10"/>
  <c r="T21" i="10"/>
  <c r="S22" i="10"/>
  <c r="R23" i="10"/>
  <c r="Q24" i="10"/>
  <c r="P25" i="10"/>
  <c r="X25" i="10"/>
  <c r="W26" i="10"/>
  <c r="V27" i="10"/>
  <c r="U28" i="10"/>
  <c r="T29" i="10"/>
  <c r="S30" i="10"/>
  <c r="Q32" i="10"/>
  <c r="U36" i="10"/>
  <c r="P19" i="10"/>
  <c r="R25" i="10"/>
  <c r="T31" i="10"/>
  <c r="V37" i="10"/>
  <c r="P18" i="10"/>
  <c r="X18" i="10"/>
  <c r="W19" i="10"/>
  <c r="V20" i="10"/>
  <c r="U21" i="10"/>
  <c r="T22" i="10"/>
  <c r="S23" i="10"/>
  <c r="R24" i="10"/>
  <c r="Q25" i="10"/>
  <c r="P26" i="10"/>
  <c r="X26" i="10"/>
  <c r="W27" i="10"/>
  <c r="V28" i="10"/>
  <c r="U29" i="10"/>
  <c r="T30" i="10"/>
  <c r="S31" i="10"/>
  <c r="R32" i="10"/>
  <c r="W35" i="10"/>
  <c r="V21" i="10"/>
  <c r="X27" i="10"/>
  <c r="Q34" i="10"/>
  <c r="T2" i="10"/>
  <c r="AH2" i="10"/>
  <c r="Y2" i="10"/>
  <c r="R2" i="10"/>
  <c r="W2" i="10"/>
  <c r="AP2" i="10"/>
  <c r="AE2" i="10"/>
  <c r="X2" i="10"/>
  <c r="S2" i="10"/>
  <c r="AJ2" i="10"/>
  <c r="AM2" i="10"/>
  <c r="AC2" i="10"/>
  <c r="AN2" i="10"/>
  <c r="AI2" i="10"/>
  <c r="AB2" i="10"/>
  <c r="AQ2" i="10"/>
  <c r="U2" i="10"/>
  <c r="AA2" i="10"/>
  <c r="Q2" i="10"/>
  <c r="AD2" i="10"/>
  <c r="AF2" i="10"/>
  <c r="P2" i="10"/>
  <c r="B8" i="27" s="1"/>
  <c r="AO2" i="10"/>
  <c r="AG2" i="10"/>
  <c r="Z2" i="10"/>
  <c r="AK2" i="10"/>
  <c r="AL2" i="10"/>
  <c r="V2" i="10"/>
  <c r="Y28" i="10"/>
  <c r="AA29" i="10"/>
  <c r="AA5" i="10"/>
  <c r="AA20" i="10"/>
  <c r="AA16" i="10"/>
  <c r="AI26" i="10"/>
  <c r="AI10" i="10"/>
  <c r="AI32" i="10"/>
  <c r="AI27" i="10"/>
  <c r="AA8" i="10"/>
  <c r="AE12" i="10"/>
  <c r="AJ29" i="10"/>
  <c r="AG22" i="10"/>
  <c r="AP19" i="10"/>
  <c r="Y29" i="10"/>
  <c r="AK32" i="10"/>
  <c r="AK18" i="10"/>
  <c r="AD3" i="10"/>
  <c r="AN35" i="10"/>
  <c r="AJ18" i="10"/>
  <c r="AN7" i="10"/>
  <c r="Z22" i="10"/>
  <c r="Y8" i="10"/>
  <c r="AG37" i="10"/>
  <c r="AP5" i="10"/>
  <c r="Z32" i="10"/>
  <c r="AK6" i="10"/>
  <c r="AP34" i="10"/>
  <c r="AE5" i="10"/>
  <c r="AN27" i="10"/>
  <c r="AC32" i="10"/>
  <c r="R5" i="10"/>
  <c r="AG34" i="10"/>
  <c r="AK26" i="10"/>
  <c r="AK7" i="10"/>
  <c r="AG35" i="10"/>
  <c r="AL13" i="10"/>
  <c r="AP27" i="10"/>
  <c r="P4" i="10"/>
  <c r="B10" i="27" s="1"/>
  <c r="AM6" i="10"/>
  <c r="AF5" i="10"/>
  <c r="AQ33" i="10"/>
  <c r="W17" i="10"/>
  <c r="W12" i="10"/>
  <c r="S16" i="10"/>
  <c r="AL30" i="10"/>
  <c r="X10" i="10"/>
  <c r="AL16" i="10"/>
  <c r="Z8" i="10"/>
  <c r="AP35" i="10"/>
  <c r="Y18" i="10"/>
  <c r="R7" i="10"/>
  <c r="AG15" i="10"/>
  <c r="R14" i="10"/>
  <c r="AG12" i="10"/>
  <c r="W4" i="10"/>
  <c r="AO37" i="10"/>
  <c r="AC17" i="10"/>
  <c r="AF35" i="10"/>
  <c r="W7" i="10"/>
  <c r="AD34" i="10"/>
  <c r="AB32" i="10"/>
  <c r="Q5" i="10"/>
  <c r="Y37" i="10"/>
  <c r="AE20" i="10"/>
  <c r="AJ5" i="10"/>
  <c r="AL15" i="10"/>
  <c r="AO5" i="10"/>
  <c r="AO14" i="10"/>
  <c r="AC10" i="10"/>
  <c r="AP10" i="10"/>
  <c r="AB29" i="10"/>
  <c r="AJ30" i="10"/>
  <c r="AQ28" i="10"/>
  <c r="Z16" i="10"/>
  <c r="AO28" i="10"/>
  <c r="Q12" i="10"/>
  <c r="U14" i="10"/>
  <c r="AG5" i="10"/>
  <c r="X17" i="10"/>
  <c r="AE30" i="10"/>
  <c r="AB15" i="10"/>
  <c r="Z33" i="10"/>
  <c r="AE4" i="10"/>
  <c r="AF8" i="10"/>
  <c r="AG25" i="10"/>
  <c r="AC12" i="10"/>
  <c r="AO36" i="10"/>
  <c r="AM21" i="10"/>
  <c r="T3" i="10"/>
  <c r="AL10" i="10"/>
  <c r="AF34" i="10"/>
  <c r="AB4" i="10"/>
  <c r="Z30" i="10"/>
  <c r="U11" i="10"/>
  <c r="W13" i="10"/>
  <c r="AK30" i="10"/>
  <c r="AL24" i="10"/>
  <c r="AB25" i="10"/>
  <c r="AF28" i="10"/>
  <c r="AB26" i="10"/>
  <c r="AM7" i="10"/>
  <c r="X7" i="10"/>
  <c r="AM20" i="10"/>
  <c r="AA22" i="10"/>
  <c r="AA6" i="10"/>
  <c r="AA28" i="10"/>
  <c r="AA33" i="10"/>
  <c r="AA11" i="10"/>
  <c r="AI11" i="10"/>
  <c r="AI30" i="10"/>
  <c r="AI28" i="10"/>
  <c r="AI6" i="10"/>
  <c r="AM36" i="10"/>
  <c r="AF16" i="10"/>
  <c r="AP6" i="10"/>
  <c r="AP30" i="10"/>
  <c r="AL22" i="10"/>
  <c r="R12" i="10"/>
  <c r="Z34" i="10"/>
  <c r="AN23" i="10"/>
  <c r="AM22" i="10"/>
  <c r="AN28" i="10"/>
  <c r="Z9" i="10"/>
  <c r="AK21" i="10"/>
  <c r="V12" i="10"/>
  <c r="AE34" i="10"/>
  <c r="P17" i="10"/>
  <c r="B23" i="27" s="1"/>
  <c r="AL18" i="10"/>
  <c r="AN17" i="10"/>
  <c r="AM14" i="10"/>
  <c r="AJ34" i="10"/>
  <c r="R10" i="10"/>
  <c r="AK19" i="10"/>
  <c r="Y33" i="10"/>
  <c r="AP24" i="10"/>
  <c r="AQ32" i="10"/>
  <c r="Y27" i="10"/>
  <c r="O33" i="10" a="1"/>
  <c r="O33" i="10" s="1"/>
  <c r="AG14" i="10"/>
  <c r="AK9" i="10"/>
  <c r="AL17" i="10"/>
  <c r="AB28" i="10"/>
  <c r="AC28" i="10"/>
  <c r="AO29" i="10"/>
  <c r="AM37" i="10"/>
  <c r="X5" i="10"/>
  <c r="AO19" i="10"/>
  <c r="AB16" i="10"/>
  <c r="AB35" i="10"/>
  <c r="W5" i="10"/>
  <c r="AO20" i="10"/>
  <c r="Y3" i="10"/>
  <c r="R13" i="10"/>
  <c r="T4" i="10"/>
  <c r="Y7" i="10"/>
  <c r="O35" i="10" a="1"/>
  <c r="O35" i="10" s="1"/>
  <c r="AD16" i="10"/>
  <c r="AE22" i="10"/>
  <c r="AE31" i="10"/>
  <c r="Q4" i="10"/>
  <c r="AP37" i="10"/>
  <c r="AH35" i="10"/>
  <c r="AF15" i="10"/>
  <c r="AG19" i="10"/>
  <c r="AK11" i="10"/>
  <c r="AQ27" i="10"/>
  <c r="AB12" i="10"/>
  <c r="U3" i="10"/>
  <c r="AM13" i="10"/>
  <c r="AN31" i="10"/>
  <c r="AL33" i="10"/>
  <c r="T10" i="10"/>
  <c r="AM30" i="10"/>
  <c r="AF29" i="10"/>
  <c r="AG13" i="10"/>
  <c r="Z5" i="10"/>
  <c r="AP21" i="10"/>
  <c r="Q6" i="10"/>
  <c r="Z23" i="10"/>
  <c r="AB11" i="10"/>
  <c r="AQ3" i="10"/>
  <c r="Y17" i="10"/>
  <c r="AM34" i="10"/>
  <c r="AN13" i="10"/>
  <c r="AE6" i="10"/>
  <c r="AJ9" i="10"/>
  <c r="B31" i="27"/>
  <c r="AQ19" i="10"/>
  <c r="V4" i="10"/>
  <c r="Y14" i="10"/>
  <c r="Z21" i="10"/>
  <c r="AO25" i="10"/>
  <c r="AQ13" i="10"/>
  <c r="O30" i="10" a="1"/>
  <c r="O30" i="10" s="1"/>
  <c r="AM17" i="10"/>
  <c r="AF30" i="10"/>
  <c r="AD33" i="10"/>
  <c r="AH4" i="10"/>
  <c r="Z7" i="10"/>
  <c r="AO16" i="10"/>
  <c r="AG23" i="10"/>
  <c r="AF26" i="10"/>
  <c r="AO10" i="10"/>
  <c r="AC24" i="10"/>
  <c r="AF23" i="10"/>
  <c r="AD27" i="10"/>
  <c r="AJ13" i="10"/>
  <c r="AL35" i="10"/>
  <c r="AG32" i="10"/>
  <c r="AI7" i="10"/>
  <c r="AI23" i="10"/>
  <c r="AA12" i="10"/>
  <c r="AA13" i="10"/>
  <c r="AA19" i="10"/>
  <c r="AA23" i="10"/>
  <c r="AI15" i="10"/>
  <c r="AI20" i="10"/>
  <c r="AI21" i="10"/>
  <c r="AO35" i="10"/>
  <c r="Z17" i="10"/>
  <c r="R3" i="10"/>
  <c r="AN16" i="10"/>
  <c r="AD30" i="10"/>
  <c r="Z29" i="10"/>
  <c r="AG28" i="10"/>
  <c r="AL32" i="10"/>
  <c r="AC31" i="10"/>
  <c r="AM29" i="10"/>
  <c r="T12" i="10"/>
  <c r="AL12" i="10"/>
  <c r="AH7" i="10"/>
  <c r="S5" i="10"/>
  <c r="AB17" i="10"/>
  <c r="AO23" i="10"/>
  <c r="AQ31" i="10"/>
  <c r="Y13" i="10"/>
  <c r="T15" i="10"/>
  <c r="AJ28" i="10"/>
  <c r="B26" i="27"/>
  <c r="AQ9" i="10"/>
  <c r="P16" i="10"/>
  <c r="B22" i="27" s="1"/>
  <c r="AL29" i="10"/>
  <c r="AJ25" i="10"/>
  <c r="AP16" i="10"/>
  <c r="AP15" i="10"/>
  <c r="V6" i="10"/>
  <c r="AJ11" i="10"/>
  <c r="AE16" i="10"/>
  <c r="Z12" i="10"/>
  <c r="AH12" i="10"/>
  <c r="AN25" i="10"/>
  <c r="AN21" i="10"/>
  <c r="AG10" i="10"/>
  <c r="AB21" i="10"/>
  <c r="AN4" i="10"/>
  <c r="AD15" i="10"/>
  <c r="AN36" i="10"/>
  <c r="AM16" i="10"/>
  <c r="AK13" i="10"/>
  <c r="AQ12" i="10"/>
  <c r="AJ16" i="10"/>
  <c r="P14" i="10"/>
  <c r="B20" i="27" s="1"/>
  <c r="Z4" i="10"/>
  <c r="U6" i="10"/>
  <c r="AC9" i="10"/>
  <c r="AN8" i="10"/>
  <c r="AM15" i="10"/>
  <c r="AD24" i="10"/>
  <c r="AJ17" i="10"/>
  <c r="Y36" i="10"/>
  <c r="AD35" i="10"/>
  <c r="AL31" i="10"/>
  <c r="AN18" i="10"/>
  <c r="AE19" i="10"/>
  <c r="AP25" i="10"/>
  <c r="S6" i="10"/>
  <c r="AB14" i="10"/>
  <c r="AJ12" i="10"/>
  <c r="AD19" i="10"/>
  <c r="AH33" i="10"/>
  <c r="T6" i="10"/>
  <c r="Y24" i="10"/>
  <c r="AE36" i="10"/>
  <c r="AJ15" i="10"/>
  <c r="X16" i="10"/>
  <c r="X15" i="10"/>
  <c r="AC37" i="10"/>
  <c r="AF22" i="10"/>
  <c r="AL6" i="10"/>
  <c r="V8" i="10"/>
  <c r="AP31" i="10"/>
  <c r="AC16" i="10"/>
  <c r="AD23" i="10"/>
  <c r="AK8" i="10"/>
  <c r="AL14" i="10"/>
  <c r="AN32" i="10"/>
  <c r="AL27" i="10"/>
  <c r="AB19" i="10"/>
  <c r="Y4" i="10"/>
  <c r="AG30" i="10"/>
  <c r="AK27" i="10"/>
  <c r="Y12" i="10"/>
  <c r="Z6" i="10"/>
  <c r="R15" i="10"/>
  <c r="AD12" i="10"/>
  <c r="AE3" i="10"/>
  <c r="AG4" i="10"/>
  <c r="AI33" i="10"/>
  <c r="AI14" i="10"/>
  <c r="AI25" i="10"/>
  <c r="AA14" i="10"/>
  <c r="AA30" i="10"/>
  <c r="AA15" i="10"/>
  <c r="AA7" i="10"/>
  <c r="AI31" i="10"/>
  <c r="AI24" i="10"/>
  <c r="S11" i="10"/>
  <c r="AB10" i="10"/>
  <c r="AP22" i="10"/>
  <c r="AF24" i="10"/>
  <c r="AP32" i="10"/>
  <c r="AC3" i="10"/>
  <c r="AO31" i="10"/>
  <c r="AK31" i="10"/>
  <c r="AO34" i="10"/>
  <c r="AQ18" i="10"/>
  <c r="AJ32" i="10"/>
  <c r="AD18" i="10"/>
  <c r="AL25" i="10"/>
  <c r="AQ34" i="10"/>
  <c r="AK3" i="10"/>
  <c r="AF11" i="10"/>
  <c r="X11" i="10"/>
  <c r="AE17" i="10"/>
  <c r="AB18" i="10"/>
  <c r="AQ24" i="10"/>
  <c r="AB5" i="10"/>
  <c r="AH24" i="10"/>
  <c r="Q7" i="10"/>
  <c r="U7" i="10"/>
  <c r="AP29" i="10"/>
  <c r="X8" i="10"/>
  <c r="AM19" i="10"/>
  <c r="AC19" i="10"/>
  <c r="AO24" i="10"/>
  <c r="AC13" i="10"/>
  <c r="AP3" i="10"/>
  <c r="AB22" i="10"/>
  <c r="AJ33" i="10"/>
  <c r="AD11" i="10"/>
  <c r="AB7" i="10"/>
  <c r="AN14" i="10"/>
  <c r="W8" i="10"/>
  <c r="AK12" i="10"/>
  <c r="AD37" i="10"/>
  <c r="AJ21" i="10"/>
  <c r="AP8" i="10"/>
  <c r="AJ4" i="10"/>
  <c r="AJ23" i="10"/>
  <c r="AL21" i="10"/>
  <c r="Q9" i="10"/>
  <c r="S12" i="10"/>
  <c r="AH16" i="10"/>
  <c r="AQ5" i="10"/>
  <c r="AH30" i="10"/>
  <c r="Z24" i="10"/>
  <c r="AG29" i="10"/>
  <c r="AK23" i="10"/>
  <c r="AG3" i="10"/>
  <c r="AC27" i="10"/>
  <c r="AK14" i="10"/>
  <c r="AE35" i="10"/>
  <c r="X3" i="10"/>
  <c r="AE18" i="10"/>
  <c r="AN30" i="10"/>
  <c r="AL4" i="10"/>
  <c r="AM18" i="10"/>
  <c r="AJ14" i="10"/>
  <c r="AQ20" i="10"/>
  <c r="AC6" i="10"/>
  <c r="T9" i="10"/>
  <c r="AJ24" i="10"/>
  <c r="AD21" i="10"/>
  <c r="AF14" i="10"/>
  <c r="AM24" i="10"/>
  <c r="O32" i="10" a="1"/>
  <c r="O32" i="10" s="1"/>
  <c r="AE25" i="10"/>
  <c r="U16" i="10"/>
  <c r="Y32" i="10"/>
  <c r="AC14" i="10"/>
  <c r="AQ30" i="10"/>
  <c r="AB30" i="10"/>
  <c r="AF31" i="10"/>
  <c r="AH13" i="10"/>
  <c r="U5" i="10"/>
  <c r="AL9" i="10"/>
  <c r="AK22" i="10"/>
  <c r="AM32" i="10"/>
  <c r="V5" i="10"/>
  <c r="T5" i="10"/>
  <c r="AB27" i="10"/>
  <c r="AE23" i="10"/>
  <c r="AK25" i="10"/>
  <c r="AM33" i="10"/>
  <c r="AK35" i="10"/>
  <c r="P10" i="10"/>
  <c r="B16" i="27" s="1"/>
  <c r="W11" i="10"/>
  <c r="AK28" i="10"/>
  <c r="AM12" i="10"/>
  <c r="AG11" i="10"/>
  <c r="Z37" i="10"/>
  <c r="AB33" i="10"/>
  <c r="AF33" i="10"/>
  <c r="AM3" i="10"/>
  <c r="AK34" i="10"/>
  <c r="AQ8" i="10"/>
  <c r="Z3" i="10"/>
  <c r="AM4" i="10"/>
  <c r="AI5" i="10"/>
  <c r="AI29" i="10"/>
  <c r="AI16" i="10"/>
  <c r="AA35" i="10"/>
  <c r="AA34" i="10"/>
  <c r="AA36" i="10"/>
  <c r="AA25" i="10"/>
  <c r="AI18" i="10"/>
  <c r="AD29" i="10"/>
  <c r="AD22" i="10"/>
  <c r="AB9" i="10"/>
  <c r="AP17" i="10"/>
  <c r="AE14" i="10"/>
  <c r="AB34" i="10"/>
  <c r="V11" i="10"/>
  <c r="Y30" i="10"/>
  <c r="AQ36" i="10"/>
  <c r="AF19" i="10"/>
  <c r="AE13" i="10"/>
  <c r="AG26" i="10"/>
  <c r="AQ11" i="10"/>
  <c r="AH32" i="10"/>
  <c r="AP9" i="10"/>
  <c r="AH36" i="10"/>
  <c r="AN3" i="10"/>
  <c r="AG16" i="10"/>
  <c r="AK33" i="10"/>
  <c r="AO32" i="10"/>
  <c r="Y5" i="10"/>
  <c r="AH22" i="10"/>
  <c r="AN24" i="10"/>
  <c r="R16" i="10"/>
  <c r="P13" i="10"/>
  <c r="B19" i="27" s="1"/>
  <c r="Q14" i="10"/>
  <c r="AQ7" i="10"/>
  <c r="AH21" i="10"/>
  <c r="S8" i="10"/>
  <c r="AD14" i="10"/>
  <c r="AN11" i="10"/>
  <c r="AL8" i="10"/>
  <c r="AC36" i="10"/>
  <c r="AK5" i="10"/>
  <c r="AE11" i="10"/>
  <c r="O29" i="10" a="1"/>
  <c r="O29" i="10" s="1"/>
  <c r="AM28" i="10"/>
  <c r="AN5" i="10"/>
  <c r="AL36" i="10"/>
  <c r="V16" i="10"/>
  <c r="AQ4" i="10"/>
  <c r="AL28" i="10"/>
  <c r="AF9" i="10"/>
  <c r="P9" i="10"/>
  <c r="B15" i="27" s="1"/>
  <c r="Z10" i="10"/>
  <c r="S7" i="10"/>
  <c r="AC30" i="10"/>
  <c r="AD25" i="10"/>
  <c r="AN29" i="10"/>
  <c r="AD5" i="10"/>
  <c r="AF12" i="10"/>
  <c r="P8" i="10"/>
  <c r="B14" i="27" s="1"/>
  <c r="W14" i="10"/>
  <c r="AF6" i="10"/>
  <c r="Y9" i="10"/>
  <c r="AK37" i="10"/>
  <c r="Y31" i="10"/>
  <c r="Z36" i="10"/>
  <c r="AK4" i="10"/>
  <c r="AN37" i="10"/>
  <c r="B24" i="27"/>
  <c r="AC26" i="10"/>
  <c r="AO21" i="10"/>
  <c r="AB31" i="10"/>
  <c r="AJ6" i="10"/>
  <c r="AL23" i="10"/>
  <c r="R8" i="10"/>
  <c r="AD8" i="10"/>
  <c r="V17" i="10"/>
  <c r="AK20" i="10"/>
  <c r="AD31" i="10"/>
  <c r="AO11" i="10"/>
  <c r="AH9" i="10"/>
  <c r="AH11" i="10"/>
  <c r="AL20" i="10"/>
  <c r="AJ37" i="10"/>
  <c r="Y16" i="10"/>
  <c r="R17" i="10"/>
  <c r="AO27" i="10"/>
  <c r="W10" i="10"/>
  <c r="AF18" i="10"/>
  <c r="Y21" i="10"/>
  <c r="Y22" i="10"/>
  <c r="AF13" i="10"/>
  <c r="B29" i="27"/>
  <c r="AC33" i="10"/>
  <c r="AF36" i="10"/>
  <c r="V3" i="10"/>
  <c r="AF7" i="10"/>
  <c r="AD32" i="10"/>
  <c r="AF21" i="10"/>
  <c r="P12" i="10"/>
  <c r="B18" i="27" s="1"/>
  <c r="AH28" i="10"/>
  <c r="T11" i="10"/>
  <c r="AG20" i="10"/>
  <c r="AK16" i="10"/>
  <c r="AD20" i="10"/>
  <c r="AF25" i="10"/>
  <c r="V15" i="10"/>
  <c r="X4" i="10"/>
  <c r="AA9" i="10"/>
  <c r="AI22" i="10"/>
  <c r="AI12" i="10"/>
  <c r="AI19" i="10"/>
  <c r="AI34" i="10"/>
  <c r="AI35" i="10"/>
  <c r="AA32" i="10"/>
  <c r="AA27" i="10"/>
  <c r="U10" i="10"/>
  <c r="AO26" i="10"/>
  <c r="AP36" i="10"/>
  <c r="AQ29" i="10"/>
  <c r="AL37" i="10"/>
  <c r="Z25" i="10"/>
  <c r="AO7" i="10"/>
  <c r="AE8" i="10"/>
  <c r="AN10" i="10"/>
  <c r="AN26" i="10"/>
  <c r="P5" i="10"/>
  <c r="B11" i="27" s="1"/>
  <c r="AE26" i="10"/>
  <c r="AD6" i="10"/>
  <c r="AQ6" i="10"/>
  <c r="AM23" i="10"/>
  <c r="Z28" i="10"/>
  <c r="Y15" i="10"/>
  <c r="S3" i="10"/>
  <c r="V14" i="10"/>
  <c r="Z35" i="10"/>
  <c r="AQ21" i="10"/>
  <c r="T7" i="10"/>
  <c r="AG17" i="10"/>
  <c r="T14" i="10"/>
  <c r="AM35" i="10"/>
  <c r="AP4" i="10"/>
  <c r="AB36" i="10"/>
  <c r="O36" i="10" a="1"/>
  <c r="O36" i="10" s="1"/>
  <c r="AM9" i="10"/>
  <c r="AL3" i="10"/>
  <c r="AK17" i="10"/>
  <c r="B27" i="27"/>
  <c r="Q16" i="10"/>
  <c r="AB8" i="10"/>
  <c r="AO15" i="10"/>
  <c r="Z27" i="10"/>
  <c r="AQ15" i="10"/>
  <c r="AH3" i="10"/>
  <c r="AE21" i="10"/>
  <c r="AE32" i="10"/>
  <c r="AJ20" i="10"/>
  <c r="AL19" i="10"/>
  <c r="Z13" i="10"/>
  <c r="S17" i="10"/>
  <c r="AK15" i="10"/>
  <c r="P15" i="10"/>
  <c r="B21" i="27" s="1"/>
  <c r="P3" i="10"/>
  <c r="B9" i="27" s="1"/>
  <c r="AB20" i="10"/>
  <c r="AD4" i="10"/>
  <c r="Q15" i="10"/>
  <c r="AQ26" i="10"/>
  <c r="Z26" i="10"/>
  <c r="AL26" i="10"/>
  <c r="Y11" i="10"/>
  <c r="AM10" i="10"/>
  <c r="B30" i="27"/>
  <c r="AE7" i="10"/>
  <c r="R11" i="10"/>
  <c r="P7" i="10"/>
  <c r="B13" i="27" s="1"/>
  <c r="S10" i="10"/>
  <c r="W15" i="10"/>
  <c r="AP14" i="10"/>
  <c r="W3" i="10"/>
  <c r="U12" i="10"/>
  <c r="AM25" i="10"/>
  <c r="AN12" i="10"/>
  <c r="AE27" i="10"/>
  <c r="V13" i="10"/>
  <c r="AF32" i="10"/>
  <c r="AG31" i="10"/>
  <c r="AJ7" i="10"/>
  <c r="Y34" i="10"/>
  <c r="AQ16" i="10"/>
  <c r="Z19" i="10"/>
  <c r="AQ10" i="10"/>
  <c r="AF37" i="10"/>
  <c r="AE37" i="10"/>
  <c r="AP28" i="10"/>
  <c r="AC35" i="10"/>
  <c r="AC11" i="10"/>
  <c r="T17" i="10"/>
  <c r="Y26" i="10"/>
  <c r="AQ22" i="10"/>
  <c r="W9" i="10"/>
  <c r="AA3" i="10"/>
  <c r="AA26" i="10"/>
  <c r="AI9" i="10"/>
  <c r="AI4" i="10"/>
  <c r="AI37" i="10"/>
  <c r="AI13" i="10"/>
  <c r="AA4" i="10"/>
  <c r="AA17" i="10"/>
  <c r="AA18" i="10"/>
  <c r="AJ27" i="10"/>
  <c r="S9" i="10"/>
  <c r="AB13" i="10"/>
  <c r="U13" i="10"/>
  <c r="B25" i="27"/>
  <c r="AO30" i="10"/>
  <c r="P11" i="10"/>
  <c r="B17" i="27" s="1"/>
  <c r="B28" i="27"/>
  <c r="Q17" i="10"/>
  <c r="AQ37" i="10"/>
  <c r="AP18" i="10"/>
  <c r="O27" i="10" a="1"/>
  <c r="O27" i="10" s="1"/>
  <c r="AE28" i="10"/>
  <c r="Q8" i="10"/>
  <c r="AF3" i="10"/>
  <c r="S15" i="10"/>
  <c r="AE15" i="10"/>
  <c r="S14" i="10"/>
  <c r="W16" i="10"/>
  <c r="AJ3" i="10"/>
  <c r="AN20" i="10"/>
  <c r="AL11" i="10"/>
  <c r="AN9" i="10"/>
  <c r="AE9" i="10"/>
  <c r="AC22" i="10"/>
  <c r="AO6" i="10"/>
  <c r="AJ26" i="10"/>
  <c r="AF10" i="10"/>
  <c r="Y20" i="10"/>
  <c r="AC8" i="10"/>
  <c r="S4" i="10"/>
  <c r="Y6" i="10"/>
  <c r="AN6" i="10"/>
  <c r="AM31" i="10"/>
  <c r="X12" i="10"/>
  <c r="AD28" i="10"/>
  <c r="AC7" i="10"/>
  <c r="U15" i="10"/>
  <c r="AL34" i="10"/>
  <c r="V10" i="10"/>
  <c r="AP26" i="10"/>
  <c r="U9" i="10"/>
  <c r="AH34" i="10"/>
  <c r="AJ36" i="10"/>
  <c r="AD10" i="10"/>
  <c r="Y19" i="10"/>
  <c r="AO18" i="10"/>
  <c r="AH17" i="10"/>
  <c r="AQ35" i="10"/>
  <c r="AG8" i="10"/>
  <c r="AB37" i="10"/>
  <c r="AP33" i="10"/>
  <c r="Z11" i="10"/>
  <c r="Q3" i="10"/>
  <c r="AP7" i="10"/>
  <c r="AH5" i="10"/>
  <c r="AN33" i="10"/>
  <c r="Y23" i="10"/>
  <c r="AJ8" i="10"/>
  <c r="AG24" i="10"/>
  <c r="AN34" i="10"/>
  <c r="AB6" i="10"/>
  <c r="AO4" i="10"/>
  <c r="AG36" i="10"/>
  <c r="AB24" i="10"/>
  <c r="AC23" i="10"/>
  <c r="AH29" i="10"/>
  <c r="O34" i="10" a="1"/>
  <c r="O34" i="10" s="1"/>
  <c r="AE24" i="10"/>
  <c r="X6" i="10"/>
  <c r="AD17" i="10"/>
  <c r="AK36" i="10"/>
  <c r="U4" i="10"/>
  <c r="O28" i="10" a="1"/>
  <c r="O28" i="10" s="1"/>
  <c r="AD9" i="10"/>
  <c r="AO9" i="10"/>
  <c r="Q11" i="10"/>
  <c r="O37" i="10" a="1"/>
  <c r="O37" i="10" s="1"/>
  <c r="AE29" i="10"/>
  <c r="Z20" i="10"/>
  <c r="AP11" i="10"/>
  <c r="AH25" i="10"/>
  <c r="AO12" i="10"/>
  <c r="AG7" i="10"/>
  <c r="AG33" i="10"/>
  <c r="AC25" i="10"/>
  <c r="AB23" i="10"/>
  <c r="AH10" i="10"/>
  <c r="AA24" i="10"/>
  <c r="AA10" i="10"/>
  <c r="AA31" i="10"/>
  <c r="AI3" i="10"/>
  <c r="AI36" i="10"/>
  <c r="AI17" i="10"/>
  <c r="AI8" i="10"/>
  <c r="AA21" i="10"/>
  <c r="AA37" i="10"/>
  <c r="O31" i="10" a="1"/>
  <c r="O31" i="10" s="1"/>
  <c r="AC21" i="10"/>
  <c r="AO17" i="10"/>
  <c r="Z15" i="10"/>
  <c r="AP13" i="10"/>
  <c r="AC34" i="10"/>
  <c r="U17" i="10"/>
  <c r="AN15" i="10"/>
  <c r="AO33" i="10"/>
  <c r="AC15" i="10"/>
  <c r="AF27" i="10"/>
  <c r="AJ19" i="10"/>
  <c r="AG18" i="10"/>
  <c r="AC20" i="10"/>
  <c r="AH15" i="10"/>
  <c r="AO13" i="10"/>
  <c r="AQ14" i="10"/>
  <c r="AD7" i="10"/>
  <c r="AJ10" i="10"/>
  <c r="AO8" i="10"/>
  <c r="X14" i="10"/>
  <c r="Y35" i="10"/>
  <c r="V9" i="10"/>
  <c r="S13" i="10"/>
  <c r="AH27" i="10"/>
  <c r="AG6" i="10"/>
  <c r="AD36" i="10"/>
  <c r="P6" i="10"/>
  <c r="B12" i="27" s="1"/>
  <c r="AH23" i="10"/>
  <c r="AC4" i="10"/>
  <c r="AE33" i="10"/>
  <c r="AJ22" i="10"/>
  <c r="AD26" i="10"/>
  <c r="R9" i="10"/>
  <c r="AH37" i="10"/>
  <c r="AQ25" i="10"/>
  <c r="V7" i="10"/>
  <c r="AK10" i="10"/>
  <c r="AM8" i="10"/>
  <c r="AC29" i="10"/>
  <c r="AF20" i="10"/>
  <c r="AH19" i="10"/>
  <c r="AM5" i="10"/>
  <c r="O26" i="10" a="1"/>
  <c r="O26" i="10" s="1"/>
  <c r="AE10" i="10"/>
  <c r="AK29" i="10"/>
  <c r="AM27" i="10"/>
  <c r="AG9" i="10"/>
  <c r="AK24" i="10"/>
  <c r="AM26" i="10"/>
  <c r="AC5" i="10"/>
  <c r="AH31" i="10"/>
  <c r="T16" i="10"/>
  <c r="AH18" i="10"/>
  <c r="AO22" i="10"/>
  <c r="AH8" i="10"/>
  <c r="T13" i="10"/>
  <c r="AH20" i="10"/>
  <c r="AG21" i="10"/>
  <c r="AJ35" i="10"/>
  <c r="AP12" i="10"/>
  <c r="Q10" i="10"/>
  <c r="AQ17" i="10"/>
  <c r="AF4" i="10"/>
  <c r="AL7" i="10"/>
  <c r="AC18" i="10"/>
  <c r="AN22" i="10"/>
  <c r="Z14" i="10"/>
  <c r="U8" i="10"/>
  <c r="AM11" i="10"/>
  <c r="AG27" i="10"/>
  <c r="AL5" i="10"/>
  <c r="R4" i="10"/>
  <c r="AH14" i="10"/>
  <c r="AN19" i="10"/>
  <c r="Y10" i="10"/>
  <c r="X9" i="10"/>
  <c r="AP20" i="10"/>
  <c r="Z18" i="10"/>
  <c r="AP23" i="10"/>
  <c r="Q13" i="10"/>
  <c r="T8" i="10"/>
  <c r="AH26" i="10"/>
  <c r="R6" i="10"/>
  <c r="Y25" i="10"/>
  <c r="AB3" i="10"/>
  <c r="AQ23" i="10"/>
  <c r="AH6" i="10"/>
  <c r="AD13" i="10"/>
  <c r="X13" i="10"/>
  <c r="AO3" i="10"/>
  <c r="W6" i="10"/>
  <c r="AF17" i="10"/>
  <c r="Z31" i="10"/>
  <c r="AJ31" i="10"/>
  <c r="O7" i="10" l="1" a="1"/>
  <c r="O7" i="10" s="1"/>
  <c r="O3" i="10" a="1"/>
  <c r="O3" i="10" s="1"/>
  <c r="O23" i="10" a="1"/>
  <c r="O23" i="10" s="1"/>
  <c r="O10" i="10" a="1"/>
  <c r="O10" i="10" s="1"/>
  <c r="O12" i="10" a="1"/>
  <c r="O12" i="10" s="1"/>
  <c r="O19" i="10" a="1"/>
  <c r="O19" i="10" s="1"/>
  <c r="O15" i="10" a="1"/>
  <c r="O15" i="10" s="1"/>
  <c r="O20" i="10" a="1"/>
  <c r="O20" i="10" s="1"/>
  <c r="O2" i="10" a="1"/>
  <c r="O2" i="10" s="1"/>
  <c r="O24" i="10" a="1"/>
  <c r="O24" i="10" s="1"/>
  <c r="O5" i="10" a="1"/>
  <c r="O5" i="10" s="1"/>
  <c r="O14" i="10" a="1"/>
  <c r="O14" i="10" s="1"/>
  <c r="O21" i="10" a="1"/>
  <c r="O21" i="10" s="1"/>
  <c r="O18" i="10" a="1"/>
  <c r="O18" i="10" s="1"/>
  <c r="O13" i="10" a="1"/>
  <c r="O13" i="10" s="1"/>
  <c r="O6" i="10" a="1"/>
  <c r="O6" i="10" s="1"/>
  <c r="O22" i="10" a="1"/>
  <c r="O22" i="10" s="1"/>
  <c r="O8" i="10" a="1"/>
  <c r="O8" i="10" s="1"/>
  <c r="O16" i="10" a="1"/>
  <c r="O16" i="10" s="1"/>
  <c r="O4" i="10" a="1"/>
  <c r="O4" i="10" s="1"/>
  <c r="O11" i="10" a="1"/>
  <c r="O11" i="10" s="1"/>
  <c r="O17" i="10" a="1"/>
  <c r="O17" i="10" s="1"/>
  <c r="O9" i="10" a="1"/>
  <c r="O9" i="10" s="1"/>
  <c r="O25" i="10" a="1"/>
  <c r="O25" i="10" s="1"/>
  <c r="C196" i="28"/>
  <c r="C158" i="28"/>
  <c r="C154" i="28"/>
  <c r="C192" i="28"/>
  <c r="C198" i="28"/>
  <c r="C160" i="28"/>
  <c r="C216" i="28"/>
  <c r="C176" i="28"/>
  <c r="C178" i="28"/>
  <c r="C187" i="28"/>
  <c r="C214" i="28"/>
  <c r="C174" i="28"/>
  <c r="C161" i="28"/>
  <c r="C201" i="28"/>
  <c r="C170" i="28"/>
  <c r="C210" i="28"/>
  <c r="C206" i="28"/>
  <c r="C166" i="28"/>
  <c r="C203" i="28"/>
  <c r="C163" i="28"/>
  <c r="C180" i="28"/>
  <c r="C184" i="28"/>
  <c r="C185" i="28"/>
  <c r="C215" i="28"/>
  <c r="C175" i="28"/>
  <c r="C156" i="28"/>
  <c r="C194" i="28"/>
  <c r="C211" i="28"/>
  <c r="C171" i="28"/>
  <c r="C153" i="28"/>
  <c r="C191" i="28"/>
  <c r="C177" i="28"/>
  <c r="C188" i="28"/>
  <c r="C179" i="28"/>
  <c r="C172" i="28"/>
  <c r="C212" i="28"/>
  <c r="C165" i="28"/>
  <c r="C205" i="28"/>
  <c r="C195" i="28"/>
  <c r="C157" i="28"/>
  <c r="C213" i="28"/>
  <c r="C173" i="28"/>
  <c r="C209" i="28"/>
  <c r="C169" i="28"/>
  <c r="C204" i="28"/>
  <c r="C164" i="28"/>
  <c r="C181" i="28"/>
  <c r="C186" i="28"/>
  <c r="C182" i="28"/>
  <c r="C162" i="28"/>
  <c r="C202" i="28"/>
  <c r="C197" i="28"/>
  <c r="C159" i="28"/>
  <c r="C183" i="28"/>
  <c r="C167" i="28"/>
  <c r="C207" i="28"/>
  <c r="C193" i="28"/>
  <c r="C155" i="28"/>
  <c r="C208" i="28"/>
  <c r="C168"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3001FF-86BA-4311-BDAF-3F7BC287C4E0}" keepAlive="1" name="Consulta - Hoja 1" description="Conexión a la consulta 'Hoja 1' en el libro." type="5" refreshedVersion="8" background="1" saveData="1">
    <dbPr connection="Provider=Microsoft.Mashup.OleDb.1;Data Source=$Workbook$;Location=&quot;Hoja 1&quot;;Extended Properties=&quot;&quot;" command="SELECT * FROM [Hoja 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futureMetadata>
  <cellMetadata count="1">
    <bk>
      <rc t="1" v="0"/>
    </bk>
  </cellMetadata>
  <valueMetadata count="7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valueMetadata>
</metadata>
</file>

<file path=xl/sharedStrings.xml><?xml version="1.0" encoding="utf-8"?>
<sst xmlns="http://schemas.openxmlformats.org/spreadsheetml/2006/main" count="2180" uniqueCount="1106">
  <si>
    <t>NombreEquipo</t>
  </si>
  <si>
    <t>A</t>
  </si>
  <si>
    <t>Real Madrid</t>
  </si>
  <si>
    <t>Equipo</t>
  </si>
  <si>
    <t>J</t>
  </si>
  <si>
    <t>G</t>
  </si>
  <si>
    <t>E</t>
  </si>
  <si>
    <t>P</t>
  </si>
  <si>
    <t>GF</t>
  </si>
  <si>
    <t>GC</t>
  </si>
  <si>
    <t>Inicio</t>
  </si>
  <si>
    <t>Pos</t>
  </si>
  <si>
    <t>Rellenar los cuadros grises</t>
  </si>
  <si>
    <t>Clasificación</t>
  </si>
  <si>
    <t>Limitación de responsabilidad:</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</si>
  <si>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</si>
  <si>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Autor:</t>
  </si>
  <si>
    <t>Miguel Angel Tejero</t>
  </si>
  <si>
    <t>Puntos</t>
  </si>
  <si>
    <t>Diferencia
de goles
general</t>
  </si>
  <si>
    <t>Goles
a favor
general</t>
  </si>
  <si>
    <t>Orden
alfabético</t>
  </si>
  <si>
    <t>PosiciónF1</t>
  </si>
  <si>
    <t>PosiciónF2</t>
  </si>
  <si>
    <t>Pts</t>
  </si>
  <si>
    <t>DG</t>
  </si>
  <si>
    <t>PosicionF3</t>
  </si>
  <si>
    <t>CRITERIO/FILA()</t>
  </si>
  <si>
    <t>Alemania</t>
  </si>
  <si>
    <t>Escocia</t>
  </si>
  <si>
    <t>Hungría</t>
  </si>
  <si>
    <t>Suiza</t>
  </si>
  <si>
    <t>España</t>
  </si>
  <si>
    <t>Croacia</t>
  </si>
  <si>
    <t>Italia</t>
  </si>
  <si>
    <t>Albania</t>
  </si>
  <si>
    <t>Eslovenia</t>
  </si>
  <si>
    <t>Dinamarca</t>
  </si>
  <si>
    <t>Serbia</t>
  </si>
  <si>
    <t>Inglaterra</t>
  </si>
  <si>
    <t>Islas Feroe</t>
  </si>
  <si>
    <t>Países Bajos</t>
  </si>
  <si>
    <t>Austria</t>
  </si>
  <si>
    <t>Francia</t>
  </si>
  <si>
    <t>Fecha</t>
  </si>
  <si>
    <t>Hora</t>
  </si>
  <si>
    <t>OCTAVOS DE FINAL</t>
  </si>
  <si>
    <t>O3</t>
  </si>
  <si>
    <t>CUARTOS DE FINAL</t>
  </si>
  <si>
    <t>C1</t>
  </si>
  <si>
    <t>C3</t>
  </si>
  <si>
    <t>C4</t>
  </si>
  <si>
    <t>SEMIFINALES</t>
  </si>
  <si>
    <t>FINAL</t>
  </si>
  <si>
    <t>F</t>
  </si>
  <si>
    <t>Campeón</t>
  </si>
  <si>
    <t>C</t>
  </si>
  <si>
    <t>País</t>
  </si>
  <si>
    <t>UTC</t>
  </si>
  <si>
    <t>en horas</t>
  </si>
  <si>
    <t>Organizador:</t>
  </si>
  <si>
    <t>Num</t>
  </si>
  <si>
    <t>UTC (Verano)</t>
  </si>
  <si>
    <t>UTC en horas</t>
  </si>
  <si>
    <t>Organizador</t>
  </si>
  <si>
    <t>Dif  en horas</t>
  </si>
  <si>
    <t>+/-</t>
  </si>
  <si>
    <t>Invierno</t>
  </si>
  <si>
    <t>Paises</t>
  </si>
  <si>
    <t>https://www.zeitverschiebung.net/es/country/vn</t>
  </si>
  <si>
    <t>GD</t>
  </si>
  <si>
    <t>UTC -12</t>
  </si>
  <si>
    <t>UTC -11</t>
  </si>
  <si>
    <t>UTC -10</t>
  </si>
  <si>
    <t>UTC -9</t>
  </si>
  <si>
    <t>UTC -8</t>
  </si>
  <si>
    <t>UTC -7</t>
  </si>
  <si>
    <t>UTC -6</t>
  </si>
  <si>
    <t>UTC -5</t>
  </si>
  <si>
    <t>UTC -4</t>
  </si>
  <si>
    <t>UTC -3:30</t>
  </si>
  <si>
    <t>UTC -3</t>
  </si>
  <si>
    <t>UTC -2</t>
  </si>
  <si>
    <t>UTC -1</t>
  </si>
  <si>
    <t>UTC +1</t>
  </si>
  <si>
    <t>UTC +2</t>
  </si>
  <si>
    <t>UTC +3</t>
  </si>
  <si>
    <t>UTC +3:30</t>
  </si>
  <si>
    <t>UTC +4</t>
  </si>
  <si>
    <t>UTC +4:30</t>
  </si>
  <si>
    <t>UTC +5</t>
  </si>
  <si>
    <t>UTC +5:30</t>
  </si>
  <si>
    <t>UTC +5:45</t>
  </si>
  <si>
    <t>UTC +6</t>
  </si>
  <si>
    <t>UTC +6:30</t>
  </si>
  <si>
    <t>UTC +7</t>
  </si>
  <si>
    <t>UTC +8</t>
  </si>
  <si>
    <t>UTC +9</t>
  </si>
  <si>
    <t>UTC +9:30</t>
  </si>
  <si>
    <t>UTC +10</t>
  </si>
  <si>
    <t>UTC +10:30</t>
  </si>
  <si>
    <t>UTC +11</t>
  </si>
  <si>
    <t>UTC +12</t>
  </si>
  <si>
    <t>UTC +12:45</t>
  </si>
  <si>
    <t>UTC +13</t>
  </si>
  <si>
    <t>UTC +14</t>
  </si>
  <si>
    <t>Español</t>
  </si>
  <si>
    <t>English</t>
  </si>
  <si>
    <t>HOJA</t>
  </si>
  <si>
    <t>Celda</t>
  </si>
  <si>
    <t>Inglés</t>
  </si>
  <si>
    <t>G4</t>
  </si>
  <si>
    <t>L5</t>
  </si>
  <si>
    <t>F12</t>
  </si>
  <si>
    <t>B7</t>
  </si>
  <si>
    <t>L7</t>
  </si>
  <si>
    <t>Versiones para más participantes</t>
  </si>
  <si>
    <t>Versions for more participants</t>
  </si>
  <si>
    <t>CAMBIAR ENLACE AL ARCHIVO DEL 2024</t>
  </si>
  <si>
    <t>Esta versión para un máximo de 500 participantes</t>
  </si>
  <si>
    <t>This version is for maximum 500 participants</t>
  </si>
  <si>
    <t>EUROCOPA</t>
  </si>
  <si>
    <t>E1</t>
  </si>
  <si>
    <t>I1</t>
  </si>
  <si>
    <t>Fill in the grey cells</t>
  </si>
  <si>
    <t>F3</t>
  </si>
  <si>
    <t>Date</t>
  </si>
  <si>
    <t>G3</t>
  </si>
  <si>
    <t>Hour</t>
  </si>
  <si>
    <t>H3</t>
  </si>
  <si>
    <t>Jor.</t>
  </si>
  <si>
    <t>R</t>
  </si>
  <si>
    <t>I3</t>
  </si>
  <si>
    <t>K3</t>
  </si>
  <si>
    <t>N3</t>
  </si>
  <si>
    <t>Q3</t>
  </si>
  <si>
    <t>AB3</t>
  </si>
  <si>
    <t>¡EMPATE! Puedes seleccionar el orden de los empatados.</t>
  </si>
  <si>
    <t>IT'S A DRAW! Choose the order of the Nations to determine their rankings.</t>
  </si>
  <si>
    <t>P52</t>
  </si>
  <si>
    <t>¡EMPATE! Puedes seleccionar el orden de los empatados entre los terceros.</t>
  </si>
  <si>
    <t>E53</t>
  </si>
  <si>
    <t>E63</t>
  </si>
  <si>
    <t>Octavos de final</t>
  </si>
  <si>
    <t>Round of 16</t>
  </si>
  <si>
    <t>E74</t>
  </si>
  <si>
    <t>Cuartos de final</t>
  </si>
  <si>
    <t>Quarterfinals</t>
  </si>
  <si>
    <t>E80</t>
  </si>
  <si>
    <t>Semifinales</t>
  </si>
  <si>
    <t>Semifinals</t>
  </si>
  <si>
    <t>E84</t>
  </si>
  <si>
    <t>Final</t>
  </si>
  <si>
    <t>I88</t>
  </si>
  <si>
    <t>CUADRO DE HONOR</t>
  </si>
  <si>
    <t>HONOR BOX</t>
  </si>
  <si>
    <t>E89</t>
  </si>
  <si>
    <t>Winner</t>
  </si>
  <si>
    <t>E90</t>
  </si>
  <si>
    <t>Subcampeón</t>
  </si>
  <si>
    <t>Runner-up</t>
  </si>
  <si>
    <t>E93</t>
  </si>
  <si>
    <t>Goleador del torneo</t>
  </si>
  <si>
    <t>Top Scorer</t>
  </si>
  <si>
    <t>E94</t>
  </si>
  <si>
    <t>Mejor jugador del torneo</t>
  </si>
  <si>
    <t>Best Tournament player</t>
  </si>
  <si>
    <t>Propia Admin, diferente a la del jugador</t>
  </si>
  <si>
    <t>I93</t>
  </si>
  <si>
    <t>Escribe el nombre máximo goleador</t>
  </si>
  <si>
    <t>Write the top scorer name.</t>
  </si>
  <si>
    <t>I94</t>
  </si>
  <si>
    <t>Escribe el nombre del mejor jugador</t>
  </si>
  <si>
    <t>Write the best player name</t>
  </si>
  <si>
    <t>E97</t>
  </si>
  <si>
    <t>I97</t>
  </si>
  <si>
    <t>ADMINISTRADOR</t>
  </si>
  <si>
    <t>ADMINISTRATOR</t>
  </si>
  <si>
    <t>R86</t>
  </si>
  <si>
    <t>S86</t>
  </si>
  <si>
    <t>Todavía queda torneo</t>
  </si>
  <si>
    <t>The tournament is still ongoing.</t>
  </si>
  <si>
    <t>R87</t>
  </si>
  <si>
    <t>S87</t>
  </si>
  <si>
    <t>¿Quién habrá ganado?</t>
  </si>
  <si>
    <t>Who has won the pool?</t>
  </si>
  <si>
    <t>Q5</t>
  </si>
  <si>
    <t>R5</t>
  </si>
  <si>
    <t>S5</t>
  </si>
  <si>
    <t>T5</t>
  </si>
  <si>
    <t>U5</t>
  </si>
  <si>
    <t>W</t>
  </si>
  <si>
    <t>V5</t>
  </si>
  <si>
    <t>D</t>
  </si>
  <si>
    <t>W5</t>
  </si>
  <si>
    <t>L</t>
  </si>
  <si>
    <t>X5</t>
  </si>
  <si>
    <t>Y5</t>
  </si>
  <si>
    <t>Z5</t>
  </si>
  <si>
    <t>Creditos</t>
  </si>
  <si>
    <t>B3</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</si>
  <si>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</si>
  <si>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B14</t>
  </si>
  <si>
    <t>Author:</t>
  </si>
  <si>
    <t>B15</t>
  </si>
  <si>
    <t>Útima versión</t>
  </si>
  <si>
    <t>Last version:</t>
  </si>
  <si>
    <t>B2</t>
  </si>
  <si>
    <t>Disclaimer:</t>
  </si>
  <si>
    <t>No exist en admin esta hoja</t>
  </si>
  <si>
    <t>Pool</t>
  </si>
  <si>
    <t>Para el administrador de la porra</t>
  </si>
  <si>
    <t>For the administrator of the pool</t>
  </si>
  <si>
    <t>PARTICIPANTE</t>
  </si>
  <si>
    <t>PLAYER</t>
  </si>
  <si>
    <t>Nombre</t>
  </si>
  <si>
    <t>Name</t>
  </si>
  <si>
    <t>¡No tocar nada, se rellena solo!</t>
  </si>
  <si>
    <t>PLAYER: DO NOT TOUCH, IT'S AUTOMATIC!</t>
  </si>
  <si>
    <t>EL ADMINISTRADOR DE LA PORRA SEGUIRÁ LAS INSTRUCCIONES DE AQUÍ ABAJO</t>
  </si>
  <si>
    <t xml:space="preserve">THE POOL ADMINISTRATOR SHOULD FOLLOW THE INSTRUCTIONS BELOW				</t>
  </si>
  <si>
    <t>E3</t>
  </si>
  <si>
    <t>E4</t>
  </si>
  <si>
    <t>E5</t>
  </si>
  <si>
    <t>·Si haceis jornada a jornada seguir las instrucciones de cada jornada</t>
  </si>
  <si>
    <t>·If you play by Rounds, follow de instuctions of every round.</t>
  </si>
  <si>
    <t>E6</t>
  </si>
  <si>
    <t>E18</t>
  </si>
  <si>
    <t>E30</t>
  </si>
  <si>
    <t>E86</t>
  </si>
  <si>
    <t>·Si haceis todas las eliminatorias de golpe, copiar de la C88 a la C132 y pegar valores en la plantilla de Administrador.</t>
  </si>
  <si>
    <t>·If you play the KO rounds at once select from C88 to C132 and paste in the Administrator template.</t>
  </si>
  <si>
    <t>E87</t>
  </si>
  <si>
    <t>E88</t>
  </si>
  <si>
    <t>E108</t>
  </si>
  <si>
    <t>E120</t>
  </si>
  <si>
    <t>E128</t>
  </si>
  <si>
    <t>E133</t>
  </si>
  <si>
    <t>·Al inicio de la competición si se hace por fases copiar de la C132 a la C134 y pegarla al final del jugador en el archivo de administrador.</t>
  </si>
  <si>
    <t>·At the beginning of the competition, if it is done in phases, copy from C132 to C134 and paste it at the end of the player in the administrator file.</t>
  </si>
  <si>
    <t>D6</t>
  </si>
  <si>
    <t>J1</t>
  </si>
  <si>
    <t>R1</t>
  </si>
  <si>
    <t>D18</t>
  </si>
  <si>
    <t>J2</t>
  </si>
  <si>
    <t>R2</t>
  </si>
  <si>
    <t>D30</t>
  </si>
  <si>
    <t>J3</t>
  </si>
  <si>
    <t>R3</t>
  </si>
  <si>
    <t>B5</t>
  </si>
  <si>
    <t>B43</t>
  </si>
  <si>
    <t>B69</t>
  </si>
  <si>
    <t>CLASIFICADOS PARA OCTAVOS</t>
  </si>
  <si>
    <t>QUALIFIED FOR ROUND OF 16</t>
  </si>
  <si>
    <t>B87</t>
  </si>
  <si>
    <t>ROUND OF 16</t>
  </si>
  <si>
    <t>B97</t>
  </si>
  <si>
    <t>CLASIFICADOS PARA CUARTOS</t>
  </si>
  <si>
    <t>QUARTER-FINALISTS</t>
  </si>
  <si>
    <t>B107</t>
  </si>
  <si>
    <t>QUARTERFINALS</t>
  </si>
  <si>
    <t>B113</t>
  </si>
  <si>
    <t>CLASIFICADOS PARA SEMIFINALES</t>
  </si>
  <si>
    <t>QUALIFIED FOR SEMIFINALS</t>
  </si>
  <si>
    <t>B119</t>
  </si>
  <si>
    <t>SEMIFINALS</t>
  </si>
  <si>
    <t>B123</t>
  </si>
  <si>
    <t>CLASIFICADOS PARA LA FINAL</t>
  </si>
  <si>
    <t>QUALIFIED FOR THE FINAL</t>
  </si>
  <si>
    <t>B127</t>
  </si>
  <si>
    <t>B130</t>
  </si>
  <si>
    <t>Equipos</t>
  </si>
  <si>
    <t>K2</t>
  </si>
  <si>
    <t>Germany</t>
  </si>
  <si>
    <t>K4</t>
  </si>
  <si>
    <t>Andorra</t>
  </si>
  <si>
    <t>K5</t>
  </si>
  <si>
    <t>Armenia</t>
  </si>
  <si>
    <t>K6</t>
  </si>
  <si>
    <t>K7</t>
  </si>
  <si>
    <t>Azerbaiyán</t>
  </si>
  <si>
    <t>Azerbaijan</t>
  </si>
  <si>
    <t>K8</t>
  </si>
  <si>
    <t>Bélgica</t>
  </si>
  <si>
    <t>Belgium</t>
  </si>
  <si>
    <t>K9</t>
  </si>
  <si>
    <t>Bielorrusia</t>
  </si>
  <si>
    <t>Belarus</t>
  </si>
  <si>
    <t>K10</t>
  </si>
  <si>
    <t>Bosnia y Herzegovina</t>
  </si>
  <si>
    <t>Bosnia and Herzegovina</t>
  </si>
  <si>
    <t>K11</t>
  </si>
  <si>
    <t>Bulgaria</t>
  </si>
  <si>
    <t>Bulgary</t>
  </si>
  <si>
    <t>K12</t>
  </si>
  <si>
    <t>Chipre</t>
  </si>
  <si>
    <t>Cyprus</t>
  </si>
  <si>
    <t>K13</t>
  </si>
  <si>
    <t>Croatia</t>
  </si>
  <si>
    <t>K14</t>
  </si>
  <si>
    <t>Denmark</t>
  </si>
  <si>
    <t>K15</t>
  </si>
  <si>
    <t>Scotland</t>
  </si>
  <si>
    <t>K16</t>
  </si>
  <si>
    <t>Eslovaquia</t>
  </si>
  <si>
    <t>Slovakia</t>
  </si>
  <si>
    <t>K17</t>
  </si>
  <si>
    <t>Slovenia</t>
  </si>
  <si>
    <t>K18</t>
  </si>
  <si>
    <t>Spain</t>
  </si>
  <si>
    <t>K19</t>
  </si>
  <si>
    <t>Estonia</t>
  </si>
  <si>
    <t>K20</t>
  </si>
  <si>
    <t>Finlandia</t>
  </si>
  <si>
    <t>Finland</t>
  </si>
  <si>
    <t>K21</t>
  </si>
  <si>
    <t>France</t>
  </si>
  <si>
    <t>K22</t>
  </si>
  <si>
    <t>Gales</t>
  </si>
  <si>
    <t>Wales</t>
  </si>
  <si>
    <t>K23</t>
  </si>
  <si>
    <t>Georgia</t>
  </si>
  <si>
    <t>K24</t>
  </si>
  <si>
    <t>Gibraltar</t>
  </si>
  <si>
    <t>K25</t>
  </si>
  <si>
    <t>Grecia</t>
  </si>
  <si>
    <t>Greece</t>
  </si>
  <si>
    <t>K26</t>
  </si>
  <si>
    <t>Hungary</t>
  </si>
  <si>
    <t>K27</t>
  </si>
  <si>
    <t>England</t>
  </si>
  <si>
    <t>K28</t>
  </si>
  <si>
    <t>Irlanda</t>
  </si>
  <si>
    <t>Ireland</t>
  </si>
  <si>
    <t>K29</t>
  </si>
  <si>
    <t>Irlanda del Norte</t>
  </si>
  <si>
    <t>Northern Ireland</t>
  </si>
  <si>
    <t>K30</t>
  </si>
  <si>
    <t>Islandia</t>
  </si>
  <si>
    <t>Iceland</t>
  </si>
  <si>
    <t>K31</t>
  </si>
  <si>
    <t>Faroe Islands</t>
  </si>
  <si>
    <t>K32</t>
  </si>
  <si>
    <t>Israel</t>
  </si>
  <si>
    <t>K33</t>
  </si>
  <si>
    <t>Italy</t>
  </si>
  <si>
    <t>K34</t>
  </si>
  <si>
    <t>Kazajistán</t>
  </si>
  <si>
    <t>Kazakhstan</t>
  </si>
  <si>
    <t>K35</t>
  </si>
  <si>
    <t>Kosovo</t>
  </si>
  <si>
    <t>K36</t>
  </si>
  <si>
    <t>Letonia</t>
  </si>
  <si>
    <t>Latvia</t>
  </si>
  <si>
    <t>K37</t>
  </si>
  <si>
    <t>Liechtenstein</t>
  </si>
  <si>
    <t>K38</t>
  </si>
  <si>
    <t>Lituania</t>
  </si>
  <si>
    <t>Lithuania</t>
  </si>
  <si>
    <t>K39</t>
  </si>
  <si>
    <t>Luxemburgo</t>
  </si>
  <si>
    <t>Luxembourg</t>
  </si>
  <si>
    <t>K40</t>
  </si>
  <si>
    <t>Macedonia del Norte</t>
  </si>
  <si>
    <t>North Macedonia</t>
  </si>
  <si>
    <t>K41</t>
  </si>
  <si>
    <t>Malta</t>
  </si>
  <si>
    <t>K42</t>
  </si>
  <si>
    <t>Moldavia</t>
  </si>
  <si>
    <t>Moldova</t>
  </si>
  <si>
    <t>K43</t>
  </si>
  <si>
    <t>Montenegro</t>
  </si>
  <si>
    <t>K44</t>
  </si>
  <si>
    <t>Noruega</t>
  </si>
  <si>
    <t>Norway</t>
  </si>
  <si>
    <t>K45</t>
  </si>
  <si>
    <t>Netherlands</t>
  </si>
  <si>
    <t>K46</t>
  </si>
  <si>
    <t>Polonia</t>
  </si>
  <si>
    <t>Poland</t>
  </si>
  <si>
    <t>K47</t>
  </si>
  <si>
    <t>Portugal</t>
  </si>
  <si>
    <t>K48</t>
  </si>
  <si>
    <t>República Checa</t>
  </si>
  <si>
    <t>Czech Republic</t>
  </si>
  <si>
    <t>K49</t>
  </si>
  <si>
    <t>Rumanía</t>
  </si>
  <si>
    <t>Romania</t>
  </si>
  <si>
    <t>K50</t>
  </si>
  <si>
    <t>Rusia</t>
  </si>
  <si>
    <t>Russia</t>
  </si>
  <si>
    <t>K51</t>
  </si>
  <si>
    <t>San Marino</t>
  </si>
  <si>
    <t>K52</t>
  </si>
  <si>
    <t>K53</t>
  </si>
  <si>
    <t>Suecia</t>
  </si>
  <si>
    <t>Sweden</t>
  </si>
  <si>
    <t>K54</t>
  </si>
  <si>
    <t>Switzerland</t>
  </si>
  <si>
    <t>K55</t>
  </si>
  <si>
    <t>Turquía</t>
  </si>
  <si>
    <t>Turkey</t>
  </si>
  <si>
    <t>K56</t>
  </si>
  <si>
    <t>Ucrania</t>
  </si>
  <si>
    <t>Ukraine</t>
  </si>
  <si>
    <t>Tambien en columna F de ADMINS</t>
  </si>
  <si>
    <t>Equipos/ADMIN</t>
  </si>
  <si>
    <t>P15</t>
  </si>
  <si>
    <t>Round Of 16</t>
  </si>
  <si>
    <t>P16</t>
  </si>
  <si>
    <t>P17</t>
  </si>
  <si>
    <t>P18</t>
  </si>
  <si>
    <t>PAIS ORGANIZADOR (ESCRIBIR) en las columnas de los idiomas</t>
  </si>
  <si>
    <t>Horarios</t>
  </si>
  <si>
    <t>W2</t>
  </si>
  <si>
    <t>ADMIN</t>
  </si>
  <si>
    <t>Selecciona el Nº de Jugadores</t>
  </si>
  <si>
    <t>Select the number of players:</t>
  </si>
  <si>
    <t>↓↓ Resultados reales ↓↓</t>
  </si>
  <si>
    <t>↓↓ Results ↓↓</t>
  </si>
  <si>
    <t>C7</t>
  </si>
  <si>
    <t>Regla*</t>
  </si>
  <si>
    <t>Rule*</t>
  </si>
  <si>
    <t>D7</t>
  </si>
  <si>
    <t>Points</t>
  </si>
  <si>
    <t>C8</t>
  </si>
  <si>
    <t>FASE DE GRUPOS - Signo 1X2* (local, empate, visitante)</t>
  </si>
  <si>
    <t>GROUP STAGE- 1X2* (home, draw, away)</t>
  </si>
  <si>
    <t>C9</t>
  </si>
  <si>
    <t>FASE DE GRUPOS -Diferencia de goles</t>
  </si>
  <si>
    <t>GROUP STAGE - Goal Difference (with 1X2 correct)</t>
  </si>
  <si>
    <t>C10</t>
  </si>
  <si>
    <t>FASE DE GRUPOS - Resultado exacto</t>
  </si>
  <si>
    <t>GROUP STAGE - Exact result</t>
  </si>
  <si>
    <t>C11</t>
  </si>
  <si>
    <t>FASE DE GRUPOS - Posición exacta (1º)</t>
  </si>
  <si>
    <t>GROUP STAGE - Exact position  (1º)</t>
  </si>
  <si>
    <t>C12</t>
  </si>
  <si>
    <t>FASE DE GRUPOS - Posición exacta (2º)</t>
  </si>
  <si>
    <t>GROUP STAGE - Exact position  (2º)</t>
  </si>
  <si>
    <t>C13</t>
  </si>
  <si>
    <t>FASE DE GRUPOS - Posición exacta (3º)</t>
  </si>
  <si>
    <t>GROUP STAGE - Exact position  (3º)</t>
  </si>
  <si>
    <t>C14</t>
  </si>
  <si>
    <t>FASE DE GRUPOS - Posición exacta (4º)</t>
  </si>
  <si>
    <t>GROUP STAGE - Exact position  (4º)</t>
  </si>
  <si>
    <t>C15</t>
  </si>
  <si>
    <t>Equipo clasificado para OCTAVOS</t>
  </si>
  <si>
    <t>Nation Qualified for ROUND OF 16</t>
  </si>
  <si>
    <t>C16</t>
  </si>
  <si>
    <t>OCTAVOS - Signo 1X2  (local, empate, visitante)</t>
  </si>
  <si>
    <t>ROUND OF 16- 1X2* (home, draw, away)</t>
  </si>
  <si>
    <t>C17</t>
  </si>
  <si>
    <t>OCTAVOS -Diferencia de goles</t>
  </si>
  <si>
    <t>ROUND OF 16 - Goal Difference (with 1X2 correct)</t>
  </si>
  <si>
    <t>C18</t>
  </si>
  <si>
    <t>OCTAVOS - Resultado exacto</t>
  </si>
  <si>
    <t>ROUND OF 16- Exact Result</t>
  </si>
  <si>
    <t>C19</t>
  </si>
  <si>
    <t>Equipo clasificado para CUARTOS</t>
  </si>
  <si>
    <t>Nation Qualified for QUARTERFINALS</t>
  </si>
  <si>
    <t>C20</t>
  </si>
  <si>
    <t>CUARTOS - Signo 1X2  (local, empate, visitante)</t>
  </si>
  <si>
    <t>QUARTERFINALS- 1X2* (home, draw, away)</t>
  </si>
  <si>
    <t>C21</t>
  </si>
  <si>
    <t>CUARTOS -Diferencia de goles</t>
  </si>
  <si>
    <t>QUARTERFINALS - Goal Difference (with 1X2 correct)</t>
  </si>
  <si>
    <t>C22</t>
  </si>
  <si>
    <t>CUARTOS - Resultado exacto</t>
  </si>
  <si>
    <t>QUARTERFINALS- Exact Result</t>
  </si>
  <si>
    <t>C23</t>
  </si>
  <si>
    <t>Equipo clasificado para SEMIFINALES</t>
  </si>
  <si>
    <t>Nation Qualified for SEMIFINALS</t>
  </si>
  <si>
    <t>C24</t>
  </si>
  <si>
    <t>SEMIFINALES - Signo 1X2  (local, empate, visitante)</t>
  </si>
  <si>
    <t>SEMIFINALS- 1X2* (home, draw, away)</t>
  </si>
  <si>
    <t>C25</t>
  </si>
  <si>
    <t>SEMIFINALES -Diferencia de goles</t>
  </si>
  <si>
    <t>SEMIFINALS - Goal Difference (with 1X2 correct)</t>
  </si>
  <si>
    <t>C26</t>
  </si>
  <si>
    <t>SEMIFINALES - Resultado exacto</t>
  </si>
  <si>
    <t>SEMIFINALS - Exact Result</t>
  </si>
  <si>
    <t>C27</t>
  </si>
  <si>
    <t>Equipo clasificado para LA FINAL</t>
  </si>
  <si>
    <t>Nation Qualified for the FINAL</t>
  </si>
  <si>
    <t>C28</t>
  </si>
  <si>
    <t>FINAL - Signo 1X2  (local, empate, visitante)</t>
  </si>
  <si>
    <t>FINAL- 1X2* (home, draw, away)</t>
  </si>
  <si>
    <t>C29</t>
  </si>
  <si>
    <t>FINAL - Diferencia de goles</t>
  </si>
  <si>
    <t>FINAL - Goal Difference (with 1X2 correct)</t>
  </si>
  <si>
    <t>C30</t>
  </si>
  <si>
    <t>FINAL - Resultado exacto</t>
  </si>
  <si>
    <t>FINAL - Exact Result</t>
  </si>
  <si>
    <t>C31</t>
  </si>
  <si>
    <t>C32</t>
  </si>
  <si>
    <t>C33</t>
  </si>
  <si>
    <t>Tops Scorer</t>
  </si>
  <si>
    <t>C34</t>
  </si>
  <si>
    <t>Best Player</t>
  </si>
  <si>
    <t>H7</t>
  </si>
  <si>
    <t>Fase de grupos</t>
  </si>
  <si>
    <t>Group Stage</t>
  </si>
  <si>
    <t>H45</t>
  </si>
  <si>
    <t>Posición grupos</t>
  </si>
  <si>
    <t>Group Position</t>
  </si>
  <si>
    <t>H71</t>
  </si>
  <si>
    <t>Clasificados para Octavos de Final</t>
  </si>
  <si>
    <t>Qualified For Round Of 16</t>
  </si>
  <si>
    <t>Tambien en equipos !p15</t>
  </si>
  <si>
    <t>H89</t>
  </si>
  <si>
    <t>Enfrentamientos Octavos de Final</t>
  </si>
  <si>
    <t>H99</t>
  </si>
  <si>
    <t>Clasificados para Cuartos de Final</t>
  </si>
  <si>
    <t>Quarter-Finalists</t>
  </si>
  <si>
    <t>Tambien en equipos !p16</t>
  </si>
  <si>
    <t>H109</t>
  </si>
  <si>
    <t>Enfrentamientos Cuartos de Final</t>
  </si>
  <si>
    <t>H115</t>
  </si>
  <si>
    <t>Clasificados para Semifinales</t>
  </si>
  <si>
    <t>Qualified For Semifinals</t>
  </si>
  <si>
    <t>Tambien en equipos !p17</t>
  </si>
  <si>
    <t>H121</t>
  </si>
  <si>
    <t>Enfrentamientos Semifinales</t>
  </si>
  <si>
    <t>H125</t>
  </si>
  <si>
    <t>Clasificados para la Final</t>
  </si>
  <si>
    <t>Qualified For The Final</t>
  </si>
  <si>
    <t>Tambien en equipos !p18</t>
  </si>
  <si>
    <t>H129</t>
  </si>
  <si>
    <t>Partido Final</t>
  </si>
  <si>
    <t>H132</t>
  </si>
  <si>
    <t>Cuadro de honor</t>
  </si>
  <si>
    <t>Honor Box</t>
  </si>
  <si>
    <t>H133</t>
  </si>
  <si>
    <t>H134</t>
  </si>
  <si>
    <t>H135</t>
  </si>
  <si>
    <t>H136</t>
  </si>
  <si>
    <t>Nombre J</t>
  </si>
  <si>
    <t>Name P</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</si>
  <si>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</si>
  <si>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</si>
  <si>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</si>
  <si>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</si>
  <si>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</si>
  <si>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</si>
  <si>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</si>
  <si>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</si>
  <si>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</si>
  <si>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</si>
  <si>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</si>
  <si>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</si>
  <si>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Pegar valores Final</t>
  </si>
  <si>
    <t>Paste Values Final</t>
  </si>
  <si>
    <t>Pegar valores iniciales</t>
  </si>
  <si>
    <t>Paste Initial Values</t>
  </si>
  <si>
    <t>H46</t>
  </si>
  <si>
    <t>1º GRUPO A</t>
  </si>
  <si>
    <t>1st GROUP A</t>
  </si>
  <si>
    <t>H47</t>
  </si>
  <si>
    <t>2º GRUPO A</t>
  </si>
  <si>
    <t>2nd GROUP A</t>
  </si>
  <si>
    <t>H48</t>
  </si>
  <si>
    <t>3º GRUPO A</t>
  </si>
  <si>
    <t>3rd GROUP A</t>
  </si>
  <si>
    <t>H49</t>
  </si>
  <si>
    <t>4º GRUPO A</t>
  </si>
  <si>
    <t>4th GROUP A</t>
  </si>
  <si>
    <t>H50</t>
  </si>
  <si>
    <t>1º GRUPO B</t>
  </si>
  <si>
    <t>1st GROUP B</t>
  </si>
  <si>
    <t>H51</t>
  </si>
  <si>
    <t>2º GRUPO B</t>
  </si>
  <si>
    <t>2nd GROUP B</t>
  </si>
  <si>
    <t>H52</t>
  </si>
  <si>
    <t>3º GRUPO B</t>
  </si>
  <si>
    <t>3rd GROUP B</t>
  </si>
  <si>
    <t>H53</t>
  </si>
  <si>
    <t>4º GRUPO B</t>
  </si>
  <si>
    <t>4th GROUP B</t>
  </si>
  <si>
    <t>H54</t>
  </si>
  <si>
    <t>1º GRUPO C</t>
  </si>
  <si>
    <t>1st GROUP C</t>
  </si>
  <si>
    <t>H55</t>
  </si>
  <si>
    <t>2º GRUPO C</t>
  </si>
  <si>
    <t>2nd GROUP C</t>
  </si>
  <si>
    <t>H56</t>
  </si>
  <si>
    <t>3º GRUPO C</t>
  </si>
  <si>
    <t>3rd GROUP C</t>
  </si>
  <si>
    <t>H57</t>
  </si>
  <si>
    <t>4º GRUPO C</t>
  </si>
  <si>
    <t>4th GROUP C</t>
  </si>
  <si>
    <t>H58</t>
  </si>
  <si>
    <t>1º GRUPO D</t>
  </si>
  <si>
    <t>1st GROUP D</t>
  </si>
  <si>
    <t>H59</t>
  </si>
  <si>
    <t>2º GRUPO D</t>
  </si>
  <si>
    <t>2nd GROUP D</t>
  </si>
  <si>
    <t>H60</t>
  </si>
  <si>
    <t>3º GRUPO D</t>
  </si>
  <si>
    <t>3rd GROUP D</t>
  </si>
  <si>
    <t>H61</t>
  </si>
  <si>
    <t>4º GRUPO D</t>
  </si>
  <si>
    <t>4th GROUP D</t>
  </si>
  <si>
    <t>H62</t>
  </si>
  <si>
    <t>1º GRUPO E</t>
  </si>
  <si>
    <t>1st GROUP E</t>
  </si>
  <si>
    <t>H63</t>
  </si>
  <si>
    <t>2º GRUPO E</t>
  </si>
  <si>
    <t>2nd GROUP E</t>
  </si>
  <si>
    <t>H64</t>
  </si>
  <si>
    <t>3º GRUPO E</t>
  </si>
  <si>
    <t>3rd GROUP E</t>
  </si>
  <si>
    <t>H65</t>
  </si>
  <si>
    <t>4º GRUPO E</t>
  </si>
  <si>
    <t>4th GROUP E</t>
  </si>
  <si>
    <t>H66</t>
  </si>
  <si>
    <t>1º GRUPO F</t>
  </si>
  <si>
    <t>1st GROUP F</t>
  </si>
  <si>
    <t>H67</t>
  </si>
  <si>
    <t>2º GRUPO F</t>
  </si>
  <si>
    <t>2nd GROUP F</t>
  </si>
  <si>
    <t>H68</t>
  </si>
  <si>
    <t>3º GRUPO F</t>
  </si>
  <si>
    <t>3rd GROUP F</t>
  </si>
  <si>
    <t>H69</t>
  </si>
  <si>
    <t>4º GRUPO F</t>
  </si>
  <si>
    <t>4th GROUP F</t>
  </si>
  <si>
    <t>H72</t>
  </si>
  <si>
    <t>Octavofinalista</t>
  </si>
  <si>
    <t>8-Finalist</t>
  </si>
  <si>
    <t>H100</t>
  </si>
  <si>
    <t>Cuartofinalista</t>
  </si>
  <si>
    <t>Quarterfinalist</t>
  </si>
  <si>
    <t>H116</t>
  </si>
  <si>
    <t>Semifinalista</t>
  </si>
  <si>
    <t>Semifinalist</t>
  </si>
  <si>
    <t>H126</t>
  </si>
  <si>
    <t>Finalista</t>
  </si>
  <si>
    <t>Finalist</t>
  </si>
  <si>
    <t>F8</t>
  </si>
  <si>
    <t>F20</t>
  </si>
  <si>
    <t>F32</t>
  </si>
  <si>
    <t>C36</t>
  </si>
  <si>
    <t>* Explicación del sistema de puntuación</t>
  </si>
  <si>
    <t>* How the scoring system works</t>
  </si>
  <si>
    <t>PONER URLS CORRECTAS</t>
  </si>
  <si>
    <t>C37</t>
  </si>
  <si>
    <t xml:space="preserve">https://matejero.es/puntuaciones-excel-euro-2024/
	</t>
  </si>
  <si>
    <t xml:space="preserve">https://matejero.com/scoring-system-excel-euro-2024/	
	</t>
  </si>
  <si>
    <t>En Objeto</t>
  </si>
  <si>
    <t>CLASIFICACIÓN EURO 2024</t>
  </si>
  <si>
    <t>STANDINGS EURO 2024</t>
  </si>
  <si>
    <t>Jugador</t>
  </si>
  <si>
    <t>Player</t>
  </si>
  <si>
    <t>D3</t>
  </si>
  <si>
    <t>Puntos Totales</t>
  </si>
  <si>
    <t>Total points</t>
  </si>
  <si>
    <t>F. Grupos</t>
  </si>
  <si>
    <t>Group stage</t>
  </si>
  <si>
    <t>Pos. Grupos</t>
  </si>
  <si>
    <t>Group position</t>
  </si>
  <si>
    <t>Equipos 1/8</t>
  </si>
  <si>
    <t>R16 Nations</t>
  </si>
  <si>
    <t>Partidos 1/8</t>
  </si>
  <si>
    <t>R16 Match-ups</t>
  </si>
  <si>
    <t>Equipos 1/4</t>
  </si>
  <si>
    <t>QF Nations</t>
  </si>
  <si>
    <t>Partidos 1/4</t>
  </si>
  <si>
    <t>QF Match-ups</t>
  </si>
  <si>
    <t>Equipos 1/2</t>
  </si>
  <si>
    <t>SF Nations</t>
  </si>
  <si>
    <t>L3</t>
  </si>
  <si>
    <t>Partidos 1/2</t>
  </si>
  <si>
    <t>SF Match-ups</t>
  </si>
  <si>
    <t>M3</t>
  </si>
  <si>
    <t>Equipos Final</t>
  </si>
  <si>
    <t>Final Nations</t>
  </si>
  <si>
    <t>Final Match-up</t>
  </si>
  <si>
    <t>Cuadro de Honor</t>
  </si>
  <si>
    <t>Pronostico Diario</t>
  </si>
  <si>
    <t>D1</t>
  </si>
  <si>
    <t>Selecciona día:</t>
  </si>
  <si>
    <t>Select day:</t>
  </si>
  <si>
    <t>ClasificacionDiaria</t>
  </si>
  <si>
    <t>H1</t>
  </si>
  <si>
    <t>Puntos Día / Eliminatoria</t>
  </si>
  <si>
    <t>Points Day / Round</t>
  </si>
  <si>
    <t>Equipo Local</t>
  </si>
  <si>
    <t>Equipo Visitante</t>
  </si>
  <si>
    <t>Team</t>
  </si>
  <si>
    <t>H</t>
  </si>
  <si>
    <t>Escudo</t>
  </si>
  <si>
    <t>Barcelona</t>
  </si>
  <si>
    <t>Bayer Leverkusen</t>
  </si>
  <si>
    <t>Stuttgart</t>
  </si>
  <si>
    <t>Inter Milan</t>
  </si>
  <si>
    <t>Juventus</t>
  </si>
  <si>
    <t>Atalanta</t>
  </si>
  <si>
    <t>PSG</t>
  </si>
  <si>
    <t>Lille</t>
  </si>
  <si>
    <t>Escribir el pais en idiomas</t>
  </si>
  <si>
    <t>Dif c/ org</t>
  </si>
  <si>
    <t>Orden</t>
  </si>
  <si>
    <t>Goals</t>
  </si>
  <si>
    <t>Gol</t>
  </si>
  <si>
    <t>Home</t>
  </si>
  <si>
    <t>Away</t>
  </si>
  <si>
    <t>cambiar numero</t>
  </si>
  <si>
    <t>IT'S A DRAW! Choose the order of the teams to determine their rankings.</t>
  </si>
  <si>
    <t>CHAMPIONS EN PROCESO</t>
  </si>
  <si>
    <t>CHAMPIONS IN PROGRESS</t>
  </si>
  <si>
    <t>CHAMPIONS FINALIZADA</t>
  </si>
  <si>
    <t>CHAMPIONS COMPLETED</t>
  </si>
  <si>
    <t>NameTeam</t>
  </si>
  <si>
    <t>Badge</t>
  </si>
  <si>
    <t>Puntos penalizados</t>
  </si>
  <si>
    <t>Deducted Points</t>
  </si>
  <si>
    <t>CLAS</t>
  </si>
  <si>
    <t>Choose the order of the drawing teams.</t>
  </si>
  <si>
    <t>Dif verano invierno</t>
  </si>
  <si>
    <t>CAUX1</t>
  </si>
  <si>
    <t>CAUX2</t>
  </si>
  <si>
    <t>CAUX3</t>
  </si>
  <si>
    <t>CAUX4</t>
  </si>
  <si>
    <t>Selecciona un primero</t>
  </si>
  <si>
    <t>Select a 1st</t>
  </si>
  <si>
    <t>Selecciona un Playoff</t>
  </si>
  <si>
    <t>Select a Playoff</t>
  </si>
  <si>
    <t>J4</t>
  </si>
  <si>
    <t>J5</t>
  </si>
  <si>
    <t>J6</t>
  </si>
  <si>
    <t>J7</t>
  </si>
  <si>
    <t>J8</t>
  </si>
  <si>
    <t>PO R16</t>
  </si>
  <si>
    <t>R16</t>
  </si>
  <si>
    <t>Arsenal</t>
  </si>
  <si>
    <t>Borussia Dortmund</t>
  </si>
  <si>
    <t>Feyenoord</t>
  </si>
  <si>
    <t>Leipzig</t>
  </si>
  <si>
    <t>Liverpool</t>
  </si>
  <si>
    <t>Manchester City</t>
  </si>
  <si>
    <t>PSV Eindhoven</t>
  </si>
  <si>
    <t>Goles
a favor fuera
general</t>
  </si>
  <si>
    <t>Victorias General</t>
  </si>
  <si>
    <t>Victorias Fuera General</t>
  </si>
  <si>
    <t>Puntos Oponentes</t>
  </si>
  <si>
    <t>DG Oponentes</t>
  </si>
  <si>
    <t>GF Oponentes</t>
  </si>
  <si>
    <t>15/16</t>
  </si>
  <si>
    <t>17/18</t>
  </si>
  <si>
    <t>10/9</t>
  </si>
  <si>
    <t>23/24</t>
  </si>
  <si>
    <t>12/11</t>
  </si>
  <si>
    <t>22/21</t>
  </si>
  <si>
    <t>20/19</t>
  </si>
  <si>
    <t>9/10</t>
  </si>
  <si>
    <t>11/12</t>
  </si>
  <si>
    <t>21/22</t>
  </si>
  <si>
    <t>13/14</t>
  </si>
  <si>
    <t>19/20</t>
  </si>
  <si>
    <t>14/13</t>
  </si>
  <si>
    <t>24/23</t>
  </si>
  <si>
    <t>16/15</t>
  </si>
  <si>
    <t>18/17</t>
  </si>
  <si>
    <t>1/2</t>
  </si>
  <si>
    <t>7/8</t>
  </si>
  <si>
    <t>5/6</t>
  </si>
  <si>
    <t>3/4</t>
  </si>
  <si>
    <t>4/3</t>
  </si>
  <si>
    <t>6/5</t>
  </si>
  <si>
    <t>8/7</t>
  </si>
  <si>
    <t>2/1</t>
  </si>
  <si>
    <t>If two or more teams are equal on points on completion of the league phase matches, the following criteria are applied, in this order, to determine their rankings:</t>
  </si>
  <si>
    <t>a) Superior goal difference in the league phase</t>
  </si>
  <si>
    <t>b) Higher number of goals scored in the league phase</t>
  </si>
  <si>
    <t>c) Higher number of away goals scored in the league phase</t>
  </si>
  <si>
    <t>d) Higher number of wins in the league phase</t>
  </si>
  <si>
    <t>e) Higher number of away wins in the league phase</t>
  </si>
  <si>
    <t>f) Higher number of points obtained collectively by league phase opponents</t>
  </si>
  <si>
    <t>g) Superior collective goal difference of league phase opponents</t>
  </si>
  <si>
    <t>h) Higher number of goals scored collectively by league phase opponents</t>
  </si>
  <si>
    <t>(P)</t>
  </si>
  <si>
    <t>QF</t>
  </si>
  <si>
    <t>SF</t>
  </si>
  <si>
    <t>Pos 0</t>
  </si>
  <si>
    <t>Pos 1</t>
  </si>
  <si>
    <t>Pos 2</t>
  </si>
  <si>
    <t>Pos 3</t>
  </si>
  <si>
    <t>Pos 4</t>
  </si>
  <si>
    <t>Pos 5</t>
  </si>
  <si>
    <t>Pos 6</t>
  </si>
  <si>
    <t>Pos 7</t>
  </si>
  <si>
    <t>Pos 8</t>
  </si>
  <si>
    <t>Grupo
empate 0</t>
  </si>
  <si>
    <t>Grupo
empate 1</t>
  </si>
  <si>
    <t>Grupo
empate 2</t>
  </si>
  <si>
    <t>Grupo
empate 3</t>
  </si>
  <si>
    <t>Grupo
empate 4</t>
  </si>
  <si>
    <t>Grupo
empate 5</t>
  </si>
  <si>
    <t>Grupo
empate 6</t>
  </si>
  <si>
    <t>Grupo
empate 7</t>
  </si>
  <si>
    <t>Grupo
empate 8</t>
  </si>
  <si>
    <t>Monaco</t>
  </si>
  <si>
    <t>Sporting Portugal</t>
  </si>
  <si>
    <t>1/8</t>
  </si>
  <si>
    <t>1/4</t>
  </si>
  <si>
    <t>League Phase</t>
  </si>
  <si>
    <t>Fase de Liga</t>
  </si>
  <si>
    <t>Aston Villa</t>
  </si>
  <si>
    <t>Playoffs</t>
  </si>
  <si>
    <t>POSICIÓN LIGA</t>
  </si>
  <si>
    <t>FASE DE LIGA</t>
  </si>
  <si>
    <t>j) Higher club coefficient</t>
  </si>
  <si>
    <t>^</t>
  </si>
  <si>
    <t>Benfica</t>
  </si>
  <si>
    <t>Brugge</t>
  </si>
  <si>
    <t>Predict the round</t>
  </si>
  <si>
    <t>Pronóstica la ronda</t>
  </si>
  <si>
    <t>Shakhtar Donetsk</t>
  </si>
  <si>
    <t>Introducir resultados Fase de Liga</t>
  </si>
  <si>
    <t>Introduce Results League Phase</t>
  </si>
  <si>
    <t>Bodø/Glimt</t>
  </si>
  <si>
    <t>Seleccionar el orden de los empatados.</t>
  </si>
  <si>
    <t>PO</t>
  </si>
  <si>
    <t>Round</t>
  </si>
  <si>
    <t>Predice el equipo</t>
  </si>
  <si>
    <t>Predict team</t>
  </si>
  <si>
    <t>Predictor</t>
  </si>
  <si>
    <t>Ronda</t>
  </si>
  <si>
    <t>Lista desplegable</t>
  </si>
  <si>
    <t>Rellenar antes del comienzo de la Champions</t>
  </si>
  <si>
    <t>·Selecciona para cada ronda el equipo o los equipos que crees que van a llegar hasta esa ronda.</t>
  </si>
  <si>
    <t>·Select for each round the team or teams that you think will reach that round.</t>
  </si>
  <si>
    <t>·Una vez selecciones un equipo, dejará de aparecer en el selector</t>
  </si>
  <si>
    <t>·Once you select a team, it will no longer appear in the selector.</t>
  </si>
  <si>
    <t>·If you've filled everything out and want to make a change,</t>
  </si>
  <si>
    <t xml:space="preserve">·Si has rellenado todos y quieres hacer un cambio, </t>
  </si>
  <si>
    <t xml:space="preserve"> borra los equipos que quieras cambiar y podrás volver a seleccionarlos</t>
  </si>
  <si>
    <t xml:space="preserve"> delete the teams you want to change and you can select them again.</t>
  </si>
  <si>
    <t>Introducir resultados Fase KO</t>
  </si>
  <si>
    <t>Introduce Results KO Phase</t>
  </si>
  <si>
    <t>Predictor Equipos</t>
  </si>
  <si>
    <t>Team Predictor</t>
  </si>
  <si>
    <t>If you want to organize a pool (betting game) with your group, you can download the file to manage it from here.</t>
  </si>
  <si>
    <t>PLAYOFFS</t>
  </si>
  <si>
    <t>C
L
A
S</t>
  </si>
  <si>
    <t>Complete before Champions League begins</t>
  </si>
  <si>
    <t>LEAGUE PHASE</t>
  </si>
  <si>
    <t>·If you do it round by round, for the first round select from C6 to C24 and paste the values into the administrator template.</t>
  </si>
  <si>
    <t>·Si haceis jornada a jornada, para la primera jornada selecciona de la C6 a la C24 y pega valores en la plantilla de administrador</t>
  </si>
  <si>
    <t>·For the 2nd round, select from C25 to C42 and paste the values into the administrator template.</t>
  </si>
  <si>
    <t>·Para la 2ª jornada selecciona de la C25 a la C42 y pega valores en la plantilla de administrador</t>
  </si>
  <si>
    <t>·Para la 4ª jornada selecciona de la C61 a la C78 y pega valores en la plantilla de administrador</t>
  </si>
  <si>
    <t>·Para la 5ª jornada selecciona de la C79 a la C96 y pega valores en la plantilla de administrador</t>
  </si>
  <si>
    <t>·Para la 6ª jornada selecciona de la C97 a la C114 y pega valores en la plantilla de administrador</t>
  </si>
  <si>
    <t>·Para la 7ª jornada selecciona de la C115 a la C132 y pega valores en la plantilla de administrador</t>
  </si>
  <si>
    <t>·Para la 3ª jornada selecciona de la C43 a la C60 y pega valores en la plantilla de administrador</t>
  </si>
  <si>
    <t>·For the 3rd round, select from C43 to C60 and paste the values into the administrator template.</t>
  </si>
  <si>
    <t>·For the 4th round, select from C61 to C78 and paste the values into the administrator template.</t>
  </si>
  <si>
    <t>·For the 5th round, select from C79 to C96 and paste the values into the administrator template.</t>
  </si>
  <si>
    <t>·For the 6th round, select from C97 to C114 and paste the values into the administrator template.</t>
  </si>
  <si>
    <t>·For the 7th round, select from C115 to C132 and paste the values into the administrator template.</t>
  </si>
  <si>
    <t>R4</t>
  </si>
  <si>
    <t>R6</t>
  </si>
  <si>
    <t>R7</t>
  </si>
  <si>
    <t>R8</t>
  </si>
  <si>
    <t>GROUP STANDINGS</t>
  </si>
  <si>
    <t>·Copiar de la C6 a la C41 y pegarlo en el administrador donde el Predictor</t>
  </si>
  <si>
    <t>·Copy from C6 to C41 and paste it in the administrator where the Predictor is.</t>
  </si>
  <si>
    <t>PO1.1</t>
  </si>
  <si>
    <t>PO1.2</t>
  </si>
  <si>
    <t>PO2.1</t>
  </si>
  <si>
    <t>PO3.1</t>
  </si>
  <si>
    <t>PO4.1</t>
  </si>
  <si>
    <t>PO5.1</t>
  </si>
  <si>
    <t>PO6.1</t>
  </si>
  <si>
    <t>PO7.1</t>
  </si>
  <si>
    <t>PO8.1</t>
  </si>
  <si>
    <t>PO2.2</t>
  </si>
  <si>
    <t>PO3.3</t>
  </si>
  <si>
    <t>O1.1</t>
  </si>
  <si>
    <t>O2.1</t>
  </si>
  <si>
    <t>O3.1</t>
  </si>
  <si>
    <t>O4.1</t>
  </si>
  <si>
    <t>O5.1</t>
  </si>
  <si>
    <t>O6.1</t>
  </si>
  <si>
    <t>O7.1</t>
  </si>
  <si>
    <t>O8.1</t>
  </si>
  <si>
    <t>C1.1</t>
  </si>
  <si>
    <t>C2.1</t>
  </si>
  <si>
    <t>C3.1</t>
  </si>
  <si>
    <t>C4.1</t>
  </si>
  <si>
    <t>S1.1</t>
  </si>
  <si>
    <t>S2.1</t>
  </si>
  <si>
    <t>PO4.2</t>
  </si>
  <si>
    <t>PO5.2</t>
  </si>
  <si>
    <t>PO6.2</t>
  </si>
  <si>
    <t>PO7.2</t>
  </si>
  <si>
    <t>PO8.2</t>
  </si>
  <si>
    <t>O1.2</t>
  </si>
  <si>
    <t>O2.2</t>
  </si>
  <si>
    <t>O3.2</t>
  </si>
  <si>
    <t>O4.2</t>
  </si>
  <si>
    <t>O5.2</t>
  </si>
  <si>
    <t>O6.2</t>
  </si>
  <si>
    <t>O7.2</t>
  </si>
  <si>
    <t>O8.2</t>
  </si>
  <si>
    <t>C1.2</t>
  </si>
  <si>
    <t>C2.2</t>
  </si>
  <si>
    <t>C3.2</t>
  </si>
  <si>
    <t>C4.2</t>
  </si>
  <si>
    <t>S1.2</t>
  </si>
  <si>
    <t>S2.2</t>
  </si>
  <si>
    <t>Photo: wikipedia</t>
  </si>
  <si>
    <t>Select timetable -&gt;</t>
  </si>
  <si>
    <t>Selecciona Horario -&gt;</t>
  </si>
  <si>
    <t>Selecciona idioma -&gt;</t>
  </si>
  <si>
    <t>Select languaje -&gt;</t>
  </si>
  <si>
    <t>Escribe tu nombre -&gt;</t>
  </si>
  <si>
    <t>Write your name -&gt;</t>
  </si>
  <si>
    <t xml:space="preserve">Si en la hoja League, no ves los escudos de los equipos </t>
  </si>
  <si>
    <t>utiliza el otro archivo que venia en el archivo .zip</t>
  </si>
  <si>
    <t>If you don't see the team logos in the League sheet</t>
  </si>
  <si>
    <t>use the other file that came in the .zip file</t>
  </si>
  <si>
    <t>·Si haceis toda la Eurocopa de golpe copiar de la C7 a la 134 y pegar valores en la plantilla de Administrador.</t>
  </si>
  <si>
    <t xml:space="preserve">·If you play the whole tournament at once de golpe select from C7 to C134 and paste in the Administrator template.			</t>
  </si>
  <si>
    <t>GF_O</t>
  </si>
  <si>
    <t>P-O</t>
  </si>
  <si>
    <t>DF-O</t>
  </si>
  <si>
    <t>i) Lower disciplinary points total based only on yellow and red cards received by players and team officials in all league phase matches (red card = 3 points, yellow card = 1 point, expulsion for two yellow cards in one match = 3 points)</t>
  </si>
  <si>
    <t>We don't use i) and j) in the standinsgs table, but if they still in equality, you can choose the order manually at the right of the standing table</t>
  </si>
  <si>
    <t>1/8-1</t>
  </si>
  <si>
    <t>1/8-2</t>
  </si>
  <si>
    <t>1/8-3</t>
  </si>
  <si>
    <t>1/8-4</t>
  </si>
  <si>
    <t>1/8-5</t>
  </si>
  <si>
    <t>1/8-6</t>
  </si>
  <si>
    <t>1/8-7</t>
  </si>
  <si>
    <t>1/8-8</t>
  </si>
  <si>
    <t>CF-1</t>
  </si>
  <si>
    <t>CF-2</t>
  </si>
  <si>
    <t>CF-3</t>
  </si>
  <si>
    <t>CF-4</t>
  </si>
  <si>
    <t>CF-5</t>
  </si>
  <si>
    <t>CF-6</t>
  </si>
  <si>
    <t>CF-7</t>
  </si>
  <si>
    <t>CF-8</t>
  </si>
  <si>
    <t>SF-1</t>
  </si>
  <si>
    <t>SF-2</t>
  </si>
  <si>
    <t>SF-3</t>
  </si>
  <si>
    <t>SF-4</t>
  </si>
  <si>
    <t>F-1</t>
  </si>
  <si>
    <t>F-2</t>
  </si>
  <si>
    <t>·Para los Playoffs selecciona de la C6 a la C31 y pega valores en la plantilla de administrador.</t>
  </si>
  <si>
    <t>·For the round of Playoff  matches, copy from C6 to C31 and paste in the administrator template in "Paste Values Round of 16"</t>
  </si>
  <si>
    <t>·Para los octavos selecciona de la C34 a la C59 y pega valores en la plantilla de administrador.</t>
  </si>
  <si>
    <t>·For the round of 16 matches, copy from C34 to C59 and paste in the administrator template in "Paste Values Round of 16"</t>
  </si>
  <si>
    <t>·Para los cuartos selecciona de la C62 a la C75 y pega valores en la plantilla de administrador.</t>
  </si>
  <si>
    <t>·For the round of Quarter-Finals matches, copy from C62 to C75 and paste in the administrator template in "Paste Values Quarterfinals"</t>
  </si>
  <si>
    <t>·Para las semifinales selecciona de la C78 a la C85 y pega valores en la plantilla de administrador.</t>
  </si>
  <si>
    <t>·For the round of Semi-Finals matches, copy from C78 to C85 and paste in the administrator template in "Paste Values Semifinals"</t>
  </si>
  <si>
    <t>·Para la final selecciona de la C88 a la C91 y pega valores en la plantilla de administrador.</t>
  </si>
  <si>
    <t>·For the Final match, copy from C88 to C91 and paste in the administrator template in "Paste Values Final"</t>
  </si>
  <si>
    <t>CLASIFICADOS PARA PLAYOFFS</t>
  </si>
  <si>
    <t>QUALIFIED FOR PLAYOFFS</t>
  </si>
  <si>
    <t>·Para la 8ª jornada selecciona de la C133 a la C217 y pega valores en la plantilla de administrador</t>
  </si>
  <si>
    <t>·For the 8th round, select from C133 to C217 and paste the values into the administrator template.</t>
  </si>
  <si>
    <t>·Si haceis toda la fase de grupos de golpe, en vez de jornada a jornada selecciona de la C7 a la C217 y pega valores en la plantilla de Administrador</t>
  </si>
  <si>
    <t>If you do the whole League Phase at once, instead of round by round, select from C7 to C217 and paste the values into the Administrator template.</t>
  </si>
  <si>
    <t>B133</t>
  </si>
  <si>
    <t>B134</t>
  </si>
  <si>
    <t>B135</t>
  </si>
  <si>
    <t>Clasificado</t>
  </si>
  <si>
    <t>Qualified</t>
  </si>
  <si>
    <t>CLASIFICADOS PARA CUARTOS DE FINAL</t>
  </si>
  <si>
    <t>QUALIFIED FOR QUARTERFINALS</t>
  </si>
  <si>
    <t>Si quieres organizar una porra con tu grupo puedes descargar el archivo para administrarla desde aquí.</t>
  </si>
  <si>
    <t>Item</t>
  </si>
  <si>
    <t>Chelsea</t>
  </si>
  <si>
    <t>Newcastle</t>
  </si>
  <si>
    <t>Napoli</t>
  </si>
  <si>
    <t>Athletic Bilbao</t>
  </si>
  <si>
    <t>Villarreal</t>
  </si>
  <si>
    <t>Eintracht Frankfurt</t>
  </si>
  <si>
    <t>Ajax</t>
  </si>
  <si>
    <t>Union Saint-Gilloise</t>
  </si>
  <si>
    <t>Galatasaray</t>
  </si>
  <si>
    <t>Olympiakos</t>
  </si>
  <si>
    <t>IDIOMA PARA PONER EL EL POOL</t>
  </si>
  <si>
    <t>Pafos</t>
  </si>
  <si>
    <t>Qarabağ</t>
  </si>
  <si>
    <t>Tottenham</t>
  </si>
  <si>
    <t>Atlético Madrid</t>
  </si>
  <si>
    <t>Bayern München</t>
  </si>
  <si>
    <t>Marseille</t>
  </si>
  <si>
    <t>Slavia Praha</t>
  </si>
  <si>
    <t>Copenhagen</t>
  </si>
  <si>
    <t>Para acceder Click en</t>
  </si>
  <si>
    <t>EXCEL CHAMPIONS LEAGUE 2026-2027</t>
  </si>
  <si>
    <r>
      <t>Kairat Almaty</t>
    </r>
    <r>
      <rPr>
        <sz val="16"/>
        <rFont val="Arial"/>
        <family val="2"/>
      </rPr>
      <t> </t>
    </r>
  </si>
  <si>
    <t>CAMPEÓN CHAMPIONS 26-27:</t>
  </si>
  <si>
    <t>WINNER CHAMPIONS 26-27:</t>
  </si>
  <si>
    <t>Como</t>
  </si>
  <si>
    <t>Lens</t>
  </si>
  <si>
    <t>Manchester United</t>
  </si>
  <si>
    <t>Porto</t>
  </si>
  <si>
    <t>Roma</t>
  </si>
  <si>
    <t>© Miguel Angel Tejero. 2026</t>
  </si>
  <si>
    <t>DONAR</t>
  </si>
  <si>
    <t>Betis</t>
  </si>
  <si>
    <t xml:space="preserve"> (16/17 &amp; 23/24 Feb)</t>
  </si>
  <si>
    <t>(9/10 &amp; 16/17 Mar)</t>
  </si>
  <si>
    <t>(6/7 &amp; 13/14 Apr)</t>
  </si>
  <si>
    <t>(27/28 Apr &amp; 4/5 May)</t>
  </si>
  <si>
    <t>(5 Jun)</t>
  </si>
  <si>
    <t>Excel Europa League 2026-2027</t>
  </si>
  <si>
    <t>Excel Premier League 2026-2027</t>
  </si>
  <si>
    <t>Excel Liga 1ª Division 2026-2027</t>
  </si>
  <si>
    <t>Excel Liga 2ª Division 2026-2027</t>
  </si>
  <si>
    <t>Excel Liga 1ª Federación 2026-2027</t>
  </si>
  <si>
    <t>Excel Liga F. 2026-2027</t>
  </si>
  <si>
    <t>Excel Libertadores/Sudamericana 2026</t>
  </si>
  <si>
    <t>Excel Mundial Femenino 2027</t>
  </si>
  <si>
    <t>Women's World Cup 2027 Excel Schedule</t>
  </si>
  <si>
    <t>Excel Conference League 2026-2027</t>
  </si>
  <si>
    <t>IR A LAS ELIMINATORIAS</t>
  </si>
  <si>
    <t>GO TO KO PHASE</t>
  </si>
  <si>
    <t>Slovan Bratislava </t>
  </si>
  <si>
    <t>Fenerbahçe </t>
  </si>
  <si>
    <t>Viking</t>
  </si>
  <si>
    <t>Sabah</t>
  </si>
  <si>
    <t>AEK</t>
  </si>
  <si>
    <t>LASK</t>
  </si>
  <si>
    <t>Column1</t>
  </si>
  <si>
    <t>Column2</t>
  </si>
  <si>
    <t>Column3</t>
  </si>
  <si>
    <t>Column4</t>
  </si>
  <si>
    <t>Column5</t>
  </si>
  <si>
    <t>Column7</t>
  </si>
  <si>
    <t>Column8</t>
  </si>
  <si>
    <t>Column9</t>
  </si>
  <si>
    <t>Column10</t>
  </si>
  <si>
    <t>Column11</t>
  </si>
  <si>
    <t>Column12</t>
  </si>
  <si>
    <t>Column13</t>
  </si>
  <si>
    <t>Column15</t>
  </si>
  <si>
    <t>Column16</t>
  </si>
  <si>
    <t>Column17</t>
  </si>
  <si>
    <t>Column18</t>
  </si>
  <si>
    <t>Column19</t>
  </si>
  <si>
    <t>Column20</t>
  </si>
  <si>
    <t>Column21</t>
  </si>
  <si>
    <t>Column23</t>
  </si>
  <si>
    <t>Column24</t>
  </si>
  <si>
    <t>Column25</t>
  </si>
  <si>
    <t>Column26</t>
  </si>
  <si>
    <t>Column27</t>
  </si>
  <si>
    <t>Column28</t>
  </si>
  <si>
    <t>Column29</t>
  </si>
  <si>
    <t>Column31</t>
  </si>
  <si>
    <t>Column32</t>
  </si>
  <si>
    <t>Column33</t>
  </si>
  <si>
    <t>Column34</t>
  </si>
  <si>
    <t>Column35</t>
  </si>
  <si>
    <t>Column36</t>
  </si>
  <si>
    <t>Column37</t>
  </si>
  <si>
    <t>Column39</t>
  </si>
  <si>
    <t>Column40</t>
  </si>
  <si>
    <t>Column41</t>
  </si>
  <si>
    <t>Column42</t>
  </si>
  <si>
    <t>Column43</t>
  </si>
  <si>
    <t>Column44</t>
  </si>
  <si>
    <t>(16/17 &amp; 23/24 Feb)</t>
  </si>
  <si>
    <r>
      <t xml:space="preserve">To see the knockout stage matchups, you will need to go to the </t>
    </r>
    <r>
      <rPr>
        <b/>
        <sz val="12"/>
        <rFont val="Calibri"/>
        <family val="2"/>
        <scheme val="minor"/>
      </rPr>
      <t>Data → Refresh All</t>
    </r>
    <r>
      <rPr>
        <sz val="12"/>
        <rFont val="Calibri"/>
        <family val="2"/>
        <scheme val="minor"/>
      </rPr>
      <t xml:space="preserve"> tab when Playoff draw is made.</t>
    </r>
  </si>
  <si>
    <r>
      <t xml:space="preserve">Para ver los enfrentamientos una vez se realice el sorteo de playoffs tendrás que ir a la pestaña </t>
    </r>
    <r>
      <rPr>
        <b/>
        <sz val="12"/>
        <rFont val="Calibri"/>
        <family val="2"/>
        <scheme val="minor"/>
      </rPr>
      <t>Datos → Actualizar todo</t>
    </r>
    <r>
      <rPr>
        <sz val="12"/>
        <rFont val="Calibri"/>
        <family val="2"/>
        <scheme val="minor"/>
      </rPr>
      <t xml:space="preserve"> o volver a descargar el archivo.</t>
    </r>
  </si>
  <si>
    <t>Pos. 1</t>
  </si>
  <si>
    <t>Pos. 2</t>
  </si>
  <si>
    <t>Pos. 3</t>
  </si>
  <si>
    <t>Pos. 4</t>
  </si>
  <si>
    <t>Pos. 5</t>
  </si>
  <si>
    <t>Pos. 6</t>
  </si>
  <si>
    <t>Pos. 7</t>
  </si>
  <si>
    <t>Pos. 8</t>
  </si>
  <si>
    <t>Pos. 9</t>
  </si>
  <si>
    <t>Pos. 10</t>
  </si>
  <si>
    <t>Pos. 11</t>
  </si>
  <si>
    <t>Pos. 12</t>
  </si>
  <si>
    <t>Pos. 13</t>
  </si>
  <si>
    <t>Pos. 14</t>
  </si>
  <si>
    <t>Pos. 15</t>
  </si>
  <si>
    <t>Pos. 16</t>
  </si>
  <si>
    <t>Pos. 17</t>
  </si>
  <si>
    <t>Pos. 18</t>
  </si>
  <si>
    <t>Pos. 19</t>
  </si>
  <si>
    <t>Pos. 20</t>
  </si>
  <si>
    <t>Pos. 21</t>
  </si>
  <si>
    <t>Pos. 22</t>
  </si>
  <si>
    <t>Pos. 23</t>
  </si>
  <si>
    <t>Pos. 24</t>
  </si>
  <si>
    <t>User</t>
  </si>
  <si>
    <t xml:space="preserve"> </t>
  </si>
  <si>
    <t>Excel Championship 2026-2027</t>
  </si>
  <si>
    <t>https://matejero.es/download/admin-champions-26-27/</t>
  </si>
  <si>
    <t>https://matejero.com/download/admin-champions-26-27/</t>
  </si>
  <si>
    <t>https://matejero.es/porra-mundial-femenino-excel/</t>
  </si>
  <si>
    <t>https://matejero.com/womens-world-cup-excel-schedule/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</si>
</sst>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dd/mm/yy"/>
    <numFmt numFmtId="166" formatCode=";;;"/>
  </numFmts>
  <fonts count="64">
    <font>
      <sz val="12"/>
      <color theme="1"/>
      <name val="Calibri"/>
      <family val="2"/>
      <scheme val="minor"/>
    </font>
    <font>
      <sz val="11"/>
      <color theme="1"/>
      <name val="Calibri"/>
      <family val="2"/>
      <scheme val="minor"/>
    </font>
    <font>
      <sz val="11"/>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1"/>
      <color theme="1"/>
      <name val="Calibri"/>
      <family val="2"/>
      <scheme val="minor"/>
    </font>
    <font>
      <sz val="11"/>
      <color theme="0" tint="-0.14999847407452621"/>
      <name val="Calibri"/>
      <family val="2"/>
      <scheme val="minor"/>
    </font>
    <font>
      <sz val="8"/>
      <name val="Calibri"/>
      <family val="2"/>
      <scheme val="minor"/>
    </font>
    <font>
      <sz val="10"/>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4"/>
      <color theme="0"/>
      <name val="Calibri"/>
      <family val="2"/>
      <scheme val="minor"/>
    </font>
    <font>
      <sz val="12"/>
      <name val="Calibri"/>
      <family val="2"/>
      <scheme val="minor"/>
    </font>
    <font>
      <b/>
      <sz val="12"/>
      <name val="Calibri"/>
      <family val="2"/>
      <scheme val="minor"/>
    </font>
    <font>
      <b/>
      <sz val="16"/>
      <color theme="1"/>
      <name val="Calibri"/>
      <family val="2"/>
      <scheme val="minor"/>
    </font>
    <font>
      <u/>
      <sz val="11"/>
      <name val="Calibri"/>
      <family val="2"/>
      <scheme val="minor"/>
    </font>
    <font>
      <u/>
      <sz val="12"/>
      <color theme="10"/>
      <name val="Calibri"/>
      <family val="2"/>
      <scheme val="minor"/>
    </font>
    <font>
      <sz val="10"/>
      <color rgb="FF000000"/>
      <name val="Tahoma"/>
      <family val="2"/>
    </font>
    <font>
      <sz val="12"/>
      <color theme="1"/>
      <name val="Calibri"/>
      <family val="2"/>
      <scheme val="minor"/>
    </font>
    <font>
      <b/>
      <sz val="12"/>
      <color theme="0" tint="-0.249977111117893"/>
      <name val="Calibri"/>
      <family val="2"/>
      <scheme val="minor"/>
    </font>
    <font>
      <b/>
      <sz val="14"/>
      <color theme="0" tint="-0.249977111117893"/>
      <name val="Calibri"/>
      <family val="2"/>
      <scheme val="minor"/>
    </font>
    <font>
      <sz val="14"/>
      <color theme="1"/>
      <name val="Calibri"/>
      <family val="2"/>
      <scheme val="minor"/>
    </font>
    <font>
      <b/>
      <sz val="14"/>
      <color theme="1"/>
      <name val="Calibri"/>
      <family val="2"/>
      <scheme val="minor"/>
    </font>
    <font>
      <sz val="5"/>
      <color theme="0" tint="-0.34998626667073579"/>
      <name val="Calibri"/>
      <family val="2"/>
      <scheme val="minor"/>
    </font>
    <font>
      <sz val="11"/>
      <color theme="0" tint="-0.34998626667073579"/>
      <name val="Calibri"/>
      <family val="2"/>
      <scheme val="minor"/>
    </font>
    <font>
      <sz val="11"/>
      <color theme="4"/>
      <name val="Calibri"/>
      <family val="2"/>
      <scheme val="minor"/>
    </font>
    <font>
      <sz val="11"/>
      <color theme="0" tint="-0.34998626667073579"/>
      <name val="Arial"/>
      <family val="2"/>
    </font>
    <font>
      <b/>
      <sz val="9"/>
      <color theme="0"/>
      <name val="Calibri"/>
      <family val="2"/>
      <scheme val="minor"/>
    </font>
    <font>
      <b/>
      <sz val="11"/>
      <color theme="0"/>
      <name val="Calibri"/>
      <family val="2"/>
      <scheme val="minor"/>
    </font>
    <font>
      <b/>
      <sz val="12"/>
      <color rgb="FFBFBFBF"/>
      <name val="Calibri"/>
      <family val="2"/>
      <scheme val="minor"/>
    </font>
    <font>
      <sz val="12"/>
      <color theme="0" tint="-0.14999847407452621"/>
      <name val="Calibri"/>
      <family val="2"/>
      <scheme val="minor"/>
    </font>
    <font>
      <sz val="12"/>
      <color rgb="FF202122"/>
      <name val="Arial"/>
      <family val="2"/>
    </font>
    <font>
      <sz val="13"/>
      <color rgb="FF202122"/>
      <name val="Arial"/>
      <family val="2"/>
    </font>
    <font>
      <b/>
      <sz val="13"/>
      <color rgb="FF202122"/>
      <name val="Arial"/>
      <family val="2"/>
    </font>
    <font>
      <sz val="11"/>
      <color theme="0"/>
      <name val="Calibri"/>
      <family val="2"/>
      <scheme val="minor"/>
    </font>
    <font>
      <sz val="18"/>
      <color theme="0"/>
      <name val="Calibri"/>
      <family val="2"/>
      <scheme val="minor"/>
    </font>
    <font>
      <b/>
      <sz val="48"/>
      <color theme="0"/>
      <name val="Calibri"/>
      <family val="2"/>
      <scheme val="minor"/>
    </font>
    <font>
      <sz val="28"/>
      <color theme="0"/>
      <name val="Calibri"/>
      <family val="2"/>
      <scheme val="minor"/>
    </font>
    <font>
      <b/>
      <sz val="48"/>
      <color rgb="FFE8E6E6"/>
      <name val="Calibri"/>
      <family val="2"/>
      <scheme val="minor"/>
    </font>
    <font>
      <sz val="36"/>
      <color theme="0"/>
      <name val="Calibri"/>
      <family val="2"/>
      <scheme val="minor"/>
    </font>
    <font>
      <b/>
      <sz val="9"/>
      <color theme="1"/>
      <name val="Calibri"/>
      <family val="2"/>
      <scheme val="minor"/>
    </font>
    <font>
      <b/>
      <sz val="16"/>
      <color theme="0"/>
      <name val="Calibri"/>
      <family val="2"/>
      <scheme val="minor"/>
    </font>
    <font>
      <sz val="12"/>
      <color rgb="FFFF0000"/>
      <name val="Calibri"/>
      <family val="2"/>
      <scheme val="minor"/>
    </font>
    <font>
      <b/>
      <sz val="22"/>
      <color theme="0"/>
      <name val="Calibri"/>
      <family val="2"/>
      <scheme val="minor"/>
    </font>
    <font>
      <b/>
      <sz val="26"/>
      <color theme="0"/>
      <name val="Calibri"/>
      <family val="2"/>
      <scheme val="minor"/>
    </font>
    <font>
      <sz val="12"/>
      <color rgb="FFB2BFBE"/>
      <name val="Calibri"/>
      <family val="2"/>
      <scheme val="minor"/>
    </font>
    <font>
      <sz val="12"/>
      <color rgb="FF0F70BA"/>
      <name val="Calibri"/>
      <family val="2"/>
      <scheme val="minor"/>
    </font>
    <font>
      <sz val="12"/>
      <color theme="8" tint="0.39997558519241921"/>
      <name val="Calibri"/>
      <family val="2"/>
      <scheme val="minor"/>
    </font>
    <font>
      <sz val="14"/>
      <name val="Calibri"/>
      <family val="2"/>
      <scheme val="minor"/>
    </font>
    <font>
      <sz val="16"/>
      <color theme="1"/>
      <name val="Calibri"/>
      <family val="2"/>
      <scheme val="minor"/>
    </font>
    <font>
      <b/>
      <sz val="28"/>
      <color rgb="FF0F70BA"/>
      <name val="Calibri"/>
      <family val="2"/>
      <scheme val="minor"/>
    </font>
    <font>
      <sz val="11"/>
      <name val="Arial"/>
      <family val="2"/>
    </font>
    <font>
      <sz val="5"/>
      <name val="Calibri"/>
      <family val="2"/>
      <scheme val="minor"/>
    </font>
    <font>
      <b/>
      <sz val="14"/>
      <name val="Calibri"/>
      <family val="2"/>
      <scheme val="minor"/>
    </font>
    <font>
      <sz val="10"/>
      <name val="Calibri"/>
      <family val="2"/>
      <scheme val="minor"/>
    </font>
    <font>
      <sz val="16"/>
      <name val="Arial"/>
      <family val="2"/>
    </font>
    <font>
      <b/>
      <sz val="11"/>
      <name val="Calibri"/>
      <family val="2"/>
      <scheme val="minor"/>
    </font>
    <font>
      <sz val="12"/>
      <color rgb="FF0056A4"/>
      <name val="Calibri"/>
      <family val="2"/>
      <scheme val="minor"/>
    </font>
    <font>
      <b/>
      <sz val="10"/>
      <color rgb="FF003087"/>
      <name val="Verdana"/>
      <family val="2"/>
    </font>
    <font>
      <b/>
      <sz val="18"/>
      <color rgb="FF002060"/>
      <name val="Calibri"/>
      <family val="2"/>
      <scheme val="minor"/>
    </font>
    <font>
      <sz val="12"/>
      <color rgb="FF9BC2E6"/>
      <name val="Calibri"/>
      <family val="2"/>
      <scheme val="minor"/>
    </font>
    <font>
      <b/>
      <sz val="18"/>
      <color theme="0"/>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1C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rgb="FFFFFFFF"/>
        <bgColor rgb="FF000000"/>
      </patternFill>
    </fill>
    <fill>
      <patternFill patternType="solid">
        <fgColor theme="2" tint="-9.9978637043366805E-2"/>
        <bgColor indexed="64"/>
      </patternFill>
    </fill>
    <fill>
      <patternFill patternType="solid">
        <fgColor theme="0" tint="-0.249977111117893"/>
        <bgColor indexed="64"/>
      </patternFill>
    </fill>
    <fill>
      <patternFill patternType="solid">
        <fgColor theme="2"/>
        <bgColor indexed="64"/>
      </patternFill>
    </fill>
    <fill>
      <patternFill patternType="solid">
        <fgColor rgb="FFBFBFBF"/>
        <bgColor indexed="64"/>
      </patternFill>
    </fill>
    <fill>
      <patternFill patternType="solid">
        <fgColor rgb="FFE8E6E6"/>
        <bgColor indexed="64"/>
      </patternFill>
    </fill>
    <fill>
      <patternFill patternType="solid">
        <fgColor rgb="FFFFC000"/>
        <bgColor indexed="64"/>
      </patternFill>
    </fill>
    <fill>
      <patternFill patternType="solid">
        <fgColor rgb="FFFF0000"/>
        <bgColor indexed="64"/>
      </patternFill>
    </fill>
    <fill>
      <patternFill patternType="solid">
        <fgColor rgb="FFFFBE00"/>
        <bgColor indexed="64"/>
      </patternFill>
    </fill>
    <fill>
      <patternFill patternType="solid">
        <fgColor rgb="FFAEAAAA"/>
        <bgColor indexed="64"/>
      </patternFill>
    </fill>
    <fill>
      <patternFill patternType="solid">
        <fgColor rgb="FFC6E1B4"/>
        <bgColor indexed="64"/>
      </patternFill>
    </fill>
    <fill>
      <patternFill patternType="solid">
        <fgColor rgb="FFBDD8EF"/>
        <bgColor indexed="64"/>
      </patternFill>
    </fill>
    <fill>
      <patternFill patternType="solid">
        <fgColor rgb="FFF8CBAD"/>
        <bgColor indexed="64"/>
      </patternFill>
    </fill>
    <fill>
      <patternFill patternType="solid">
        <fgColor rgb="FFACB9CA"/>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B2BFBE"/>
        <bgColor indexed="64"/>
      </patternFill>
    </fill>
    <fill>
      <patternFill patternType="solid">
        <fgColor theme="8" tint="0.39997558519241921"/>
        <bgColor indexed="64"/>
      </patternFill>
    </fill>
    <fill>
      <patternFill patternType="solid">
        <fgColor rgb="FFE7E5E5"/>
        <bgColor indexed="64"/>
      </patternFill>
    </fill>
    <fill>
      <patternFill patternType="solid">
        <fgColor theme="9" tint="0.39997558519241921"/>
        <bgColor indexed="64"/>
      </patternFill>
    </fill>
    <fill>
      <patternFill patternType="solid">
        <fgColor rgb="FFFFA500"/>
        <bgColor indexed="64"/>
      </patternFill>
    </fill>
    <fill>
      <patternFill patternType="solid">
        <fgColor rgb="FFEEEEEE"/>
        <bgColor indexed="64"/>
      </patternFill>
    </fill>
    <fill>
      <patternFill patternType="solid">
        <fgColor rgb="FFFFC439"/>
        <bgColor indexed="64"/>
      </patternFill>
    </fill>
  </fills>
  <borders count="179">
    <border>
      <left/>
      <right/>
      <top/>
      <bottom/>
      <diagonal/>
    </border>
    <border>
      <left/>
      <right/>
      <top/>
      <bottom style="thin">
        <color rgb="FFD4D4D4"/>
      </bottom>
      <diagonal/>
    </border>
    <border>
      <left style="thin">
        <color rgb="FFD4D4D4"/>
      </left>
      <right style="thin">
        <color rgb="FFD4D4D4"/>
      </right>
      <top/>
      <bottom style="thin">
        <color rgb="FFD4D4D4"/>
      </bottom>
      <diagonal/>
    </border>
    <border>
      <left/>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right style="thin">
        <color rgb="FFD4D4D4"/>
      </right>
      <top style="thin">
        <color rgb="FFD4D4D4"/>
      </top>
      <bottom style="thin">
        <color rgb="FFD4D4D4"/>
      </bottom>
      <diagonal/>
    </border>
    <border>
      <left style="thin">
        <color indexed="64"/>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medium">
        <color rgb="FF963533"/>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D9D9D9"/>
      </left>
      <right style="thin">
        <color rgb="FFD9D9D9"/>
      </right>
      <top style="thin">
        <color rgb="FFD9D9D9"/>
      </top>
      <bottom style="thin">
        <color rgb="FFD9D9D9"/>
      </bottom>
      <diagonal/>
    </border>
    <border>
      <left style="medium">
        <color theme="2"/>
      </left>
      <right/>
      <top style="medium">
        <color theme="2"/>
      </top>
      <bottom/>
      <diagonal/>
    </border>
    <border>
      <left/>
      <right/>
      <top style="medium">
        <color theme="2"/>
      </top>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medium">
        <color indexed="64"/>
      </left>
      <right/>
      <top/>
      <bottom style="thin">
        <color theme="1"/>
      </bottom>
      <diagonal/>
    </border>
    <border>
      <left/>
      <right/>
      <top/>
      <bottom style="thin">
        <color theme="1"/>
      </bottom>
      <diagonal/>
    </border>
    <border>
      <left/>
      <right style="thick">
        <color rgb="FFD4D4D4"/>
      </right>
      <top style="thin">
        <color rgb="FFD4D4D4"/>
      </top>
      <bottom style="thin">
        <color rgb="FFD4D4D4"/>
      </bottom>
      <diagonal/>
    </border>
    <border>
      <left/>
      <right style="thick">
        <color rgb="FFD4D4D4"/>
      </right>
      <top/>
      <bottom style="thin">
        <color rgb="FFD4D4D4"/>
      </bottom>
      <diagonal/>
    </border>
    <border>
      <left style="thin">
        <color rgb="FFD4D4D4"/>
      </left>
      <right style="thick">
        <color rgb="FFD4D4D4"/>
      </right>
      <top style="thin">
        <color rgb="FFD4D4D4"/>
      </top>
      <bottom style="thin">
        <color rgb="FFD4D4D4"/>
      </bottom>
      <diagonal/>
    </border>
    <border>
      <left style="thin">
        <color rgb="FFD4D4D4"/>
      </left>
      <right style="thick">
        <color rgb="FFD4D4D4"/>
      </right>
      <top/>
      <bottom style="thin">
        <color rgb="FFD4D4D4"/>
      </bottom>
      <diagonal/>
    </border>
    <border>
      <left style="thick">
        <color rgb="FFD4D4D4"/>
      </left>
      <right/>
      <top style="thick">
        <color rgb="FFD4D4D4"/>
      </top>
      <bottom style="thin">
        <color rgb="FFD4D4D4"/>
      </bottom>
      <diagonal/>
    </border>
    <border>
      <left/>
      <right/>
      <top style="thick">
        <color rgb="FFD4D4D4"/>
      </top>
      <bottom style="thin">
        <color rgb="FFD4D4D4"/>
      </bottom>
      <diagonal/>
    </border>
    <border>
      <left style="thick">
        <color rgb="FFD4D4D4"/>
      </left>
      <right style="thin">
        <color rgb="FFD4D4D4"/>
      </right>
      <top style="thin">
        <color rgb="FFD4D4D4"/>
      </top>
      <bottom style="thin">
        <color rgb="FFD4D4D4"/>
      </bottom>
      <diagonal/>
    </border>
    <border>
      <left style="thick">
        <color rgb="FFD4D4D4"/>
      </left>
      <right style="thin">
        <color rgb="FFD4D4D4"/>
      </right>
      <top/>
      <bottom style="thin">
        <color rgb="FFD4D4D4"/>
      </bottom>
      <diagonal/>
    </border>
    <border>
      <left style="thick">
        <color rgb="FFD4D4D4"/>
      </left>
      <right style="thin">
        <color rgb="FFD4D4D4"/>
      </right>
      <top/>
      <bottom style="thick">
        <color rgb="FFD4D4D4"/>
      </bottom>
      <diagonal/>
    </border>
    <border>
      <left/>
      <right/>
      <top/>
      <bottom style="thick">
        <color rgb="FFD4D4D4"/>
      </bottom>
      <diagonal/>
    </border>
    <border>
      <left style="thin">
        <color rgb="FFD4D4D4"/>
      </left>
      <right style="thick">
        <color rgb="FFD4D4D4"/>
      </right>
      <top style="thin">
        <color rgb="FFD4D4D4"/>
      </top>
      <bottom style="thick">
        <color rgb="FFD4D4D4"/>
      </bottom>
      <diagonal/>
    </border>
    <border>
      <left/>
      <right/>
      <top style="thin">
        <color rgb="FFD4D4D4"/>
      </top>
      <bottom style="thick">
        <color rgb="FFD4D4D4"/>
      </bottom>
      <diagonal/>
    </border>
    <border>
      <left style="thin">
        <color rgb="FFD4D4D4"/>
      </left>
      <right style="thin">
        <color rgb="FFD4D4D4"/>
      </right>
      <top style="thin">
        <color rgb="FFD4D4D4"/>
      </top>
      <bottom style="thick">
        <color rgb="FFD4D4D4"/>
      </bottom>
      <diagonal/>
    </border>
    <border>
      <left/>
      <right style="thin">
        <color rgb="FFD4D4D4"/>
      </right>
      <top style="thin">
        <color rgb="FFD4D4D4"/>
      </top>
      <bottom style="thick">
        <color rgb="FFD4D4D4"/>
      </bottom>
      <diagonal/>
    </border>
    <border>
      <left/>
      <right style="thick">
        <color rgb="FFD4D4D4"/>
      </right>
      <top style="thin">
        <color rgb="FFD4D4D4"/>
      </top>
      <bottom style="thick">
        <color rgb="FFD4D4D4"/>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BFBFBF"/>
      </left>
      <right style="thin">
        <color theme="0"/>
      </right>
      <top style="thin">
        <color theme="0"/>
      </top>
      <bottom style="thin">
        <color theme="0"/>
      </bottom>
      <diagonal/>
    </border>
    <border>
      <left/>
      <right style="medium">
        <color rgb="FFBFBFBF"/>
      </right>
      <top style="thin">
        <color theme="0"/>
      </top>
      <bottom style="thin">
        <color theme="0"/>
      </bottom>
      <diagonal/>
    </border>
    <border>
      <left style="medium">
        <color rgb="FFBFBFBF"/>
      </left>
      <right style="thin">
        <color theme="0"/>
      </right>
      <top style="thin">
        <color theme="0"/>
      </top>
      <bottom style="medium">
        <color rgb="FFBFBFBF"/>
      </bottom>
      <diagonal/>
    </border>
    <border>
      <left/>
      <right style="thin">
        <color theme="0"/>
      </right>
      <top style="thin">
        <color theme="0"/>
      </top>
      <bottom style="medium">
        <color rgb="FFBFBFBF"/>
      </bottom>
      <diagonal/>
    </border>
    <border>
      <left/>
      <right style="medium">
        <color rgb="FFBFBFBF"/>
      </right>
      <top style="thin">
        <color theme="0"/>
      </top>
      <bottom style="medium">
        <color rgb="FFBFBFBF"/>
      </bottom>
      <diagonal/>
    </border>
    <border>
      <left/>
      <right style="thin">
        <color theme="0"/>
      </right>
      <top style="thin">
        <color theme="0"/>
      </top>
      <bottom/>
      <diagonal/>
    </border>
    <border>
      <left/>
      <right style="thin">
        <color theme="2"/>
      </right>
      <top/>
      <bottom style="thin">
        <color rgb="FFE8E6E6"/>
      </bottom>
      <diagonal/>
    </border>
    <border>
      <left/>
      <right style="medium">
        <color rgb="FFBFBFBF"/>
      </right>
      <top/>
      <bottom style="thin">
        <color rgb="FFE8E6E6"/>
      </bottom>
      <diagonal/>
    </border>
    <border>
      <left/>
      <right/>
      <top style="medium">
        <color rgb="FFBFBFBF"/>
      </top>
      <bottom style="thin">
        <color rgb="FFE8E6E6"/>
      </bottom>
      <diagonal/>
    </border>
    <border>
      <left/>
      <right style="thin">
        <color theme="2"/>
      </right>
      <top style="thin">
        <color rgb="FFE8E6E6"/>
      </top>
      <bottom style="thin">
        <color rgb="FFE8E6E6"/>
      </bottom>
      <diagonal/>
    </border>
    <border>
      <left/>
      <right style="medium">
        <color rgb="FFBFBFBF"/>
      </right>
      <top style="thin">
        <color rgb="FFE8E6E6"/>
      </top>
      <bottom style="thin">
        <color rgb="FFE8E6E6"/>
      </bottom>
      <diagonal/>
    </border>
    <border>
      <left/>
      <right/>
      <top style="thin">
        <color rgb="FFE8E6E6"/>
      </top>
      <bottom style="thin">
        <color rgb="FFE8E6E6"/>
      </bottom>
      <diagonal/>
    </border>
    <border>
      <left/>
      <right/>
      <top/>
      <bottom style="thin">
        <color rgb="FFE8E6E6"/>
      </bottom>
      <diagonal/>
    </border>
    <border>
      <left/>
      <right style="thin">
        <color rgb="FFE8E6E6"/>
      </right>
      <top style="thin">
        <color rgb="FFE8E6E6"/>
      </top>
      <bottom style="thin">
        <color rgb="FFE8E6E6"/>
      </bottom>
      <diagonal/>
    </border>
    <border>
      <left/>
      <right style="thin">
        <color rgb="FFE8E6E6"/>
      </right>
      <top/>
      <bottom style="thin">
        <color rgb="FFE8E6E6"/>
      </bottom>
      <diagonal/>
    </border>
    <border>
      <left style="medium">
        <color rgb="FFBFBFBF"/>
      </left>
      <right style="thin">
        <color rgb="FFE8E6E6"/>
      </right>
      <top style="thin">
        <color rgb="FFE8E6E6"/>
      </top>
      <bottom style="thin">
        <color rgb="FFE8E6E6"/>
      </bottom>
      <diagonal/>
    </border>
    <border>
      <left style="medium">
        <color rgb="FFBFBFBF"/>
      </left>
      <right style="thin">
        <color rgb="FFE8E6E6"/>
      </right>
      <top/>
      <bottom style="thin">
        <color rgb="FFE8E6E6"/>
      </bottom>
      <diagonal/>
    </border>
    <border>
      <left style="medium">
        <color rgb="FFBFBFBF"/>
      </left>
      <right style="thin">
        <color rgb="FFE8E6E6"/>
      </right>
      <top style="medium">
        <color rgb="FFBFBFBF"/>
      </top>
      <bottom style="thin">
        <color rgb="FFE8E6E6"/>
      </bottom>
      <diagonal/>
    </border>
    <border>
      <left/>
      <right style="thin">
        <color rgb="FFE8E6E6"/>
      </right>
      <top style="medium">
        <color rgb="FFBFBFBF"/>
      </top>
      <bottom style="thin">
        <color rgb="FFE8E6E6"/>
      </bottom>
      <diagonal/>
    </border>
    <border>
      <left/>
      <right style="thin">
        <color theme="2"/>
      </right>
      <top style="medium">
        <color rgb="FFBFBFBF"/>
      </top>
      <bottom style="thin">
        <color rgb="FFE8E6E6"/>
      </bottom>
      <diagonal/>
    </border>
    <border>
      <left/>
      <right style="medium">
        <color rgb="FFBFBFBF"/>
      </right>
      <top style="medium">
        <color rgb="FFBFBFBF"/>
      </top>
      <bottom style="thin">
        <color rgb="FFE8E6E6"/>
      </bottom>
      <diagonal/>
    </border>
    <border>
      <left style="medium">
        <color rgb="FFBFBFBF"/>
      </left>
      <right style="thin">
        <color theme="0"/>
      </right>
      <top style="thin">
        <color rgb="FFE8E6E6"/>
      </top>
      <bottom style="thin">
        <color theme="0"/>
      </bottom>
      <diagonal/>
    </border>
    <border>
      <left style="thin">
        <color theme="0"/>
      </left>
      <right/>
      <top style="thin">
        <color rgb="FFE8E6E6"/>
      </top>
      <bottom style="thin">
        <color theme="0"/>
      </bottom>
      <diagonal/>
    </border>
    <border>
      <left style="thin">
        <color rgb="FFE8E6E6"/>
      </left>
      <right/>
      <top/>
      <bottom style="thin">
        <color rgb="FFE8E6E6"/>
      </bottom>
      <diagonal/>
    </border>
    <border>
      <left style="thin">
        <color rgb="FFE8E6E6"/>
      </left>
      <right/>
      <top style="thin">
        <color rgb="FFE8E6E6"/>
      </top>
      <bottom style="thin">
        <color rgb="FFE8E6E6"/>
      </bottom>
      <diagonal/>
    </border>
    <border>
      <left/>
      <right/>
      <top style="medium">
        <color rgb="FFBFBFBF"/>
      </top>
      <bottom style="medium">
        <color rgb="FFBFBFBF"/>
      </bottom>
      <diagonal/>
    </border>
    <border>
      <left/>
      <right/>
      <top style="thin">
        <color theme="0"/>
      </top>
      <bottom style="medium">
        <color rgb="FFBFBFBF"/>
      </bottom>
      <diagonal/>
    </border>
    <border>
      <left style="medium">
        <color rgb="FFBFBFBF"/>
      </left>
      <right style="thin">
        <color theme="0"/>
      </right>
      <top style="thin">
        <color theme="0"/>
      </top>
      <bottom style="thin">
        <color rgb="FFE8E6E6"/>
      </bottom>
      <diagonal/>
    </border>
    <border>
      <left style="thin">
        <color theme="0"/>
      </left>
      <right/>
      <top style="thin">
        <color theme="0"/>
      </top>
      <bottom/>
      <diagonal/>
    </border>
    <border>
      <left style="medium">
        <color rgb="FFBFBFBF"/>
      </left>
      <right style="thin">
        <color theme="0"/>
      </right>
      <top style="thin">
        <color theme="0"/>
      </top>
      <bottom/>
      <diagonal/>
    </border>
    <border>
      <left/>
      <right style="medium">
        <color rgb="FFBFBFBF"/>
      </right>
      <top style="thin">
        <color theme="0"/>
      </top>
      <bottom/>
      <diagonal/>
    </border>
    <border>
      <left/>
      <right/>
      <top/>
      <bottom style="thin">
        <color theme="0"/>
      </bottom>
      <diagonal/>
    </border>
    <border>
      <left style="thin">
        <color theme="2"/>
      </left>
      <right/>
      <top style="medium">
        <color rgb="FFBFBFBF"/>
      </top>
      <bottom style="thin">
        <color rgb="FFE8E6E6"/>
      </bottom>
      <diagonal/>
    </border>
    <border>
      <left style="thin">
        <color theme="2"/>
      </left>
      <right/>
      <top/>
      <bottom style="thin">
        <color rgb="FFE8E6E6"/>
      </bottom>
      <diagonal/>
    </border>
    <border>
      <left style="thin">
        <color theme="2"/>
      </left>
      <right/>
      <top style="thin">
        <color rgb="FFE8E6E6"/>
      </top>
      <bottom style="thin">
        <color rgb="FFE8E6E6"/>
      </bottom>
      <diagonal/>
    </border>
    <border>
      <left/>
      <right style="thin">
        <color rgb="FFE9E6E6"/>
      </right>
      <top style="medium">
        <color rgb="FFBFBFBF"/>
      </top>
      <bottom style="thin">
        <color rgb="FFE8E6E6"/>
      </bottom>
      <diagonal/>
    </border>
    <border>
      <left/>
      <right style="thin">
        <color rgb="FFE9E6E6"/>
      </right>
      <top/>
      <bottom style="thin">
        <color rgb="FFE8E6E6"/>
      </bottom>
      <diagonal/>
    </border>
    <border>
      <left/>
      <right style="thin">
        <color rgb="FFE9E6E6"/>
      </right>
      <top style="thin">
        <color rgb="FFE8E6E6"/>
      </top>
      <bottom style="thin">
        <color rgb="FFE8E6E6"/>
      </bottom>
      <diagonal/>
    </border>
    <border>
      <left style="thin">
        <color theme="0"/>
      </left>
      <right/>
      <top style="thin">
        <color theme="0"/>
      </top>
      <bottom style="thin">
        <color rgb="FFE8E6E6"/>
      </bottom>
      <diagonal/>
    </border>
    <border>
      <left/>
      <right/>
      <top style="thin">
        <color theme="0"/>
      </top>
      <bottom/>
      <diagonal/>
    </border>
    <border>
      <left style="medium">
        <color rgb="FFE8E6E6"/>
      </left>
      <right style="thin">
        <color rgb="FFE8E6E6"/>
      </right>
      <top style="medium">
        <color rgb="FFE8E6E6"/>
      </top>
      <bottom style="thin">
        <color rgb="FFE8E6E6"/>
      </bottom>
      <diagonal/>
    </border>
    <border>
      <left style="thin">
        <color rgb="FFE8E6E6"/>
      </left>
      <right style="medium">
        <color rgb="FFE8E6E6"/>
      </right>
      <top style="medium">
        <color rgb="FFE8E6E6"/>
      </top>
      <bottom style="thin">
        <color rgb="FFE8E6E6"/>
      </bottom>
      <diagonal/>
    </border>
    <border>
      <left style="medium">
        <color rgb="FFE8E6E6"/>
      </left>
      <right style="thin">
        <color rgb="FFE8E6E6"/>
      </right>
      <top style="thin">
        <color rgb="FFE8E6E6"/>
      </top>
      <bottom style="thin">
        <color rgb="FFE8E6E6"/>
      </bottom>
      <diagonal/>
    </border>
    <border>
      <left style="thin">
        <color rgb="FFE8E6E6"/>
      </left>
      <right style="medium">
        <color rgb="FFE8E6E6"/>
      </right>
      <top style="thin">
        <color rgb="FFE8E6E6"/>
      </top>
      <bottom style="thin">
        <color rgb="FFE8E6E6"/>
      </bottom>
      <diagonal/>
    </border>
    <border>
      <left style="medium">
        <color rgb="FFE8E6E6"/>
      </left>
      <right style="thin">
        <color rgb="FFE8E6E6"/>
      </right>
      <top style="thin">
        <color rgb="FFE8E6E6"/>
      </top>
      <bottom style="medium">
        <color rgb="FFE8E6E6"/>
      </bottom>
      <diagonal/>
    </border>
    <border>
      <left style="thin">
        <color rgb="FFE8E6E6"/>
      </left>
      <right style="medium">
        <color rgb="FFE8E6E6"/>
      </right>
      <top style="thin">
        <color rgb="FFE8E6E6"/>
      </top>
      <bottom style="medium">
        <color rgb="FFE8E6E6"/>
      </bottom>
      <diagonal/>
    </border>
    <border>
      <left/>
      <right style="medium">
        <color rgb="FFE8E6E6"/>
      </right>
      <top style="medium">
        <color rgb="FFE8E6E6"/>
      </top>
      <bottom style="thin">
        <color rgb="FFE8E6E6"/>
      </bottom>
      <diagonal/>
    </border>
    <border>
      <left/>
      <right style="medium">
        <color rgb="FFE8E6E6"/>
      </right>
      <top/>
      <bottom style="thin">
        <color rgb="FFE8E6E6"/>
      </bottom>
      <diagonal/>
    </border>
    <border>
      <left/>
      <right style="medium">
        <color rgb="FFE8E6E6"/>
      </right>
      <top/>
      <bottom style="medium">
        <color rgb="FFE8E6E6"/>
      </bottom>
      <diagonal/>
    </border>
    <border>
      <left style="medium">
        <color rgb="FFE8E6E6"/>
      </left>
      <right style="thin">
        <color rgb="FFE8E6E6"/>
      </right>
      <top style="medium">
        <color rgb="FFE8E6E6"/>
      </top>
      <bottom style="medium">
        <color rgb="FFE8E6E6"/>
      </bottom>
      <diagonal/>
    </border>
    <border>
      <left style="thin">
        <color rgb="FFE8E6E6"/>
      </left>
      <right style="medium">
        <color rgb="FFE8E6E6"/>
      </right>
      <top style="medium">
        <color rgb="FFE8E6E6"/>
      </top>
      <bottom style="medium">
        <color rgb="FFE8E6E6"/>
      </bottom>
      <diagonal/>
    </border>
    <border>
      <left style="medium">
        <color rgb="FFE8E6E6"/>
      </left>
      <right/>
      <top style="medium">
        <color rgb="FFE8E6E6"/>
      </top>
      <bottom style="medium">
        <color rgb="FFE8E6E6"/>
      </bottom>
      <diagonal/>
    </border>
    <border>
      <left/>
      <right style="medium">
        <color rgb="FFE8E6E6"/>
      </right>
      <top style="medium">
        <color rgb="FFE8E6E6"/>
      </top>
      <bottom style="medium">
        <color rgb="FFE8E6E6"/>
      </bottom>
      <diagonal/>
    </border>
    <border>
      <left style="medium">
        <color rgb="FFBFBFBF"/>
      </left>
      <right style="thin">
        <color theme="0"/>
      </right>
      <top/>
      <bottom style="thin">
        <color theme="0"/>
      </bottom>
      <diagonal/>
    </border>
    <border>
      <left/>
      <right style="medium">
        <color rgb="FFE8E6E6"/>
      </right>
      <top style="thin">
        <color rgb="FFE8E6E6"/>
      </top>
      <bottom style="medium">
        <color rgb="FFE9E6E6"/>
      </bottom>
      <diagonal/>
    </border>
    <border>
      <left style="thin">
        <color theme="0"/>
      </left>
      <right/>
      <top style="thin">
        <color theme="0"/>
      </top>
      <bottom style="medium">
        <color rgb="FFE9E6E6"/>
      </bottom>
      <diagonal/>
    </border>
    <border>
      <left style="medium">
        <color rgb="FFBFBFBF"/>
      </left>
      <right style="thin">
        <color rgb="FFE8E6E6"/>
      </right>
      <top style="thin">
        <color rgb="FFE8E6E6"/>
      </top>
      <bottom style="medium">
        <color rgb="FFBFBFBF"/>
      </bottom>
      <diagonal/>
    </border>
    <border>
      <left/>
      <right/>
      <top style="thin">
        <color rgb="FFE8E6E6"/>
      </top>
      <bottom style="medium">
        <color rgb="FFBFBFBF"/>
      </bottom>
      <diagonal/>
    </border>
    <border>
      <left/>
      <right style="medium">
        <color rgb="FFE8E6E6"/>
      </right>
      <top style="thin">
        <color rgb="FFE8E6E6"/>
      </top>
      <bottom style="medium">
        <color rgb="FFBFBFBF"/>
      </bottom>
      <diagonal/>
    </border>
    <border>
      <left/>
      <right style="medium">
        <color rgb="FFBFBFBF"/>
      </right>
      <top/>
      <bottom style="medium">
        <color rgb="FFBFBFBF"/>
      </bottom>
      <diagonal/>
    </border>
    <border>
      <left style="medium">
        <color rgb="FFBFBFBF"/>
      </left>
      <right style="thin">
        <color rgb="FFE8E6E6"/>
      </right>
      <top style="thin">
        <color rgb="FFE8E6E6"/>
      </top>
      <bottom style="medium">
        <color rgb="FFE9E6E6"/>
      </bottom>
      <diagonal/>
    </border>
    <border>
      <left/>
      <right/>
      <top style="thin">
        <color rgb="FFE8E6E6"/>
      </top>
      <bottom style="medium">
        <color rgb="FFE9E6E6"/>
      </bottom>
      <diagonal/>
    </border>
    <border>
      <left style="medium">
        <color rgb="FFBFBFBF"/>
      </left>
      <right style="thin">
        <color theme="0"/>
      </right>
      <top style="thin">
        <color theme="0"/>
      </top>
      <bottom style="medium">
        <color rgb="FFE9E6E6"/>
      </bottom>
      <diagonal/>
    </border>
    <border>
      <left/>
      <right style="medium">
        <color rgb="FFE8E6E6"/>
      </right>
      <top/>
      <bottom style="medium">
        <color rgb="FFE9E6E6"/>
      </bottom>
      <diagonal/>
    </border>
    <border>
      <left/>
      <right/>
      <top/>
      <bottom style="medium">
        <color rgb="FFBFBFBF"/>
      </bottom>
      <diagonal/>
    </border>
    <border>
      <left/>
      <right style="thin">
        <color rgb="FFE8E6E6"/>
      </right>
      <top style="medium">
        <color rgb="FFE8E6E6"/>
      </top>
      <bottom style="thin">
        <color rgb="FFE8E6E6"/>
      </bottom>
      <diagonal/>
    </border>
    <border>
      <left/>
      <right style="thin">
        <color rgb="FFE8E6E6"/>
      </right>
      <top style="thin">
        <color rgb="FFE8E6E6"/>
      </top>
      <bottom style="medium">
        <color rgb="FFE8E6E6"/>
      </bottom>
      <diagonal/>
    </border>
    <border>
      <left style="thin">
        <color rgb="FFE8E6E6"/>
      </left>
      <right/>
      <top style="medium">
        <color rgb="FFE8E6E6"/>
      </top>
      <bottom style="thin">
        <color rgb="FFE8E6E6"/>
      </bottom>
      <diagonal/>
    </border>
    <border>
      <left style="thin">
        <color rgb="FFE8E6E6"/>
      </left>
      <right/>
      <top style="thin">
        <color rgb="FFE8E6E6"/>
      </top>
      <bottom style="medium">
        <color rgb="FFE8E6E6"/>
      </bottom>
      <diagonal/>
    </border>
    <border>
      <left style="medium">
        <color rgb="FFBFBFBF"/>
      </left>
      <right/>
      <top style="medium">
        <color rgb="FFBFBFBF"/>
      </top>
      <bottom/>
      <diagonal/>
    </border>
    <border>
      <left/>
      <right style="medium">
        <color rgb="FFBFBFBF"/>
      </right>
      <top style="medium">
        <color rgb="FFBFBFBF"/>
      </top>
      <bottom/>
      <diagonal/>
    </border>
    <border>
      <left style="medium">
        <color rgb="FFBFBFBF"/>
      </left>
      <right/>
      <top/>
      <bottom style="medium">
        <color rgb="FFBFBFBF"/>
      </bottom>
      <diagonal/>
    </border>
    <border>
      <left/>
      <right style="thin">
        <color theme="1"/>
      </right>
      <top/>
      <bottom/>
      <diagonal/>
    </border>
    <border>
      <left/>
      <right/>
      <top style="medium">
        <color rgb="FFBFBFBF"/>
      </top>
      <bottom/>
      <diagonal/>
    </border>
    <border>
      <left/>
      <right/>
      <top/>
      <bottom style="medium">
        <color rgb="FFE9E6E6"/>
      </bottom>
      <diagonal/>
    </border>
    <border>
      <left/>
      <right/>
      <top/>
      <bottom style="thin">
        <color rgb="FFE9E6E6"/>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bottom style="thick">
        <color theme="0" tint="-0.14999847407452621"/>
      </bottom>
      <diagonal/>
    </border>
    <border>
      <left/>
      <right/>
      <top/>
      <bottom style="thick">
        <color theme="0" tint="-0.14999847407452621"/>
      </bottom>
      <diagonal/>
    </border>
    <border>
      <left/>
      <right style="thick">
        <color theme="0" tint="-0.14999847407452621"/>
      </right>
      <top style="thick">
        <color theme="0" tint="-0.14999847407452621"/>
      </top>
      <bottom/>
      <diagonal/>
    </border>
    <border>
      <left/>
      <right style="thin">
        <color theme="0" tint="-0.14999847407452621"/>
      </right>
      <top style="thick">
        <color theme="0" tint="-0.14999847407452621"/>
      </top>
      <bottom/>
      <diagonal/>
    </border>
    <border>
      <left style="thick">
        <color theme="0" tint="-0.14999847407452621"/>
      </left>
      <right style="thin">
        <color theme="0" tint="-0.14999847407452621"/>
      </right>
      <top/>
      <bottom style="thick">
        <color theme="0" tint="-0.14999847407452621"/>
      </bottom>
      <diagonal/>
    </border>
    <border>
      <left/>
      <right style="thick">
        <color theme="0" tint="-0.14999847407452621"/>
      </right>
      <top/>
      <bottom/>
      <diagonal/>
    </border>
    <border>
      <left/>
      <right style="thick">
        <color theme="0" tint="-0.14999847407452621"/>
      </right>
      <top/>
      <bottom style="thick">
        <color theme="0" tint="-0.14999847407452621"/>
      </bottom>
      <diagonal/>
    </border>
    <border>
      <left style="thick">
        <color theme="0" tint="-0.14999847407452621"/>
      </left>
      <right style="thin">
        <color theme="0" tint="-0.14999847407452621"/>
      </right>
      <top style="thick">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ck">
        <color theme="0" tint="-0.14999847407452621"/>
      </left>
      <right/>
      <top/>
      <bottom style="thick">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ck">
        <color theme="0" tint="-0.14999847407452621"/>
      </top>
      <bottom/>
      <diagonal/>
    </border>
    <border>
      <left style="thin">
        <color theme="0" tint="-0.14999847407452621"/>
      </left>
      <right/>
      <top/>
      <bottom/>
      <diagonal/>
    </border>
    <border>
      <left style="thin">
        <color rgb="FFB2BFBE"/>
      </left>
      <right style="thin">
        <color rgb="FFB2BFBE"/>
      </right>
      <top style="thin">
        <color rgb="FFB2BFBE"/>
      </top>
      <bottom style="thin">
        <color rgb="FFB2BFBE"/>
      </bottom>
      <diagonal/>
    </border>
    <border>
      <left style="thin">
        <color rgb="FFB2BFBE"/>
      </left>
      <right style="thin">
        <color rgb="FFB2BFBE"/>
      </right>
      <top/>
      <bottom style="thin">
        <color rgb="FFB2BFBE"/>
      </bottom>
      <diagonal/>
    </border>
    <border>
      <left/>
      <right style="medium">
        <color rgb="FFBFBFBF"/>
      </right>
      <top/>
      <bottom/>
      <diagonal/>
    </border>
    <border>
      <left style="thin">
        <color theme="0" tint="-4.9989318521683403E-2"/>
      </left>
      <right style="medium">
        <color theme="0" tint="-0.34998626667073579"/>
      </right>
      <top style="thin">
        <color theme="0" tint="-4.9989318521683403E-2"/>
      </top>
      <bottom/>
      <diagonal/>
    </border>
    <border>
      <left style="thin">
        <color theme="0" tint="-4.9989318521683403E-2"/>
      </left>
      <right style="medium">
        <color theme="0" tint="-0.34998626667073579"/>
      </right>
      <top/>
      <bottom style="medium">
        <color theme="0" tint="-0.34998626667073579"/>
      </bottom>
      <diagonal/>
    </border>
    <border>
      <left style="thick">
        <color theme="0"/>
      </left>
      <right/>
      <top style="thick">
        <color theme="0"/>
      </top>
      <bottom/>
      <diagonal/>
    </border>
    <border>
      <left/>
      <right/>
      <top style="thick">
        <color theme="0"/>
      </top>
      <bottom/>
      <diagonal/>
    </border>
    <border>
      <left style="thick">
        <color theme="0"/>
      </left>
      <right/>
      <top/>
      <bottom/>
      <diagonal/>
    </border>
    <border>
      <left/>
      <right style="medium">
        <color theme="9" tint="-0.249977111117893"/>
      </right>
      <top/>
      <bottom/>
      <diagonal/>
    </border>
    <border>
      <left/>
      <right/>
      <top/>
      <bottom style="medium">
        <color theme="9" tint="-0.249977111117893"/>
      </bottom>
      <diagonal/>
    </border>
    <border>
      <left/>
      <right style="medium">
        <color theme="9" tint="-0.249977111117893"/>
      </right>
      <top/>
      <bottom style="medium">
        <color theme="9" tint="-0.249977111117893"/>
      </bottom>
      <diagonal/>
    </border>
    <border>
      <left/>
      <right style="medium">
        <color theme="9" tint="-0.249977111117893"/>
      </right>
      <top style="thick">
        <color theme="0"/>
      </top>
      <bottom/>
      <diagonal/>
    </border>
    <border>
      <left style="thick">
        <color theme="0"/>
      </left>
      <right/>
      <top/>
      <bottom style="medium">
        <color theme="9" tint="-0.249977111117893"/>
      </bottom>
      <diagonal/>
    </border>
    <border>
      <left style="thin">
        <color rgb="FFB2BFBE"/>
      </left>
      <right/>
      <top style="thin">
        <color rgb="FFB2BFBE"/>
      </top>
      <bottom style="thin">
        <color rgb="FFB2BFBE"/>
      </bottom>
      <diagonal/>
    </border>
    <border>
      <left/>
      <right style="thin">
        <color rgb="FFB2BFBE"/>
      </right>
      <top style="thin">
        <color rgb="FFB2BFBE"/>
      </top>
      <bottom style="thin">
        <color rgb="FFB2BFBE"/>
      </bottom>
      <diagonal/>
    </border>
    <border>
      <left style="thin">
        <color rgb="FFB2BFBE"/>
      </left>
      <right style="thin">
        <color rgb="FFB2BFBE"/>
      </right>
      <top style="thin">
        <color rgb="FFB2BFBE"/>
      </top>
      <bottom/>
      <diagonal/>
    </border>
    <border>
      <left style="thick">
        <color rgb="FFCC8400"/>
      </left>
      <right/>
      <top style="thick">
        <color rgb="FFCC8400"/>
      </top>
      <bottom/>
      <diagonal/>
    </border>
    <border>
      <left/>
      <right/>
      <top style="thick">
        <color rgb="FFCC8400"/>
      </top>
      <bottom/>
      <diagonal/>
    </border>
    <border>
      <left/>
      <right style="thick">
        <color rgb="FFCC8400"/>
      </right>
      <top style="thick">
        <color rgb="FFCC8400"/>
      </top>
      <bottom/>
      <diagonal/>
    </border>
    <border>
      <left style="thick">
        <color rgb="FFCC8400"/>
      </left>
      <right/>
      <top/>
      <bottom/>
      <diagonal/>
    </border>
    <border>
      <left/>
      <right style="thick">
        <color rgb="FFCC8400"/>
      </right>
      <top/>
      <bottom/>
      <diagonal/>
    </border>
    <border>
      <left style="thick">
        <color rgb="FFCC8400"/>
      </left>
      <right/>
      <top/>
      <bottom style="thick">
        <color rgb="FFCC8400"/>
      </bottom>
      <diagonal/>
    </border>
    <border>
      <left/>
      <right/>
      <top/>
      <bottom style="thick">
        <color rgb="FFCC8400"/>
      </bottom>
      <diagonal/>
    </border>
    <border>
      <left/>
      <right style="thick">
        <color rgb="FFCC8400"/>
      </right>
      <top/>
      <bottom style="thick">
        <color rgb="FFCC8400"/>
      </bottom>
      <diagonal/>
    </border>
    <border>
      <left style="thick">
        <color rgb="FFCC8400"/>
      </left>
      <right style="thick">
        <color rgb="FFCC8400"/>
      </right>
      <top style="thick">
        <color rgb="FFCC8400"/>
      </top>
      <bottom/>
      <diagonal/>
    </border>
    <border>
      <left style="thick">
        <color rgb="FFCC8400"/>
      </left>
      <right style="thick">
        <color rgb="FFCC8400"/>
      </right>
      <top/>
      <bottom/>
      <diagonal/>
    </border>
    <border>
      <left style="thick">
        <color rgb="FFCC8400"/>
      </left>
      <right style="thick">
        <color rgb="FFCC8400"/>
      </right>
      <top/>
      <bottom style="thick">
        <color rgb="FFCC8400"/>
      </bottom>
      <diagonal/>
    </border>
    <border>
      <left style="medium">
        <color theme="0"/>
      </left>
      <right style="medium">
        <color rgb="FF2C4D73"/>
      </right>
      <top style="medium">
        <color theme="0"/>
      </top>
      <bottom style="medium">
        <color rgb="FF2C4D73"/>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medium">
        <color theme="0" tint="-0.34998626667073579"/>
      </right>
      <top style="thin">
        <color theme="0" tint="-4.9989318521683403E-2"/>
      </top>
      <bottom/>
      <diagonal/>
    </border>
    <border>
      <left style="thin">
        <color theme="0" tint="-4.9989318521683403E-2"/>
      </left>
      <right/>
      <top/>
      <bottom/>
      <diagonal/>
    </border>
    <border>
      <left/>
      <right style="medium">
        <color theme="0" tint="-0.34998626667073579"/>
      </right>
      <top/>
      <bottom/>
      <diagonal/>
    </border>
    <border>
      <left style="thin">
        <color theme="0" tint="-4.9989318521683403E-2"/>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s>
  <cellStyleXfs count="6">
    <xf numFmtId="0" fontId="0" fillId="0" borderId="0"/>
    <xf numFmtId="0" fontId="6" fillId="0" borderId="0"/>
    <xf numFmtId="0" fontId="11" fillId="0" borderId="0" applyNumberFormat="0" applyFill="0" applyBorder="0" applyAlignment="0" applyProtection="0"/>
    <xf numFmtId="0" fontId="18" fillId="0" borderId="0" applyNumberFormat="0" applyFill="0" applyBorder="0" applyAlignment="0" applyProtection="0"/>
    <xf numFmtId="0" fontId="2" fillId="0" borderId="0"/>
    <xf numFmtId="0" fontId="1" fillId="0" borderId="0"/>
  </cellStyleXfs>
  <cellXfs count="546">
    <xf numFmtId="0" fontId="0" fillId="0" borderId="0" xfId="0"/>
    <xf numFmtId="0" fontId="6" fillId="2" borderId="0" xfId="1" applyFill="1" applyProtection="1">
      <protection hidden="1"/>
    </xf>
    <xf numFmtId="0" fontId="6" fillId="2" borderId="0" xfId="1" applyFill="1" applyAlignment="1" applyProtection="1">
      <alignment vertical="top" wrapText="1"/>
      <protection hidden="1"/>
    </xf>
    <xf numFmtId="0" fontId="10" fillId="2" borderId="0" xfId="1" applyFont="1" applyFill="1" applyAlignment="1" applyProtection="1">
      <alignment vertical="top"/>
      <protection hidden="1"/>
    </xf>
    <xf numFmtId="0" fontId="6" fillId="2" borderId="0" xfId="1" applyFill="1" applyAlignment="1" applyProtection="1">
      <alignment vertical="top"/>
      <protection hidden="1"/>
    </xf>
    <xf numFmtId="0" fontId="6" fillId="2" borderId="0" xfId="1" applyFill="1" applyAlignment="1" applyProtection="1">
      <alignment vertical="center" wrapText="1"/>
      <protection hidden="1"/>
    </xf>
    <xf numFmtId="0" fontId="12" fillId="2" borderId="0" xfId="2" applyFont="1" applyFill="1" applyAlignment="1" applyProtection="1">
      <alignment vertical="center"/>
      <protection hidden="1"/>
    </xf>
    <xf numFmtId="0" fontId="6" fillId="2" borderId="0" xfId="1" applyFill="1" applyAlignment="1" applyProtection="1">
      <alignment vertical="center"/>
      <protection hidden="1"/>
    </xf>
    <xf numFmtId="0" fontId="12" fillId="2" borderId="0" xfId="2" applyFont="1" applyFill="1" applyProtection="1">
      <protection hidden="1"/>
    </xf>
    <xf numFmtId="0" fontId="6" fillId="0" borderId="0" xfId="1" applyProtection="1">
      <protection hidden="1"/>
    </xf>
    <xf numFmtId="0" fontId="13" fillId="12" borderId="34" xfId="0" applyFont="1" applyFill="1" applyBorder="1" applyAlignment="1" applyProtection="1">
      <alignment vertical="top"/>
      <protection hidden="1"/>
    </xf>
    <xf numFmtId="0" fontId="22" fillId="12" borderId="35" xfId="0" applyFont="1" applyFill="1" applyBorder="1" applyAlignment="1" applyProtection="1">
      <alignment vertical="top"/>
      <protection hidden="1"/>
    </xf>
    <xf numFmtId="0" fontId="13" fillId="12" borderId="35" xfId="0" applyFont="1" applyFill="1" applyBorder="1" applyAlignment="1" applyProtection="1">
      <alignment vertical="top"/>
      <protection hidden="1"/>
    </xf>
    <xf numFmtId="0" fontId="13" fillId="12" borderId="35" xfId="0" applyFont="1" applyFill="1" applyBorder="1" applyAlignment="1" applyProtection="1">
      <alignment horizontal="center" vertical="center"/>
      <protection hidden="1"/>
    </xf>
    <xf numFmtId="0" fontId="23" fillId="8" borderId="1" xfId="0" applyFont="1" applyFill="1" applyBorder="1" applyAlignment="1" applyProtection="1">
      <alignment horizontal="center" vertical="center"/>
      <protection hidden="1"/>
    </xf>
    <xf numFmtId="0" fontId="23" fillId="8" borderId="30" xfId="0" applyFont="1" applyFill="1" applyBorder="1" applyProtection="1">
      <protection hidden="1"/>
    </xf>
    <xf numFmtId="0" fontId="24" fillId="8" borderId="1" xfId="0" applyFont="1" applyFill="1" applyBorder="1" applyAlignment="1" applyProtection="1">
      <alignment horizontal="center"/>
      <protection hidden="1"/>
    </xf>
    <xf numFmtId="0" fontId="23" fillId="8" borderId="2" xfId="0" applyFont="1" applyFill="1" applyBorder="1" applyAlignment="1" applyProtection="1">
      <alignment horizontal="center"/>
      <protection hidden="1"/>
    </xf>
    <xf numFmtId="0" fontId="23" fillId="8" borderId="32" xfId="0" applyFont="1" applyFill="1" applyBorder="1" applyAlignment="1" applyProtection="1">
      <alignment horizontal="center"/>
      <protection hidden="1"/>
    </xf>
    <xf numFmtId="0" fontId="23" fillId="8" borderId="31" xfId="0" applyFont="1" applyFill="1" applyBorder="1" applyAlignment="1" applyProtection="1">
      <alignment horizontal="center"/>
      <protection hidden="1"/>
    </xf>
    <xf numFmtId="0" fontId="24" fillId="8" borderId="3" xfId="0" applyFont="1" applyFill="1" applyBorder="1" applyAlignment="1" applyProtection="1">
      <alignment horizontal="center"/>
      <protection hidden="1"/>
    </xf>
    <xf numFmtId="0" fontId="23" fillId="8" borderId="4" xfId="0" applyFont="1" applyFill="1" applyBorder="1" applyAlignment="1" applyProtection="1">
      <alignment horizontal="center"/>
      <protection hidden="1"/>
    </xf>
    <xf numFmtId="0" fontId="23" fillId="8" borderId="30" xfId="0" applyFont="1" applyFill="1" applyBorder="1" applyAlignment="1" applyProtection="1">
      <alignment horizontal="center"/>
      <protection hidden="1"/>
    </xf>
    <xf numFmtId="0" fontId="23" fillId="8" borderId="31" xfId="0" applyFont="1" applyFill="1" applyBorder="1" applyProtection="1">
      <protection hidden="1"/>
    </xf>
    <xf numFmtId="0" fontId="23" fillId="8" borderId="33" xfId="0" applyFont="1" applyFill="1" applyBorder="1" applyAlignment="1" applyProtection="1">
      <alignment horizontal="center"/>
      <protection hidden="1"/>
    </xf>
    <xf numFmtId="0" fontId="23" fillId="5" borderId="1" xfId="0" applyFont="1" applyFill="1" applyBorder="1" applyAlignment="1" applyProtection="1">
      <alignment horizontal="center" vertical="center"/>
      <protection hidden="1"/>
    </xf>
    <xf numFmtId="0" fontId="23" fillId="5" borderId="30" xfId="0" applyFont="1" applyFill="1" applyBorder="1" applyProtection="1">
      <protection hidden="1"/>
    </xf>
    <xf numFmtId="0" fontId="24" fillId="5" borderId="3" xfId="0" applyFont="1" applyFill="1" applyBorder="1" applyAlignment="1" applyProtection="1">
      <alignment horizontal="center"/>
      <protection hidden="1"/>
    </xf>
    <xf numFmtId="0" fontId="23" fillId="5" borderId="4" xfId="0" applyFont="1" applyFill="1" applyBorder="1" applyAlignment="1" applyProtection="1">
      <alignment horizontal="center"/>
      <protection hidden="1"/>
    </xf>
    <xf numFmtId="0" fontId="23" fillId="5" borderId="32" xfId="0" applyFont="1" applyFill="1" applyBorder="1" applyAlignment="1" applyProtection="1">
      <alignment horizontal="center"/>
      <protection hidden="1"/>
    </xf>
    <xf numFmtId="0" fontId="23" fillId="5" borderId="30" xfId="0" applyFont="1" applyFill="1" applyBorder="1" applyAlignment="1" applyProtection="1">
      <alignment horizontal="center"/>
      <protection hidden="1"/>
    </xf>
    <xf numFmtId="0" fontId="23" fillId="4" borderId="1" xfId="0" applyFont="1" applyFill="1" applyBorder="1" applyAlignment="1" applyProtection="1">
      <alignment horizontal="center" vertical="center"/>
      <protection hidden="1"/>
    </xf>
    <xf numFmtId="0" fontId="23" fillId="4" borderId="30" xfId="0" applyFont="1" applyFill="1" applyBorder="1" applyProtection="1">
      <protection hidden="1"/>
    </xf>
    <xf numFmtId="0" fontId="24" fillId="4" borderId="3" xfId="0" applyFont="1" applyFill="1" applyBorder="1" applyAlignment="1" applyProtection="1">
      <alignment horizontal="center"/>
      <protection hidden="1"/>
    </xf>
    <xf numFmtId="0" fontId="23" fillId="4" borderId="4" xfId="0" applyFont="1" applyFill="1" applyBorder="1" applyAlignment="1" applyProtection="1">
      <alignment horizontal="center"/>
      <protection hidden="1"/>
    </xf>
    <xf numFmtId="0" fontId="23" fillId="4" borderId="32" xfId="0" applyFont="1" applyFill="1" applyBorder="1" applyAlignment="1" applyProtection="1">
      <alignment horizontal="center"/>
      <protection hidden="1"/>
    </xf>
    <xf numFmtId="0" fontId="23" fillId="4" borderId="30" xfId="0" applyFont="1" applyFill="1" applyBorder="1" applyAlignment="1" applyProtection="1">
      <alignment horizontal="center"/>
      <protection hidden="1"/>
    </xf>
    <xf numFmtId="0" fontId="23" fillId="6" borderId="1" xfId="0" applyFont="1" applyFill="1" applyBorder="1" applyAlignment="1" applyProtection="1">
      <alignment horizontal="center" vertical="center"/>
      <protection hidden="1"/>
    </xf>
    <xf numFmtId="0" fontId="23" fillId="6" borderId="30" xfId="0" applyFont="1" applyFill="1" applyBorder="1" applyProtection="1">
      <protection hidden="1"/>
    </xf>
    <xf numFmtId="0" fontId="24" fillId="6" borderId="3" xfId="0" applyFont="1" applyFill="1" applyBorder="1" applyAlignment="1" applyProtection="1">
      <alignment horizontal="center"/>
      <protection hidden="1"/>
    </xf>
    <xf numFmtId="0" fontId="23" fillId="6" borderId="4" xfId="0" applyFont="1" applyFill="1" applyBorder="1" applyAlignment="1" applyProtection="1">
      <alignment horizontal="center"/>
      <protection hidden="1"/>
    </xf>
    <xf numFmtId="0" fontId="23" fillId="6" borderId="32" xfId="0" applyFont="1" applyFill="1" applyBorder="1" applyAlignment="1" applyProtection="1">
      <alignment horizontal="center"/>
      <protection hidden="1"/>
    </xf>
    <xf numFmtId="0" fontId="24" fillId="6" borderId="5" xfId="0" applyFont="1" applyFill="1" applyBorder="1" applyAlignment="1" applyProtection="1">
      <alignment horizontal="center"/>
      <protection hidden="1"/>
    </xf>
    <xf numFmtId="0" fontId="23" fillId="6" borderId="30" xfId="0" applyFont="1" applyFill="1" applyBorder="1" applyAlignment="1" applyProtection="1">
      <alignment horizontal="center"/>
      <protection hidden="1"/>
    </xf>
    <xf numFmtId="0" fontId="23" fillId="6" borderId="39" xfId="0" applyFont="1" applyFill="1" applyBorder="1" applyAlignment="1" applyProtection="1">
      <alignment horizontal="center" vertical="center"/>
      <protection hidden="1"/>
    </xf>
    <xf numFmtId="0" fontId="23" fillId="6" borderId="40" xfId="0" applyFont="1" applyFill="1" applyBorder="1" applyProtection="1">
      <protection hidden="1"/>
    </xf>
    <xf numFmtId="0" fontId="24" fillId="6" borderId="41" xfId="0" applyFont="1" applyFill="1" applyBorder="1" applyAlignment="1" applyProtection="1">
      <alignment horizontal="center"/>
      <protection hidden="1"/>
    </xf>
    <xf numFmtId="0" fontId="23" fillId="6" borderId="42" xfId="0" applyFont="1" applyFill="1" applyBorder="1" applyAlignment="1" applyProtection="1">
      <alignment horizontal="center"/>
      <protection hidden="1"/>
    </xf>
    <xf numFmtId="0" fontId="23" fillId="6" borderId="40" xfId="0" applyFont="1" applyFill="1" applyBorder="1" applyAlignment="1" applyProtection="1">
      <alignment horizontal="center"/>
      <protection hidden="1"/>
    </xf>
    <xf numFmtId="0" fontId="24" fillId="6" borderId="43" xfId="0" applyFont="1" applyFill="1" applyBorder="1" applyAlignment="1" applyProtection="1">
      <alignment horizontal="center"/>
      <protection hidden="1"/>
    </xf>
    <xf numFmtId="0" fontId="23" fillId="6" borderId="44" xfId="0" applyFont="1" applyFill="1" applyBorder="1" applyAlignment="1" applyProtection="1">
      <alignment horizontal="center"/>
      <protection hidden="1"/>
    </xf>
    <xf numFmtId="0" fontId="23" fillId="8" borderId="36" xfId="0" applyFont="1" applyFill="1" applyBorder="1" applyAlignment="1" applyProtection="1">
      <alignment horizontal="center" vertical="center"/>
      <protection hidden="1"/>
    </xf>
    <xf numFmtId="0" fontId="23" fillId="5" borderId="36" xfId="0" applyFont="1" applyFill="1" applyBorder="1" applyAlignment="1" applyProtection="1">
      <alignment horizontal="center" vertical="center"/>
      <protection hidden="1"/>
    </xf>
    <xf numFmtId="0" fontId="23" fillId="4" borderId="36" xfId="0" applyFont="1" applyFill="1" applyBorder="1" applyAlignment="1" applyProtection="1">
      <alignment horizontal="center" vertical="center"/>
      <protection hidden="1"/>
    </xf>
    <xf numFmtId="0" fontId="23" fillId="6" borderId="37" xfId="0" applyFont="1" applyFill="1" applyBorder="1" applyAlignment="1" applyProtection="1">
      <alignment horizontal="center" vertical="center"/>
      <protection hidden="1"/>
    </xf>
    <xf numFmtId="0" fontId="23" fillId="6" borderId="36" xfId="0" applyFont="1" applyFill="1" applyBorder="1" applyAlignment="1" applyProtection="1">
      <alignment horizontal="center" vertical="center"/>
      <protection hidden="1"/>
    </xf>
    <xf numFmtId="0" fontId="23" fillId="6" borderId="38" xfId="0" applyFont="1" applyFill="1" applyBorder="1" applyAlignment="1" applyProtection="1">
      <alignment horizontal="center" vertical="center"/>
      <protection hidden="1"/>
    </xf>
    <xf numFmtId="0" fontId="0" fillId="0" borderId="0" xfId="0" applyAlignment="1">
      <alignment horizontal="center" vertical="center"/>
    </xf>
    <xf numFmtId="0" fontId="0" fillId="3" borderId="0" xfId="0" applyFill="1"/>
    <xf numFmtId="0" fontId="0" fillId="3" borderId="0" xfId="0" applyFill="1" applyAlignment="1">
      <alignment horizontal="center" vertical="center"/>
    </xf>
    <xf numFmtId="0" fontId="32" fillId="3" borderId="0" xfId="0" applyFont="1" applyFill="1"/>
    <xf numFmtId="0" fontId="32" fillId="0" borderId="0" xfId="0" applyFont="1"/>
    <xf numFmtId="16" fontId="0" fillId="0" borderId="0" xfId="0" quotePrefix="1" applyNumberFormat="1"/>
    <xf numFmtId="0" fontId="33" fillId="0" borderId="0" xfId="0" applyFont="1"/>
    <xf numFmtId="0" fontId="0" fillId="0" borderId="0" xfId="0" quotePrefix="1"/>
    <xf numFmtId="17" fontId="0" fillId="0" borderId="0" xfId="0" quotePrefix="1" applyNumberFormat="1"/>
    <xf numFmtId="0" fontId="2" fillId="8" borderId="3" xfId="0" applyFont="1" applyFill="1" applyBorder="1" applyProtection="1">
      <protection hidden="1"/>
    </xf>
    <xf numFmtId="0" fontId="2" fillId="8" borderId="1" xfId="0" applyFont="1" applyFill="1" applyBorder="1" applyProtection="1">
      <protection hidden="1"/>
    </xf>
    <xf numFmtId="0" fontId="2" fillId="5" borderId="3" xfId="0" applyFont="1" applyFill="1" applyBorder="1" applyProtection="1">
      <protection hidden="1"/>
    </xf>
    <xf numFmtId="0" fontId="2" fillId="4" borderId="3" xfId="0" applyFont="1" applyFill="1" applyBorder="1" applyProtection="1">
      <protection hidden="1"/>
    </xf>
    <xf numFmtId="0" fontId="34" fillId="0" borderId="0" xfId="0" applyFont="1"/>
    <xf numFmtId="0" fontId="35" fillId="0" borderId="0" xfId="0" applyFont="1"/>
    <xf numFmtId="0" fontId="18" fillId="0" borderId="0" xfId="3"/>
    <xf numFmtId="0" fontId="2" fillId="0" borderId="0" xfId="4" applyProtection="1">
      <protection hidden="1"/>
    </xf>
    <xf numFmtId="0" fontId="24" fillId="0" borderId="0" xfId="4" applyFont="1" applyProtection="1">
      <protection hidden="1"/>
    </xf>
    <xf numFmtId="0" fontId="2" fillId="0" borderId="0" xfId="4" applyProtection="1">
      <protection locked="0" hidden="1"/>
    </xf>
    <xf numFmtId="0" fontId="30" fillId="12" borderId="35" xfId="0" applyFont="1" applyFill="1" applyBorder="1" applyAlignment="1" applyProtection="1">
      <alignment horizontal="center" vertical="center"/>
      <protection hidden="1"/>
    </xf>
    <xf numFmtId="0" fontId="4" fillId="3" borderId="0" xfId="0" applyFont="1" applyFill="1"/>
    <xf numFmtId="166" fontId="32" fillId="3" borderId="0" xfId="0" applyNumberFormat="1" applyFont="1" applyFill="1"/>
    <xf numFmtId="166" fontId="32" fillId="3" borderId="0" xfId="0" quotePrefix="1" applyNumberFormat="1" applyFont="1" applyFill="1"/>
    <xf numFmtId="0" fontId="16" fillId="3" borderId="0" xfId="0" applyFont="1" applyFill="1" applyAlignment="1">
      <alignment vertical="center"/>
    </xf>
    <xf numFmtId="0" fontId="42" fillId="3" borderId="0" xfId="0" applyFont="1" applyFill="1" applyAlignment="1">
      <alignment vertical="center"/>
    </xf>
    <xf numFmtId="0" fontId="6" fillId="0" borderId="70" xfId="0" applyFont="1" applyBorder="1" applyAlignment="1" applyProtection="1">
      <alignment horizontal="center" vertical="center"/>
      <protection locked="0" hidden="1"/>
    </xf>
    <xf numFmtId="0" fontId="6" fillId="0" borderId="83" xfId="0" applyFont="1" applyBorder="1" applyAlignment="1" applyProtection="1">
      <alignment horizontal="center" vertical="center"/>
      <protection locked="0" hidden="1"/>
    </xf>
    <xf numFmtId="0" fontId="6" fillId="0" borderId="57" xfId="0" applyFont="1" applyBorder="1" applyAlignment="1" applyProtection="1">
      <alignment horizontal="center" vertical="center"/>
      <protection locked="0" hidden="1"/>
    </xf>
    <xf numFmtId="0" fontId="6" fillId="0" borderId="84" xfId="0" applyFont="1" applyBorder="1" applyAlignment="1" applyProtection="1">
      <alignment horizontal="center" vertical="center"/>
      <protection locked="0" hidden="1"/>
    </xf>
    <xf numFmtId="0" fontId="6" fillId="0" borderId="60" xfId="0" applyFont="1" applyBorder="1" applyAlignment="1" applyProtection="1">
      <alignment horizontal="center" vertical="center"/>
      <protection locked="0" hidden="1"/>
    </xf>
    <xf numFmtId="0" fontId="6" fillId="0" borderId="85" xfId="0" applyFont="1" applyBorder="1" applyAlignment="1" applyProtection="1">
      <alignment horizontal="center" vertical="center"/>
      <protection locked="0" hidden="1"/>
    </xf>
    <xf numFmtId="0" fontId="6" fillId="13" borderId="27" xfId="0" applyFont="1" applyFill="1" applyBorder="1" applyAlignment="1" applyProtection="1">
      <alignment horizontal="center" vertical="center"/>
      <protection locked="0" hidden="1"/>
    </xf>
    <xf numFmtId="0" fontId="6" fillId="13" borderId="73" xfId="0" applyFont="1" applyFill="1" applyBorder="1" applyAlignment="1" applyProtection="1">
      <alignment horizontal="center" vertical="center"/>
      <protection locked="0" hidden="1"/>
    </xf>
    <xf numFmtId="0" fontId="6" fillId="13" borderId="7" xfId="0" applyFont="1" applyFill="1" applyBorder="1" applyAlignment="1" applyProtection="1">
      <alignment horizontal="center" vertical="center"/>
      <protection locked="0" hidden="1"/>
    </xf>
    <xf numFmtId="0" fontId="6" fillId="13" borderId="89" xfId="0" applyFont="1" applyFill="1" applyBorder="1" applyAlignment="1" applyProtection="1">
      <alignment horizontal="center" vertical="center"/>
      <protection locked="0" hidden="1"/>
    </xf>
    <xf numFmtId="0" fontId="6" fillId="13" borderId="25" xfId="0" applyFont="1" applyFill="1" applyBorder="1" applyAlignment="1" applyProtection="1">
      <alignment horizontal="center" vertical="center"/>
      <protection locked="0" hidden="1"/>
    </xf>
    <xf numFmtId="0" fontId="6" fillId="13" borderId="26" xfId="0" applyFont="1" applyFill="1" applyBorder="1" applyAlignment="1" applyProtection="1">
      <alignment horizontal="center" vertical="center"/>
      <protection locked="0" hidden="1"/>
    </xf>
    <xf numFmtId="0" fontId="6" fillId="13" borderId="56" xfId="0" applyFont="1" applyFill="1" applyBorder="1" applyAlignment="1" applyProtection="1">
      <alignment horizontal="center" vertical="center"/>
      <protection locked="0" hidden="1"/>
    </xf>
    <xf numFmtId="0" fontId="6" fillId="13" borderId="79" xfId="0" applyFont="1" applyFill="1" applyBorder="1" applyAlignment="1" applyProtection="1">
      <alignment horizontal="center" vertical="center"/>
      <protection locked="0" hidden="1"/>
    </xf>
    <xf numFmtId="0" fontId="6" fillId="13" borderId="54" xfId="0" applyFont="1" applyFill="1" applyBorder="1" applyAlignment="1" applyProtection="1">
      <alignment horizontal="center" vertical="center"/>
      <protection locked="0" hidden="1"/>
    </xf>
    <xf numFmtId="0" fontId="6" fillId="13" borderId="77" xfId="0" applyFont="1" applyFill="1" applyBorder="1" applyAlignment="1" applyProtection="1">
      <alignment horizontal="center" vertical="center"/>
      <protection locked="0" hidden="1"/>
    </xf>
    <xf numFmtId="0" fontId="14" fillId="0" borderId="0" xfId="0" applyFont="1" applyAlignment="1" applyProtection="1">
      <alignment horizontal="center" vertical="center"/>
      <protection locked="0" hidden="1"/>
    </xf>
    <xf numFmtId="0" fontId="0" fillId="0" borderId="48" xfId="0" applyBorder="1" applyAlignment="1" applyProtection="1">
      <alignment horizontal="center" vertical="center"/>
      <protection locked="0" hidden="1"/>
    </xf>
    <xf numFmtId="0" fontId="0" fillId="13" borderId="48" xfId="0" applyFill="1" applyBorder="1" applyAlignment="1" applyProtection="1">
      <alignment horizontal="center" vertical="center"/>
      <protection locked="0" hidden="1"/>
    </xf>
    <xf numFmtId="0" fontId="0" fillId="13" borderId="50" xfId="0" applyFill="1" applyBorder="1" applyAlignment="1" applyProtection="1">
      <alignment horizontal="center" vertical="center"/>
      <protection locked="0" hidden="1"/>
    </xf>
    <xf numFmtId="0" fontId="9" fillId="3" borderId="0" xfId="0" applyFont="1" applyFill="1" applyAlignment="1">
      <alignment vertical="center"/>
    </xf>
    <xf numFmtId="0" fontId="44" fillId="0" borderId="0" xfId="0" applyFont="1"/>
    <xf numFmtId="0" fontId="17" fillId="0" borderId="0" xfId="2" applyFont="1" applyFill="1" applyAlignment="1" applyProtection="1">
      <alignment vertical="center"/>
      <protection hidden="1"/>
    </xf>
    <xf numFmtId="0" fontId="3" fillId="12" borderId="24" xfId="0" applyFont="1" applyFill="1" applyBorder="1" applyAlignment="1" applyProtection="1">
      <alignment horizontal="center" vertical="center"/>
      <protection hidden="1"/>
    </xf>
    <xf numFmtId="0" fontId="3" fillId="12" borderId="24" xfId="0" applyFont="1" applyFill="1" applyBorder="1" applyAlignment="1" applyProtection="1">
      <alignment horizontal="right" vertical="center"/>
      <protection hidden="1"/>
    </xf>
    <xf numFmtId="165" fontId="6" fillId="0" borderId="59" xfId="0" applyNumberFormat="1" applyFont="1" applyBorder="1" applyAlignment="1" applyProtection="1">
      <alignment horizontal="center" vertical="center"/>
      <protection hidden="1"/>
    </xf>
    <xf numFmtId="164" fontId="6" fillId="0" borderId="69" xfId="0" applyNumberFormat="1" applyFont="1" applyBorder="1" applyAlignment="1" applyProtection="1">
      <alignment horizontal="center" vertical="center"/>
      <protection hidden="1"/>
    </xf>
    <xf numFmtId="0" fontId="12" fillId="0" borderId="59" xfId="0" applyFont="1" applyBorder="1" applyAlignment="1" applyProtection="1">
      <alignment horizontal="right" vertical="center"/>
      <protection hidden="1"/>
    </xf>
    <xf numFmtId="165" fontId="6" fillId="0" borderId="63" xfId="0" applyNumberFormat="1" applyFont="1" applyBorder="1" applyAlignment="1" applyProtection="1">
      <alignment horizontal="center" vertical="center"/>
      <protection hidden="1"/>
    </xf>
    <xf numFmtId="164" fontId="6" fillId="0" borderId="65" xfId="0" applyNumberFormat="1" applyFont="1" applyBorder="1" applyAlignment="1" applyProtection="1">
      <alignment horizontal="center" vertical="center"/>
      <protection hidden="1"/>
    </xf>
    <xf numFmtId="0" fontId="12" fillId="0" borderId="63" xfId="0" applyFont="1" applyBorder="1" applyAlignment="1" applyProtection="1">
      <alignment horizontal="right" vertical="center"/>
      <protection hidden="1"/>
    </xf>
    <xf numFmtId="165" fontId="6" fillId="0" borderId="62" xfId="0" applyNumberFormat="1" applyFont="1" applyBorder="1" applyAlignment="1" applyProtection="1">
      <alignment horizontal="center" vertical="center"/>
      <protection hidden="1"/>
    </xf>
    <xf numFmtId="164" fontId="6" fillId="0" borderId="64" xfId="0" applyNumberFormat="1" applyFont="1" applyBorder="1" applyAlignment="1" applyProtection="1">
      <alignment horizontal="center" vertical="center"/>
      <protection hidden="1"/>
    </xf>
    <xf numFmtId="0" fontId="12" fillId="0" borderId="62" xfId="0" applyFont="1" applyBorder="1" applyAlignment="1" applyProtection="1">
      <alignment horizontal="right" vertical="center"/>
      <protection hidden="1"/>
    </xf>
    <xf numFmtId="165" fontId="6" fillId="13" borderId="8" xfId="0" applyNumberFormat="1" applyFont="1" applyFill="1" applyBorder="1" applyAlignment="1" applyProtection="1">
      <alignment horizontal="center" vertical="center"/>
      <protection hidden="1"/>
    </xf>
    <xf numFmtId="164" fontId="6" fillId="13" borderId="27" xfId="0" applyNumberFormat="1" applyFont="1" applyFill="1" applyBorder="1" applyAlignment="1" applyProtection="1">
      <alignment horizontal="center" vertical="center"/>
      <protection hidden="1"/>
    </xf>
    <xf numFmtId="0" fontId="12" fillId="13" borderId="7" xfId="0" applyFont="1" applyFill="1" applyBorder="1" applyAlignment="1" applyProtection="1">
      <alignment horizontal="right" vertical="center"/>
      <protection hidden="1"/>
    </xf>
    <xf numFmtId="165" fontId="6" fillId="13" borderId="90" xfId="0" applyNumberFormat="1" applyFont="1" applyFill="1" applyBorder="1" applyAlignment="1" applyProtection="1">
      <alignment horizontal="center" vertical="center"/>
      <protection hidden="1"/>
    </xf>
    <xf numFmtId="164" fontId="6" fillId="13" borderId="56" xfId="0" applyNumberFormat="1" applyFont="1" applyFill="1" applyBorder="1" applyAlignment="1" applyProtection="1">
      <alignment horizontal="center" vertical="center"/>
      <protection hidden="1"/>
    </xf>
    <xf numFmtId="0" fontId="12" fillId="13" borderId="79" xfId="0" applyFont="1" applyFill="1" applyBorder="1" applyAlignment="1" applyProtection="1">
      <alignment horizontal="right" vertical="center"/>
      <protection hidden="1"/>
    </xf>
    <xf numFmtId="165" fontId="6" fillId="0" borderId="74" xfId="0" applyNumberFormat="1" applyFont="1" applyBorder="1" applyAlignment="1" applyProtection="1">
      <alignment horizontal="center" vertical="center"/>
      <protection hidden="1"/>
    </xf>
    <xf numFmtId="165" fontId="6" fillId="0" borderId="75" xfId="0" applyNumberFormat="1" applyFont="1" applyBorder="1" applyAlignment="1" applyProtection="1">
      <alignment horizontal="center" vertical="center"/>
      <protection hidden="1"/>
    </xf>
    <xf numFmtId="165" fontId="6" fillId="13" borderId="73" xfId="0" applyNumberFormat="1" applyFont="1" applyFill="1" applyBorder="1" applyAlignment="1" applyProtection="1">
      <alignment horizontal="center" vertical="center"/>
      <protection hidden="1"/>
    </xf>
    <xf numFmtId="165" fontId="6" fillId="13" borderId="7" xfId="0" applyNumberFormat="1" applyFont="1" applyFill="1" applyBorder="1" applyAlignment="1" applyProtection="1">
      <alignment horizontal="center" vertical="center"/>
      <protection hidden="1"/>
    </xf>
    <xf numFmtId="165" fontId="6" fillId="13" borderId="77" xfId="0" applyNumberFormat="1" applyFont="1" applyFill="1" applyBorder="1" applyAlignment="1" applyProtection="1">
      <alignment horizontal="center" vertical="center"/>
      <protection hidden="1"/>
    </xf>
    <xf numFmtId="164" fontId="6" fillId="13" borderId="54" xfId="0" applyNumberFormat="1" applyFont="1" applyFill="1" applyBorder="1" applyAlignment="1" applyProtection="1">
      <alignment horizontal="center" vertical="center"/>
      <protection hidden="1"/>
    </xf>
    <xf numFmtId="0" fontId="12" fillId="13" borderId="77" xfId="0" applyFont="1" applyFill="1" applyBorder="1" applyAlignment="1" applyProtection="1">
      <alignment horizontal="right" vertical="center"/>
      <protection hidden="1"/>
    </xf>
    <xf numFmtId="0" fontId="26" fillId="0" borderId="0" xfId="0" applyFont="1" applyAlignment="1" applyProtection="1">
      <alignment horizontal="left" vertical="center"/>
      <protection hidden="1"/>
    </xf>
    <xf numFmtId="14" fontId="6" fillId="0" borderId="0" xfId="0" applyNumberFormat="1" applyFont="1" applyAlignment="1" applyProtection="1">
      <alignment horizontal="center"/>
      <protection hidden="1"/>
    </xf>
    <xf numFmtId="0" fontId="6" fillId="0" borderId="0" xfId="0" applyFont="1" applyAlignment="1" applyProtection="1">
      <alignment horizontal="center"/>
      <protection hidden="1"/>
    </xf>
    <xf numFmtId="0" fontId="12" fillId="0" borderId="61" xfId="0" applyFont="1" applyBorder="1" applyAlignment="1" applyProtection="1">
      <alignment vertical="center"/>
      <protection hidden="1"/>
    </xf>
    <xf numFmtId="0" fontId="12" fillId="13" borderId="52" xfId="0" applyFont="1" applyFill="1" applyBorder="1" applyAlignment="1" applyProtection="1">
      <alignment vertical="center"/>
      <protection hidden="1"/>
    </xf>
    <xf numFmtId="0" fontId="2" fillId="17" borderId="0" xfId="4" applyFill="1" applyProtection="1">
      <protection hidden="1"/>
    </xf>
    <xf numFmtId="0" fontId="36" fillId="17" borderId="0" xfId="4" applyFont="1" applyFill="1" applyProtection="1">
      <protection hidden="1"/>
    </xf>
    <xf numFmtId="0" fontId="37" fillId="17" borderId="0" xfId="4" applyFont="1" applyFill="1" applyAlignment="1" applyProtection="1">
      <alignment vertical="center"/>
      <protection hidden="1"/>
    </xf>
    <xf numFmtId="0" fontId="36" fillId="17" borderId="0" xfId="4" applyFont="1" applyFill="1" applyAlignment="1" applyProtection="1">
      <alignment horizontal="right"/>
      <protection hidden="1"/>
    </xf>
    <xf numFmtId="0" fontId="37" fillId="3" borderId="0" xfId="4" applyFont="1" applyFill="1" applyAlignment="1" applyProtection="1">
      <alignment horizontal="center" vertical="center"/>
      <protection hidden="1"/>
    </xf>
    <xf numFmtId="0" fontId="24" fillId="0" borderId="0" xfId="4" applyFont="1" applyAlignment="1" applyProtection="1">
      <alignment vertical="center"/>
      <protection hidden="1"/>
    </xf>
    <xf numFmtId="0" fontId="14" fillId="0" borderId="0" xfId="0" applyFont="1"/>
    <xf numFmtId="0" fontId="1" fillId="2" borderId="0" xfId="1" applyFont="1" applyFill="1" applyAlignment="1" applyProtection="1">
      <alignment horizontal="right"/>
      <protection hidden="1"/>
    </xf>
    <xf numFmtId="0" fontId="20" fillId="2" borderId="0" xfId="1" applyFont="1" applyFill="1" applyAlignment="1" applyProtection="1">
      <alignment horizontal="right" vertical="top"/>
      <protection hidden="1"/>
    </xf>
    <xf numFmtId="14" fontId="6" fillId="2" borderId="0" xfId="1" applyNumberFormat="1" applyFill="1" applyAlignment="1" applyProtection="1">
      <alignment horizontal="left" vertical="top"/>
      <protection hidden="1"/>
    </xf>
    <xf numFmtId="0" fontId="10" fillId="25" borderId="0" xfId="4" applyFont="1" applyFill="1" applyAlignment="1" applyProtection="1">
      <alignment vertical="center"/>
      <protection hidden="1"/>
    </xf>
    <xf numFmtId="0" fontId="3" fillId="12" borderId="102" xfId="0" applyFont="1" applyFill="1" applyBorder="1" applyAlignment="1" applyProtection="1">
      <alignment horizontal="left" vertical="center"/>
      <protection hidden="1"/>
    </xf>
    <xf numFmtId="0" fontId="3" fillId="12" borderId="103" xfId="0" applyFont="1" applyFill="1" applyBorder="1" applyAlignment="1" applyProtection="1">
      <alignment horizontal="left" vertical="center"/>
      <protection hidden="1"/>
    </xf>
    <xf numFmtId="0" fontId="0" fillId="0" borderId="0" xfId="0" applyProtection="1">
      <protection hidden="1"/>
    </xf>
    <xf numFmtId="0" fontId="3" fillId="14" borderId="0" xfId="0" applyFont="1" applyFill="1" applyProtection="1">
      <protection hidden="1"/>
    </xf>
    <xf numFmtId="0" fontId="0" fillId="6" borderId="0" xfId="0" applyFill="1" applyProtection="1">
      <protection hidden="1"/>
    </xf>
    <xf numFmtId="0" fontId="12" fillId="16" borderId="100" xfId="0" applyFont="1" applyFill="1" applyBorder="1" applyAlignment="1" applyProtection="1">
      <alignment horizontal="left" vertical="center"/>
      <protection hidden="1"/>
    </xf>
    <xf numFmtId="0" fontId="12" fillId="19" borderId="100" xfId="0" applyFont="1" applyFill="1" applyBorder="1" applyAlignment="1" applyProtection="1">
      <alignment horizontal="left" vertical="center"/>
      <protection hidden="1"/>
    </xf>
    <xf numFmtId="0" fontId="0" fillId="3" borderId="0" xfId="0" applyFill="1" applyProtection="1">
      <protection hidden="1"/>
    </xf>
    <xf numFmtId="0" fontId="12" fillId="20" borderId="91" xfId="0" applyFont="1" applyFill="1" applyBorder="1" applyAlignment="1" applyProtection="1">
      <alignment horizontal="left" vertical="center"/>
      <protection hidden="1"/>
    </xf>
    <xf numFmtId="0" fontId="12" fillId="20" borderId="95" xfId="0" applyFont="1" applyFill="1" applyBorder="1" applyAlignment="1" applyProtection="1">
      <alignment horizontal="left" vertical="center"/>
      <protection hidden="1"/>
    </xf>
    <xf numFmtId="0" fontId="12" fillId="21" borderId="91" xfId="0" applyFont="1" applyFill="1" applyBorder="1" applyAlignment="1" applyProtection="1">
      <alignment horizontal="left" vertical="center"/>
      <protection hidden="1"/>
    </xf>
    <xf numFmtId="0" fontId="12" fillId="21" borderId="93" xfId="0" applyFont="1" applyFill="1" applyBorder="1" applyAlignment="1" applyProtection="1">
      <alignment horizontal="left" vertical="center"/>
      <protection hidden="1"/>
    </xf>
    <xf numFmtId="0" fontId="12" fillId="21" borderId="95" xfId="0" applyFont="1" applyFill="1" applyBorder="1" applyAlignment="1" applyProtection="1">
      <alignment horizontal="left" vertical="center"/>
      <protection hidden="1"/>
    </xf>
    <xf numFmtId="0" fontId="12" fillId="22" borderId="91" xfId="0" applyFont="1" applyFill="1" applyBorder="1" applyAlignment="1" applyProtection="1">
      <alignment horizontal="left" vertical="center"/>
      <protection hidden="1"/>
    </xf>
    <xf numFmtId="0" fontId="12" fillId="22" borderId="93" xfId="0" applyFont="1" applyFill="1" applyBorder="1" applyAlignment="1" applyProtection="1">
      <alignment horizontal="left" vertical="center"/>
      <protection hidden="1"/>
    </xf>
    <xf numFmtId="0" fontId="12" fillId="22" borderId="95" xfId="0" applyFont="1" applyFill="1" applyBorder="1" applyAlignment="1" applyProtection="1">
      <alignment horizontal="left" vertical="center"/>
      <protection hidden="1"/>
    </xf>
    <xf numFmtId="0" fontId="12" fillId="23" borderId="91" xfId="0" applyFont="1" applyFill="1" applyBorder="1" applyAlignment="1" applyProtection="1">
      <alignment horizontal="left" vertical="center"/>
      <protection hidden="1"/>
    </xf>
    <xf numFmtId="0" fontId="12" fillId="23" borderId="93" xfId="0" applyFont="1" applyFill="1" applyBorder="1" applyAlignment="1" applyProtection="1">
      <alignment horizontal="left" vertical="center"/>
      <protection hidden="1"/>
    </xf>
    <xf numFmtId="0" fontId="12" fillId="23" borderId="95" xfId="0" applyFont="1" applyFill="1" applyBorder="1" applyAlignment="1" applyProtection="1">
      <alignment horizontal="left" vertical="center"/>
      <protection hidden="1"/>
    </xf>
    <xf numFmtId="0" fontId="12" fillId="6" borderId="91" xfId="0" applyFont="1" applyFill="1" applyBorder="1" applyAlignment="1" applyProtection="1">
      <alignment horizontal="left" vertical="center"/>
      <protection hidden="1"/>
    </xf>
    <xf numFmtId="0" fontId="12" fillId="6" borderId="93" xfId="0" applyFont="1" applyFill="1" applyBorder="1" applyAlignment="1" applyProtection="1">
      <alignment horizontal="left" vertical="center"/>
      <protection hidden="1"/>
    </xf>
    <xf numFmtId="0" fontId="12" fillId="6" borderId="95" xfId="0" applyFont="1" applyFill="1" applyBorder="1" applyAlignment="1" applyProtection="1">
      <alignment horizontal="left" vertical="center"/>
      <protection hidden="1"/>
    </xf>
    <xf numFmtId="0" fontId="12" fillId="16" borderId="101" xfId="0" applyFont="1" applyFill="1" applyBorder="1" applyAlignment="1" applyProtection="1">
      <alignment horizontal="left" vertical="center"/>
      <protection locked="0" hidden="1"/>
    </xf>
    <xf numFmtId="0" fontId="12" fillId="19" borderId="101" xfId="0" applyFont="1" applyFill="1" applyBorder="1" applyAlignment="1" applyProtection="1">
      <alignment horizontal="left" vertical="center"/>
      <protection locked="0" hidden="1"/>
    </xf>
    <xf numFmtId="0" fontId="12" fillId="20" borderId="92" xfId="0" applyFont="1" applyFill="1" applyBorder="1" applyAlignment="1" applyProtection="1">
      <alignment horizontal="left" vertical="center"/>
      <protection locked="0" hidden="1"/>
    </xf>
    <xf numFmtId="0" fontId="12" fillId="20" borderId="96" xfId="0" applyFont="1" applyFill="1" applyBorder="1" applyAlignment="1" applyProtection="1">
      <alignment horizontal="left" vertical="center"/>
      <protection locked="0" hidden="1"/>
    </xf>
    <xf numFmtId="0" fontId="12" fillId="21" borderId="92" xfId="0" applyFont="1" applyFill="1" applyBorder="1" applyAlignment="1" applyProtection="1">
      <alignment horizontal="left" vertical="center"/>
      <protection locked="0" hidden="1"/>
    </xf>
    <xf numFmtId="0" fontId="12" fillId="21" borderId="94" xfId="0" applyFont="1" applyFill="1" applyBorder="1" applyAlignment="1" applyProtection="1">
      <alignment horizontal="left" vertical="center"/>
      <protection locked="0" hidden="1"/>
    </xf>
    <xf numFmtId="0" fontId="12" fillId="21" borderId="96" xfId="0" applyFont="1" applyFill="1" applyBorder="1" applyAlignment="1" applyProtection="1">
      <alignment horizontal="left" vertical="center"/>
      <protection locked="0" hidden="1"/>
    </xf>
    <xf numFmtId="0" fontId="12" fillId="22" borderId="92" xfId="0" applyFont="1" applyFill="1" applyBorder="1" applyAlignment="1" applyProtection="1">
      <alignment horizontal="left" vertical="center"/>
      <protection locked="0" hidden="1"/>
    </xf>
    <xf numFmtId="0" fontId="12" fillId="22" borderId="94" xfId="0" applyFont="1" applyFill="1" applyBorder="1" applyAlignment="1" applyProtection="1">
      <alignment horizontal="left" vertical="center"/>
      <protection locked="0" hidden="1"/>
    </xf>
    <xf numFmtId="0" fontId="12" fillId="22" borderId="96" xfId="0" applyFont="1" applyFill="1" applyBorder="1" applyAlignment="1" applyProtection="1">
      <alignment horizontal="left" vertical="center"/>
      <protection locked="0" hidden="1"/>
    </xf>
    <xf numFmtId="0" fontId="12" fillId="23" borderId="92" xfId="0" applyFont="1" applyFill="1" applyBorder="1" applyAlignment="1" applyProtection="1">
      <alignment horizontal="left" vertical="center"/>
      <protection locked="0" hidden="1"/>
    </xf>
    <xf numFmtId="0" fontId="12" fillId="23" borderId="94" xfId="0" applyFont="1" applyFill="1" applyBorder="1" applyAlignment="1" applyProtection="1">
      <alignment horizontal="left" vertical="center"/>
      <protection locked="0" hidden="1"/>
    </xf>
    <xf numFmtId="0" fontId="12" fillId="23" borderId="96" xfId="0" applyFont="1" applyFill="1" applyBorder="1" applyAlignment="1" applyProtection="1">
      <alignment horizontal="left" vertical="center"/>
      <protection locked="0" hidden="1"/>
    </xf>
    <xf numFmtId="0" fontId="12" fillId="6" borderId="92" xfId="0" applyFont="1" applyFill="1" applyBorder="1" applyAlignment="1" applyProtection="1">
      <alignment horizontal="left" vertical="center"/>
      <protection locked="0" hidden="1"/>
    </xf>
    <xf numFmtId="0" fontId="12" fillId="6" borderId="94" xfId="0" applyFont="1" applyFill="1" applyBorder="1" applyAlignment="1" applyProtection="1">
      <alignment horizontal="left" vertical="center"/>
      <protection locked="0" hidden="1"/>
    </xf>
    <xf numFmtId="0" fontId="12" fillId="6" borderId="96" xfId="0" applyFont="1" applyFill="1" applyBorder="1" applyAlignment="1" applyProtection="1">
      <alignment horizontal="left" vertical="center"/>
      <protection locked="0" hidden="1"/>
    </xf>
    <xf numFmtId="0" fontId="3" fillId="12" borderId="23" xfId="0" applyFont="1" applyFill="1" applyBorder="1" applyAlignment="1" applyProtection="1">
      <alignment horizontal="center" vertical="center"/>
      <protection hidden="1"/>
    </xf>
    <xf numFmtId="0" fontId="21" fillId="12" borderId="24" xfId="0" applyFont="1" applyFill="1" applyBorder="1" applyAlignment="1" applyProtection="1">
      <alignment horizontal="center" vertical="center"/>
      <protection hidden="1"/>
    </xf>
    <xf numFmtId="0" fontId="31" fillId="12" borderId="0" xfId="0" applyFont="1" applyFill="1" applyAlignment="1" applyProtection="1">
      <alignment horizontal="center" vertical="center"/>
      <protection hidden="1"/>
    </xf>
    <xf numFmtId="0" fontId="21" fillId="12" borderId="0" xfId="0" applyFont="1" applyFill="1" applyAlignment="1" applyProtection="1">
      <alignment horizontal="center" vertical="center"/>
      <protection hidden="1"/>
    </xf>
    <xf numFmtId="0" fontId="3" fillId="12" borderId="24" xfId="0" applyFont="1" applyFill="1" applyBorder="1" applyAlignment="1" applyProtection="1">
      <alignment horizontal="left" vertical="center"/>
      <protection hidden="1"/>
    </xf>
    <xf numFmtId="0" fontId="12" fillId="0" borderId="0" xfId="0" applyFont="1" applyAlignment="1" applyProtection="1">
      <alignment vertical="center"/>
      <protection hidden="1"/>
    </xf>
    <xf numFmtId="0" fontId="3" fillId="0" borderId="0" xfId="0" applyFont="1" applyAlignment="1" applyProtection="1">
      <alignment horizontal="left" vertical="center"/>
      <protection hidden="1"/>
    </xf>
    <xf numFmtId="0" fontId="29" fillId="0" borderId="0" xfId="0" applyFont="1" applyAlignment="1" applyProtection="1">
      <alignment horizontal="left" vertical="center"/>
      <protection hidden="1"/>
    </xf>
    <xf numFmtId="0" fontId="36" fillId="0" borderId="0" xfId="0" applyFont="1" applyAlignment="1" applyProtection="1">
      <alignment vertical="center"/>
      <protection hidden="1"/>
    </xf>
    <xf numFmtId="0" fontId="3" fillId="12" borderId="45" xfId="0" applyFont="1" applyFill="1" applyBorder="1" applyAlignment="1" applyProtection="1">
      <alignment horizontal="left" vertical="center"/>
      <protection hidden="1"/>
    </xf>
    <xf numFmtId="0" fontId="3" fillId="12" borderId="46" xfId="0" applyFont="1" applyFill="1" applyBorder="1" applyAlignment="1" applyProtection="1">
      <alignment horizontal="center" vertical="center"/>
      <protection hidden="1"/>
    </xf>
    <xf numFmtId="0" fontId="10" fillId="0" borderId="0" xfId="0" applyFont="1" applyAlignment="1" applyProtection="1">
      <alignment vertical="top"/>
      <protection hidden="1"/>
    </xf>
    <xf numFmtId="0" fontId="6" fillId="0" borderId="68" xfId="0" applyFont="1" applyBorder="1" applyAlignment="1" applyProtection="1">
      <alignment horizontal="center" vertical="center"/>
      <protection hidden="1"/>
    </xf>
    <xf numFmtId="0" fontId="12" fillId="0" borderId="70" xfId="0" applyFont="1" applyBorder="1" applyAlignment="1" applyProtection="1">
      <alignment horizontal="center" vertical="center"/>
      <protection hidden="1"/>
    </xf>
    <xf numFmtId="0" fontId="12" fillId="0" borderId="83" xfId="0" applyFont="1" applyBorder="1" applyAlignment="1" applyProtection="1">
      <alignment horizontal="center" vertical="center"/>
      <protection hidden="1"/>
    </xf>
    <xf numFmtId="0" fontId="6" fillId="0" borderId="86" xfId="0" applyFont="1" applyBorder="1" applyAlignment="1" applyProtection="1">
      <alignment horizontal="center" vertical="center"/>
      <protection hidden="1"/>
    </xf>
    <xf numFmtId="0" fontId="12" fillId="0" borderId="59" xfId="0" applyFont="1" applyBorder="1" applyAlignment="1" applyProtection="1">
      <alignment horizontal="center" vertical="center"/>
      <protection hidden="1"/>
    </xf>
    <xf numFmtId="0" fontId="12" fillId="0" borderId="71" xfId="0" applyFont="1" applyBorder="1" applyAlignment="1" applyProtection="1">
      <alignment vertical="center"/>
      <protection hidden="1"/>
    </xf>
    <xf numFmtId="0" fontId="28" fillId="0" borderId="0" xfId="0" applyFont="1" applyAlignment="1" applyProtection="1">
      <alignment vertical="center"/>
      <protection hidden="1"/>
    </xf>
    <xf numFmtId="0" fontId="5" fillId="0" borderId="0" xfId="0" applyFont="1" applyProtection="1">
      <protection hidden="1"/>
    </xf>
    <xf numFmtId="0" fontId="0" fillId="0" borderId="47" xfId="0" applyBorder="1" applyAlignment="1" applyProtection="1">
      <alignment horizontal="left" vertical="center"/>
      <protection hidden="1"/>
    </xf>
    <xf numFmtId="0" fontId="6" fillId="0" borderId="0" xfId="0" applyFont="1" applyAlignment="1" applyProtection="1">
      <alignment horizontal="left"/>
      <protection hidden="1"/>
    </xf>
    <xf numFmtId="0" fontId="6" fillId="0" borderId="0" xfId="0" applyFont="1" applyProtection="1">
      <protection hidden="1"/>
    </xf>
    <xf numFmtId="0" fontId="6" fillId="0" borderId="67" xfId="0" applyFont="1" applyBorder="1" applyAlignment="1" applyProtection="1">
      <alignment horizontal="center" vertical="center"/>
      <protection hidden="1"/>
    </xf>
    <xf numFmtId="0" fontId="12" fillId="0" borderId="57" xfId="0" applyFont="1" applyBorder="1" applyAlignment="1" applyProtection="1">
      <alignment horizontal="center" vertical="center"/>
      <protection hidden="1"/>
    </xf>
    <xf numFmtId="0" fontId="12" fillId="0" borderId="84" xfId="0" applyFont="1" applyBorder="1" applyAlignment="1" applyProtection="1">
      <alignment horizontal="center" vertical="center"/>
      <protection hidden="1"/>
    </xf>
    <xf numFmtId="0" fontId="6" fillId="0" borderId="87" xfId="0" applyFont="1" applyBorder="1" applyAlignment="1" applyProtection="1">
      <alignment horizontal="center" vertical="center"/>
      <protection hidden="1"/>
    </xf>
    <xf numFmtId="0" fontId="12" fillId="0" borderId="63" xfId="0" applyFont="1" applyBorder="1" applyAlignment="1" applyProtection="1">
      <alignment horizontal="center" vertical="center"/>
      <protection hidden="1"/>
    </xf>
    <xf numFmtId="0" fontId="12" fillId="0" borderId="58" xfId="0" applyFont="1" applyBorder="1" applyAlignment="1" applyProtection="1">
      <alignment vertical="center"/>
      <protection hidden="1"/>
    </xf>
    <xf numFmtId="0" fontId="0" fillId="13" borderId="47" xfId="0" applyFill="1" applyBorder="1" applyAlignment="1" applyProtection="1">
      <alignment horizontal="left" vertical="center"/>
      <protection hidden="1"/>
    </xf>
    <xf numFmtId="0" fontId="6" fillId="0" borderId="66" xfId="0" applyFont="1" applyBorder="1" applyAlignment="1" applyProtection="1">
      <alignment horizontal="center" vertical="center"/>
      <protection hidden="1"/>
    </xf>
    <xf numFmtId="0" fontId="12" fillId="0" borderId="60" xfId="0" applyFont="1" applyBorder="1" applyAlignment="1" applyProtection="1">
      <alignment horizontal="center" vertical="center"/>
      <protection hidden="1"/>
    </xf>
    <xf numFmtId="0" fontId="12" fillId="0" borderId="85" xfId="0" applyFont="1" applyBorder="1" applyAlignment="1" applyProtection="1">
      <alignment horizontal="center" vertical="center"/>
      <protection hidden="1"/>
    </xf>
    <xf numFmtId="0" fontId="6" fillId="0" borderId="88" xfId="0" applyFont="1" applyBorder="1" applyAlignment="1" applyProtection="1">
      <alignment horizontal="center" vertical="center"/>
      <protection hidden="1"/>
    </xf>
    <xf numFmtId="0" fontId="12" fillId="0" borderId="62" xfId="0" applyFont="1" applyBorder="1" applyAlignment="1" applyProtection="1">
      <alignment horizontal="center" vertical="center"/>
      <protection hidden="1"/>
    </xf>
    <xf numFmtId="0" fontId="25" fillId="0" borderId="0" xfId="0" applyFont="1" applyAlignment="1" applyProtection="1">
      <alignment vertical="center"/>
      <protection hidden="1"/>
    </xf>
    <xf numFmtId="0" fontId="27" fillId="0" borderId="0" xfId="0" applyFont="1" applyAlignment="1" applyProtection="1">
      <alignment vertical="center"/>
      <protection hidden="1"/>
    </xf>
    <xf numFmtId="0" fontId="10" fillId="0" borderId="0" xfId="0" applyFont="1" applyAlignment="1" applyProtection="1">
      <alignment horizontal="left"/>
      <protection hidden="1"/>
    </xf>
    <xf numFmtId="0" fontId="6" fillId="13" borderId="72" xfId="0" applyFont="1" applyFill="1" applyBorder="1" applyAlignment="1" applyProtection="1">
      <alignment horizontal="center" vertical="center"/>
      <protection hidden="1"/>
    </xf>
    <xf numFmtId="0" fontId="12" fillId="13" borderId="27" xfId="0" applyFont="1" applyFill="1" applyBorder="1" applyAlignment="1" applyProtection="1">
      <alignment horizontal="center" vertical="center"/>
      <protection hidden="1"/>
    </xf>
    <xf numFmtId="0" fontId="12" fillId="13" borderId="73" xfId="0" applyFont="1" applyFill="1" applyBorder="1" applyAlignment="1" applyProtection="1">
      <alignment horizontal="center" vertical="center"/>
      <protection hidden="1"/>
    </xf>
    <xf numFmtId="0" fontId="6" fillId="13" borderId="8" xfId="0" applyFont="1" applyFill="1" applyBorder="1" applyAlignment="1" applyProtection="1">
      <alignment horizontal="center" vertical="center"/>
      <protection hidden="1"/>
    </xf>
    <xf numFmtId="0" fontId="12" fillId="13" borderId="7" xfId="0" applyFont="1" applyFill="1" applyBorder="1" applyAlignment="1" applyProtection="1">
      <alignment horizontal="center" vertical="center"/>
      <protection hidden="1"/>
    </xf>
    <xf numFmtId="0" fontId="16" fillId="12" borderId="76" xfId="3" applyFont="1" applyFill="1" applyBorder="1" applyAlignment="1" applyProtection="1">
      <alignment horizontal="center" vertical="center"/>
      <protection hidden="1"/>
    </xf>
    <xf numFmtId="0" fontId="6" fillId="13" borderId="51" xfId="0" applyFont="1" applyFill="1" applyBorder="1" applyAlignment="1" applyProtection="1">
      <alignment horizontal="center" vertical="center"/>
      <protection hidden="1"/>
    </xf>
    <xf numFmtId="0" fontId="2" fillId="0" borderId="0" xfId="0" applyFont="1" applyAlignment="1" applyProtection="1">
      <alignment horizontal="left"/>
      <protection hidden="1"/>
    </xf>
    <xf numFmtId="0" fontId="6" fillId="13" borderId="78" xfId="0" applyFont="1" applyFill="1" applyBorder="1" applyAlignment="1" applyProtection="1">
      <alignment horizontal="center" vertical="center"/>
      <protection hidden="1"/>
    </xf>
    <xf numFmtId="0" fontId="12" fillId="13" borderId="89" xfId="0" applyFont="1" applyFill="1" applyBorder="1" applyAlignment="1" applyProtection="1">
      <alignment horizontal="center" vertical="center"/>
      <protection hidden="1"/>
    </xf>
    <xf numFmtId="0" fontId="0" fillId="13" borderId="49" xfId="0" applyFill="1" applyBorder="1" applyAlignment="1" applyProtection="1">
      <alignment horizontal="left" vertical="center"/>
      <protection hidden="1"/>
    </xf>
    <xf numFmtId="0" fontId="2" fillId="0" borderId="0" xfId="0" applyFont="1" applyAlignment="1" applyProtection="1">
      <alignment horizontal="left" wrapText="1"/>
      <protection hidden="1"/>
    </xf>
    <xf numFmtId="0" fontId="19" fillId="0" borderId="0" xfId="0" applyFont="1" applyProtection="1">
      <protection hidden="1"/>
    </xf>
    <xf numFmtId="0" fontId="19" fillId="0" borderId="0" xfId="0" applyFont="1" applyAlignment="1" applyProtection="1">
      <alignment horizontal="left" indent="1"/>
      <protection hidden="1"/>
    </xf>
    <xf numFmtId="0" fontId="12" fillId="13" borderId="8" xfId="0" applyFont="1" applyFill="1" applyBorder="1" applyAlignment="1" applyProtection="1">
      <alignment horizontal="center" vertical="center"/>
      <protection hidden="1"/>
    </xf>
    <xf numFmtId="0" fontId="12" fillId="13" borderId="25" xfId="0" applyFont="1" applyFill="1" applyBorder="1" applyAlignment="1" applyProtection="1">
      <alignment horizontal="center" vertical="center"/>
      <protection hidden="1"/>
    </xf>
    <xf numFmtId="0" fontId="12" fillId="13" borderId="82" xfId="0" applyFont="1" applyFill="1" applyBorder="1" applyAlignment="1" applyProtection="1">
      <alignment horizontal="center" vertical="center"/>
      <protection hidden="1"/>
    </xf>
    <xf numFmtId="0" fontId="6" fillId="13" borderId="82" xfId="0" applyFont="1" applyFill="1" applyBorder="1" applyAlignment="1" applyProtection="1">
      <alignment horizontal="center" vertical="center"/>
      <protection hidden="1"/>
    </xf>
    <xf numFmtId="0" fontId="6" fillId="13" borderId="80" xfId="0" applyFont="1" applyFill="1" applyBorder="1" applyAlignment="1" applyProtection="1">
      <alignment horizontal="center" vertical="center"/>
      <protection hidden="1"/>
    </xf>
    <xf numFmtId="0" fontId="12" fillId="13" borderId="56" xfId="0" applyFont="1" applyFill="1" applyBorder="1" applyAlignment="1" applyProtection="1">
      <alignment horizontal="center" vertical="center"/>
      <protection hidden="1"/>
    </xf>
    <xf numFmtId="0" fontId="12" fillId="13" borderId="90" xfId="0" applyFont="1" applyFill="1" applyBorder="1" applyAlignment="1" applyProtection="1">
      <alignment horizontal="center" vertical="center"/>
      <protection hidden="1"/>
    </xf>
    <xf numFmtId="0" fontId="6" fillId="13" borderId="90" xfId="0" applyFont="1" applyFill="1" applyBorder="1" applyAlignment="1" applyProtection="1">
      <alignment horizontal="center" vertical="center"/>
      <protection hidden="1"/>
    </xf>
    <xf numFmtId="0" fontId="12" fillId="13" borderId="79" xfId="0" applyFont="1" applyFill="1" applyBorder="1" applyAlignment="1" applyProtection="1">
      <alignment horizontal="center" vertical="center"/>
      <protection hidden="1"/>
    </xf>
    <xf numFmtId="0" fontId="12" fillId="13" borderId="81" xfId="0" applyFont="1" applyFill="1" applyBorder="1" applyAlignment="1" applyProtection="1">
      <alignment vertical="center"/>
      <protection hidden="1"/>
    </xf>
    <xf numFmtId="0" fontId="6" fillId="13" borderId="53" xfId="0" applyFont="1" applyFill="1" applyBorder="1" applyAlignment="1" applyProtection="1">
      <alignment horizontal="center" vertical="center"/>
      <protection hidden="1"/>
    </xf>
    <xf numFmtId="0" fontId="12" fillId="13" borderId="54" xfId="0" applyFont="1" applyFill="1" applyBorder="1" applyAlignment="1" applyProtection="1">
      <alignment horizontal="center" vertical="center"/>
      <protection hidden="1"/>
    </xf>
    <xf numFmtId="0" fontId="12" fillId="13" borderId="77" xfId="0" applyFont="1" applyFill="1" applyBorder="1" applyAlignment="1" applyProtection="1">
      <alignment horizontal="center" vertical="center"/>
      <protection hidden="1"/>
    </xf>
    <xf numFmtId="0" fontId="6" fillId="13" borderId="54" xfId="0" applyFont="1" applyFill="1" applyBorder="1" applyAlignment="1" applyProtection="1">
      <alignment horizontal="center" vertical="center"/>
      <protection hidden="1"/>
    </xf>
    <xf numFmtId="0" fontId="12" fillId="13" borderId="55" xfId="0" applyFont="1" applyFill="1" applyBorder="1" applyAlignment="1" applyProtection="1">
      <alignment vertical="center"/>
      <protection hidden="1"/>
    </xf>
    <xf numFmtId="0" fontId="12" fillId="0" borderId="0" xfId="0" applyFont="1" applyProtection="1">
      <protection hidden="1"/>
    </xf>
    <xf numFmtId="0" fontId="12" fillId="0" borderId="0" xfId="0" applyFont="1" applyAlignment="1" applyProtection="1">
      <alignment horizontal="center"/>
      <protection hidden="1"/>
    </xf>
    <xf numFmtId="0" fontId="2" fillId="0" borderId="0" xfId="0" applyFont="1" applyAlignment="1" applyProtection="1">
      <alignment horizontal="center"/>
      <protection hidden="1"/>
    </xf>
    <xf numFmtId="0" fontId="15" fillId="0" borderId="0" xfId="0" applyFont="1" applyAlignment="1" applyProtection="1">
      <alignment horizontal="left" vertical="center"/>
      <protection hidden="1"/>
    </xf>
    <xf numFmtId="0" fontId="10" fillId="13" borderId="0" xfId="0" applyFont="1" applyFill="1" applyProtection="1">
      <protection hidden="1"/>
    </xf>
    <xf numFmtId="0" fontId="28" fillId="13" borderId="0" xfId="0" applyFont="1" applyFill="1" applyAlignment="1" applyProtection="1">
      <alignment vertical="center"/>
      <protection hidden="1"/>
    </xf>
    <xf numFmtId="0" fontId="12" fillId="13" borderId="0" xfId="0" applyFont="1" applyFill="1" applyAlignment="1" applyProtection="1">
      <alignment vertical="center"/>
      <protection hidden="1"/>
    </xf>
    <xf numFmtId="0" fontId="2" fillId="17" borderId="0" xfId="4" applyFill="1" applyAlignment="1" applyProtection="1">
      <alignment vertical="center" wrapText="1"/>
      <protection hidden="1"/>
    </xf>
    <xf numFmtId="0" fontId="2" fillId="3" borderId="0" xfId="4" applyFill="1" applyProtection="1">
      <protection hidden="1"/>
    </xf>
    <xf numFmtId="0" fontId="2" fillId="0" borderId="0" xfId="4" applyAlignment="1" applyProtection="1">
      <alignment vertical="center"/>
      <protection hidden="1"/>
    </xf>
    <xf numFmtId="0" fontId="6" fillId="0" borderId="68" xfId="0" applyFont="1" applyBorder="1" applyAlignment="1" applyProtection="1">
      <alignment horizontal="center"/>
      <protection hidden="1"/>
    </xf>
    <xf numFmtId="0" fontId="12" fillId="0" borderId="59" xfId="0" applyFont="1" applyBorder="1" applyAlignment="1" applyProtection="1">
      <alignment horizontal="left" vertical="center"/>
      <protection hidden="1"/>
    </xf>
    <xf numFmtId="0" fontId="2" fillId="11" borderId="0" xfId="4" applyFill="1" applyProtection="1">
      <protection hidden="1"/>
    </xf>
    <xf numFmtId="0" fontId="2" fillId="2" borderId="0" xfId="4" applyFill="1" applyProtection="1">
      <protection hidden="1"/>
    </xf>
    <xf numFmtId="0" fontId="2" fillId="18" borderId="0" xfId="4" applyFill="1" applyProtection="1">
      <protection hidden="1"/>
    </xf>
    <xf numFmtId="0" fontId="6" fillId="0" borderId="67" xfId="0" applyFont="1" applyBorder="1" applyAlignment="1" applyProtection="1">
      <alignment horizontal="center"/>
      <protection hidden="1"/>
    </xf>
    <xf numFmtId="0" fontId="12" fillId="0" borderId="63" xfId="0" applyFont="1" applyBorder="1" applyAlignment="1" applyProtection="1">
      <alignment horizontal="left" vertical="center"/>
      <protection hidden="1"/>
    </xf>
    <xf numFmtId="0" fontId="6" fillId="0" borderId="66" xfId="0" applyFont="1" applyBorder="1" applyAlignment="1" applyProtection="1">
      <alignment horizontal="center"/>
      <protection hidden="1"/>
    </xf>
    <xf numFmtId="0" fontId="12" fillId="0" borderId="62" xfId="0" applyFont="1" applyBorder="1" applyAlignment="1" applyProtection="1">
      <alignment horizontal="left" vertical="center"/>
      <protection hidden="1"/>
    </xf>
    <xf numFmtId="0" fontId="6" fillId="0" borderId="111" xfId="0" applyFont="1" applyBorder="1" applyAlignment="1" applyProtection="1">
      <alignment horizontal="center"/>
      <protection hidden="1"/>
    </xf>
    <xf numFmtId="0" fontId="12" fillId="0" borderId="112" xfId="0" applyFont="1" applyBorder="1" applyAlignment="1" applyProtection="1">
      <alignment horizontal="left" vertical="center"/>
      <protection hidden="1"/>
    </xf>
    <xf numFmtId="0" fontId="6" fillId="13" borderId="104" xfId="0" applyFont="1" applyFill="1" applyBorder="1" applyAlignment="1" applyProtection="1">
      <alignment horizontal="center"/>
      <protection hidden="1"/>
    </xf>
    <xf numFmtId="0" fontId="12" fillId="13" borderId="26" xfId="0" applyFont="1" applyFill="1" applyBorder="1" applyAlignment="1" applyProtection="1">
      <alignment horizontal="left" vertical="center"/>
      <protection hidden="1"/>
    </xf>
    <xf numFmtId="0" fontId="2" fillId="15" borderId="0" xfId="4" applyFill="1" applyProtection="1">
      <protection hidden="1"/>
    </xf>
    <xf numFmtId="0" fontId="6" fillId="13" borderId="51" xfId="0" applyFont="1" applyFill="1" applyBorder="1" applyAlignment="1" applyProtection="1">
      <alignment horizontal="center"/>
      <protection hidden="1"/>
    </xf>
    <xf numFmtId="0" fontId="12" fillId="13" borderId="7" xfId="0" applyFont="1" applyFill="1" applyBorder="1" applyAlignment="1" applyProtection="1">
      <alignment horizontal="left" vertical="center"/>
      <protection hidden="1"/>
    </xf>
    <xf numFmtId="0" fontId="6" fillId="13" borderId="113" xfId="0" applyFont="1" applyFill="1" applyBorder="1" applyAlignment="1" applyProtection="1">
      <alignment horizontal="center"/>
      <protection hidden="1"/>
    </xf>
    <xf numFmtId="0" fontId="12" fillId="13" borderId="106" xfId="0" applyFont="1" applyFill="1" applyBorder="1" applyAlignment="1" applyProtection="1">
      <alignment horizontal="left" vertical="center"/>
      <protection hidden="1"/>
    </xf>
    <xf numFmtId="0" fontId="2" fillId="11" borderId="0" xfId="4" applyFill="1" applyAlignment="1" applyProtection="1">
      <alignment horizontal="left"/>
      <protection hidden="1"/>
    </xf>
    <xf numFmtId="0" fontId="6" fillId="0" borderId="107" xfId="0" applyFont="1" applyBorder="1" applyAlignment="1" applyProtection="1">
      <alignment horizontal="center"/>
      <protection hidden="1"/>
    </xf>
    <xf numFmtId="0" fontId="12" fillId="0" borderId="108" xfId="0" applyFont="1" applyBorder="1" applyAlignment="1" applyProtection="1">
      <alignment horizontal="left" vertical="center"/>
      <protection hidden="1"/>
    </xf>
    <xf numFmtId="0" fontId="6" fillId="13" borderId="72" xfId="0" applyFont="1" applyFill="1" applyBorder="1" applyAlignment="1" applyProtection="1">
      <alignment horizontal="center"/>
      <protection hidden="1"/>
    </xf>
    <xf numFmtId="0" fontId="2" fillId="15" borderId="0" xfId="4" applyFill="1" applyAlignment="1" applyProtection="1">
      <alignment vertical="center" wrapText="1"/>
      <protection hidden="1"/>
    </xf>
    <xf numFmtId="0" fontId="6" fillId="13" borderId="78" xfId="0" applyFont="1" applyFill="1" applyBorder="1" applyAlignment="1" applyProtection="1">
      <alignment horizontal="center"/>
      <protection hidden="1"/>
    </xf>
    <xf numFmtId="0" fontId="2" fillId="0" borderId="115" xfId="4" applyBorder="1" applyProtection="1">
      <protection hidden="1"/>
    </xf>
    <xf numFmtId="0" fontId="10" fillId="25" borderId="0" xfId="4" applyFont="1" applyFill="1" applyAlignment="1" applyProtection="1">
      <alignment vertical="center"/>
      <protection locked="0" hidden="1"/>
    </xf>
    <xf numFmtId="0" fontId="12" fillId="0" borderId="98" xfId="0" applyFont="1" applyBorder="1" applyAlignment="1" applyProtection="1">
      <alignment horizontal="left" vertical="center"/>
      <protection locked="0" hidden="1"/>
    </xf>
    <xf numFmtId="0" fontId="12" fillId="0" borderId="105" xfId="0" applyFont="1" applyBorder="1" applyAlignment="1" applyProtection="1">
      <alignment horizontal="left" vertical="center"/>
      <protection locked="0" hidden="1"/>
    </xf>
    <xf numFmtId="0" fontId="12" fillId="0" borderId="109" xfId="0" applyFont="1" applyBorder="1" applyAlignment="1" applyProtection="1">
      <alignment horizontal="left" vertical="center"/>
      <protection locked="0" hidden="1"/>
    </xf>
    <xf numFmtId="0" fontId="12" fillId="0" borderId="114" xfId="0" applyFont="1" applyBorder="1" applyAlignment="1" applyProtection="1">
      <alignment horizontal="left" vertical="center"/>
      <protection locked="0" hidden="1"/>
    </xf>
    <xf numFmtId="0" fontId="1" fillId="0" borderId="68" xfId="0" applyFont="1" applyBorder="1" applyAlignment="1" applyProtection="1">
      <alignment horizontal="center"/>
      <protection hidden="1"/>
    </xf>
    <xf numFmtId="0" fontId="1" fillId="0" borderId="67" xfId="0" applyFont="1" applyBorder="1" applyAlignment="1" applyProtection="1">
      <alignment horizontal="center"/>
      <protection hidden="1"/>
    </xf>
    <xf numFmtId="0" fontId="1" fillId="0" borderId="66" xfId="0" applyFont="1" applyBorder="1" applyAlignment="1" applyProtection="1">
      <alignment horizontal="center"/>
      <protection hidden="1"/>
    </xf>
    <xf numFmtId="0" fontId="1" fillId="13" borderId="104" xfId="0" applyFont="1" applyFill="1" applyBorder="1" applyAlignment="1" applyProtection="1">
      <alignment horizontal="center"/>
      <protection hidden="1"/>
    </xf>
    <xf numFmtId="0" fontId="1" fillId="13" borderId="51" xfId="0" applyFont="1" applyFill="1" applyBorder="1" applyAlignment="1" applyProtection="1">
      <alignment horizontal="center"/>
      <protection hidden="1"/>
    </xf>
    <xf numFmtId="0" fontId="2" fillId="0" borderId="0" xfId="4" applyAlignment="1" applyProtection="1">
      <alignment vertical="center" wrapText="1"/>
      <protection hidden="1"/>
    </xf>
    <xf numFmtId="0" fontId="12" fillId="16" borderId="118" xfId="0" applyFont="1" applyFill="1" applyBorder="1" applyAlignment="1" applyProtection="1">
      <alignment horizontal="left" vertical="center"/>
      <protection hidden="1"/>
    </xf>
    <xf numFmtId="0" fontId="12" fillId="16" borderId="116" xfId="0" applyFont="1" applyFill="1" applyBorder="1" applyAlignment="1" applyProtection="1">
      <alignment horizontal="left" vertical="center"/>
      <protection hidden="1"/>
    </xf>
    <xf numFmtId="0" fontId="2" fillId="14" borderId="0" xfId="4" applyFill="1" applyProtection="1">
      <protection hidden="1"/>
    </xf>
    <xf numFmtId="0" fontId="12" fillId="19" borderId="75" xfId="0" applyFont="1" applyFill="1" applyBorder="1" applyAlignment="1" applyProtection="1">
      <alignment horizontal="left" vertical="center"/>
      <protection hidden="1"/>
    </xf>
    <xf numFmtId="0" fontId="12" fillId="19" borderId="64" xfId="0" applyFont="1" applyFill="1" applyBorder="1" applyAlignment="1" applyProtection="1">
      <alignment horizontal="left" vertical="center"/>
      <protection hidden="1"/>
    </xf>
    <xf numFmtId="0" fontId="12" fillId="20" borderId="75" xfId="0" applyFont="1" applyFill="1" applyBorder="1" applyAlignment="1" applyProtection="1">
      <alignment horizontal="left" vertical="center"/>
      <protection hidden="1"/>
    </xf>
    <xf numFmtId="0" fontId="12" fillId="20" borderId="64" xfId="0" applyFont="1" applyFill="1" applyBorder="1" applyAlignment="1" applyProtection="1">
      <alignment horizontal="left" vertical="center"/>
      <protection hidden="1"/>
    </xf>
    <xf numFmtId="0" fontId="12" fillId="21" borderId="75" xfId="0" applyFont="1" applyFill="1" applyBorder="1" applyAlignment="1" applyProtection="1">
      <alignment horizontal="left" vertical="center"/>
      <protection hidden="1"/>
    </xf>
    <xf numFmtId="0" fontId="12" fillId="21" borderId="64" xfId="0" applyFont="1" applyFill="1" applyBorder="1" applyAlignment="1" applyProtection="1">
      <alignment horizontal="left" vertical="center"/>
      <protection hidden="1"/>
    </xf>
    <xf numFmtId="0" fontId="12" fillId="22" borderId="75" xfId="0" applyFont="1" applyFill="1" applyBorder="1" applyAlignment="1" applyProtection="1">
      <alignment horizontal="left" vertical="center"/>
      <protection hidden="1"/>
    </xf>
    <xf numFmtId="0" fontId="12" fillId="22" borderId="64" xfId="0" applyFont="1" applyFill="1" applyBorder="1" applyAlignment="1" applyProtection="1">
      <alignment horizontal="left" vertical="center"/>
      <protection hidden="1"/>
    </xf>
    <xf numFmtId="0" fontId="12" fillId="23" borderId="75" xfId="0" applyFont="1" applyFill="1" applyBorder="1" applyAlignment="1" applyProtection="1">
      <alignment horizontal="left" vertical="center"/>
      <protection hidden="1"/>
    </xf>
    <xf numFmtId="0" fontId="12" fillId="23" borderId="64" xfId="0" applyFont="1" applyFill="1" applyBorder="1" applyAlignment="1" applyProtection="1">
      <alignment horizontal="left" vertical="center"/>
      <protection hidden="1"/>
    </xf>
    <xf numFmtId="0" fontId="12" fillId="6" borderId="75" xfId="0" applyFont="1" applyFill="1" applyBorder="1" applyAlignment="1" applyProtection="1">
      <alignment horizontal="left" vertical="center"/>
      <protection hidden="1"/>
    </xf>
    <xf numFmtId="0" fontId="12" fillId="6" borderId="64" xfId="0" applyFont="1" applyFill="1" applyBorder="1" applyAlignment="1" applyProtection="1">
      <alignment horizontal="left" vertical="center"/>
      <protection hidden="1"/>
    </xf>
    <xf numFmtId="0" fontId="12" fillId="6" borderId="119" xfId="0" applyFont="1" applyFill="1" applyBorder="1" applyAlignment="1" applyProtection="1">
      <alignment horizontal="left" vertical="center"/>
      <protection hidden="1"/>
    </xf>
    <xf numFmtId="0" fontId="12" fillId="6" borderId="117" xfId="0" applyFont="1" applyFill="1" applyBorder="1" applyAlignment="1" applyProtection="1">
      <alignment horizontal="left" vertical="center"/>
      <protection hidden="1"/>
    </xf>
    <xf numFmtId="0" fontId="12" fillId="0" borderId="63" xfId="0" applyFont="1" applyBorder="1" applyAlignment="1" applyProtection="1">
      <alignment horizontal="left" vertical="center"/>
      <protection locked="0" hidden="1"/>
    </xf>
    <xf numFmtId="0" fontId="12" fillId="0" borderId="125" xfId="0" applyFont="1" applyBorder="1" applyAlignment="1" applyProtection="1">
      <alignment horizontal="left" vertical="center"/>
      <protection locked="0" hidden="1"/>
    </xf>
    <xf numFmtId="0" fontId="2" fillId="0" borderId="126" xfId="4" applyBorder="1" applyProtection="1">
      <protection hidden="1"/>
    </xf>
    <xf numFmtId="0" fontId="24" fillId="0" borderId="126" xfId="4" applyFont="1" applyBorder="1" applyProtection="1">
      <protection hidden="1"/>
    </xf>
    <xf numFmtId="0" fontId="1" fillId="0" borderId="67" xfId="0" applyFont="1" applyBorder="1" applyAlignment="1" applyProtection="1">
      <alignment horizontal="center" vertical="center"/>
      <protection hidden="1"/>
    </xf>
    <xf numFmtId="0" fontId="2" fillId="0" borderId="115" xfId="4" applyBorder="1" applyProtection="1">
      <protection locked="0" hidden="1"/>
    </xf>
    <xf numFmtId="0" fontId="36" fillId="0" borderId="0" xfId="0" applyFont="1" applyAlignment="1" applyProtection="1">
      <alignment horizontal="center"/>
      <protection hidden="1"/>
    </xf>
    <xf numFmtId="0" fontId="36" fillId="0" borderId="0" xfId="0" applyFont="1" applyAlignment="1" applyProtection="1">
      <alignment horizontal="left"/>
      <protection hidden="1"/>
    </xf>
    <xf numFmtId="0" fontId="30" fillId="0" borderId="0" xfId="0" applyFont="1" applyAlignment="1" applyProtection="1">
      <alignment horizontal="left"/>
      <protection hidden="1"/>
    </xf>
    <xf numFmtId="0" fontId="36" fillId="0" borderId="0" xfId="0" applyFont="1" applyProtection="1">
      <protection hidden="1"/>
    </xf>
    <xf numFmtId="0" fontId="12" fillId="0" borderId="0" xfId="4" applyFont="1" applyProtection="1">
      <protection hidden="1"/>
    </xf>
    <xf numFmtId="0" fontId="16" fillId="26" borderId="0" xfId="0" applyFont="1" applyFill="1" applyAlignment="1">
      <alignment vertical="center"/>
    </xf>
    <xf numFmtId="0" fontId="0" fillId="26" borderId="0" xfId="0" applyFill="1"/>
    <xf numFmtId="0" fontId="0" fillId="26" borderId="0" xfId="0" applyFill="1" applyAlignment="1">
      <alignment horizontal="center" vertical="center"/>
    </xf>
    <xf numFmtId="0" fontId="4" fillId="26" borderId="0" xfId="0" applyFont="1" applyFill="1" applyAlignment="1">
      <alignment horizontal="center" vertical="center"/>
    </xf>
    <xf numFmtId="0" fontId="5" fillId="26" borderId="0" xfId="0" applyFont="1" applyFill="1" applyAlignment="1">
      <alignment horizontal="center" vertical="center"/>
    </xf>
    <xf numFmtId="0" fontId="5" fillId="26" borderId="0" xfId="0" applyFont="1" applyFill="1"/>
    <xf numFmtId="0" fontId="4" fillId="26" borderId="0" xfId="0" applyFont="1" applyFill="1"/>
    <xf numFmtId="0" fontId="47" fillId="26" borderId="0" xfId="0" applyFont="1" applyFill="1"/>
    <xf numFmtId="0" fontId="47" fillId="26" borderId="0" xfId="0" applyFont="1" applyFill="1" applyAlignment="1">
      <alignment horizontal="center" vertical="center"/>
    </xf>
    <xf numFmtId="0" fontId="47" fillId="26" borderId="0" xfId="0" applyFont="1" applyFill="1" applyAlignment="1" applyProtection="1">
      <alignment horizontal="center" vertical="center"/>
      <protection locked="0" hidden="1"/>
    </xf>
    <xf numFmtId="0" fontId="0" fillId="3" borderId="0" xfId="0" applyFill="1" applyProtection="1">
      <protection locked="0" hidden="1"/>
    </xf>
    <xf numFmtId="0" fontId="0" fillId="26" borderId="0" xfId="0" applyFill="1" applyAlignment="1">
      <alignment horizontal="center"/>
    </xf>
    <xf numFmtId="0" fontId="47" fillId="26" borderId="0" xfId="0" applyFont="1" applyFill="1" applyAlignment="1">
      <alignment horizontal="center"/>
    </xf>
    <xf numFmtId="0" fontId="0" fillId="26" borderId="0" xfId="0" applyFill="1" applyAlignment="1" applyProtection="1">
      <alignment horizontal="center"/>
      <protection hidden="1"/>
    </xf>
    <xf numFmtId="0" fontId="4" fillId="26" borderId="0" xfId="0" applyFont="1" applyFill="1" applyAlignment="1">
      <alignment horizontal="center"/>
    </xf>
    <xf numFmtId="0" fontId="0" fillId="0" borderId="127" xfId="0" applyBorder="1" applyAlignment="1" applyProtection="1">
      <alignment horizontal="center" vertical="center"/>
      <protection locked="0" hidden="1"/>
    </xf>
    <xf numFmtId="0" fontId="4" fillId="0" borderId="127" xfId="0" applyFont="1" applyBorder="1" applyAlignment="1">
      <alignment horizontal="center" vertical="center"/>
    </xf>
    <xf numFmtId="0" fontId="0" fillId="0" borderId="129" xfId="0" applyBorder="1" applyAlignment="1" applyProtection="1">
      <alignment vertical="center"/>
      <protection locked="0" hidden="1"/>
    </xf>
    <xf numFmtId="0" fontId="0" fillId="0" borderId="128" xfId="0" applyBorder="1" applyAlignment="1" applyProtection="1">
      <alignment horizontal="center" vertical="center"/>
      <protection hidden="1"/>
    </xf>
    <xf numFmtId="0" fontId="47" fillId="26" borderId="0" xfId="0" quotePrefix="1" applyFont="1" applyFill="1"/>
    <xf numFmtId="0" fontId="47" fillId="26" borderId="130" xfId="0" applyFont="1" applyFill="1" applyBorder="1" applyAlignment="1" applyProtection="1">
      <alignment horizontal="center" vertical="center"/>
      <protection locked="0" hidden="1"/>
    </xf>
    <xf numFmtId="0" fontId="0" fillId="26" borderId="131" xfId="0" applyFill="1" applyBorder="1"/>
    <xf numFmtId="0" fontId="0" fillId="26" borderId="132" xfId="0" applyFill="1" applyBorder="1"/>
    <xf numFmtId="0" fontId="47" fillId="26" borderId="133" xfId="0" quotePrefix="1" applyFont="1" applyFill="1" applyBorder="1"/>
    <xf numFmtId="0" fontId="5" fillId="26" borderId="131" xfId="0" applyFont="1" applyFill="1" applyBorder="1"/>
    <xf numFmtId="0" fontId="5" fillId="26" borderId="132" xfId="0" applyFont="1" applyFill="1" applyBorder="1"/>
    <xf numFmtId="0" fontId="47" fillId="26" borderId="134" xfId="0" applyFont="1" applyFill="1" applyBorder="1"/>
    <xf numFmtId="0" fontId="0" fillId="26" borderId="135" xfId="0" applyFill="1" applyBorder="1"/>
    <xf numFmtId="0" fontId="0" fillId="26" borderId="136" xfId="0" applyFill="1" applyBorder="1"/>
    <xf numFmtId="0" fontId="0" fillId="26" borderId="137" xfId="0" applyFill="1" applyBorder="1"/>
    <xf numFmtId="0" fontId="0" fillId="26" borderId="134" xfId="0" applyFill="1" applyBorder="1"/>
    <xf numFmtId="0" fontId="5" fillId="27" borderId="0" xfId="0" applyFont="1" applyFill="1" applyAlignment="1">
      <alignment horizontal="center" vertical="center"/>
    </xf>
    <xf numFmtId="0" fontId="0" fillId="27" borderId="0" xfId="0" applyFill="1"/>
    <xf numFmtId="0" fontId="0" fillId="27" borderId="0" xfId="0" applyFill="1" applyAlignment="1">
      <alignment horizontal="center" vertical="center"/>
    </xf>
    <xf numFmtId="0" fontId="4" fillId="27" borderId="0" xfId="0" applyFont="1" applyFill="1" applyAlignment="1">
      <alignment horizontal="center" vertical="center"/>
    </xf>
    <xf numFmtId="0" fontId="48" fillId="27" borderId="0" xfId="0" applyFont="1" applyFill="1" applyAlignment="1">
      <alignment horizontal="center" vertical="center"/>
    </xf>
    <xf numFmtId="0" fontId="32" fillId="27" borderId="0" xfId="0" applyFont="1" applyFill="1"/>
    <xf numFmtId="0" fontId="0" fillId="27" borderId="0" xfId="0" applyFill="1" applyAlignment="1" applyProtection="1">
      <alignment horizontal="center"/>
      <protection hidden="1"/>
    </xf>
    <xf numFmtId="0" fontId="5" fillId="27" borderId="0" xfId="0" applyFont="1" applyFill="1"/>
    <xf numFmtId="0" fontId="48" fillId="27" borderId="0" xfId="0" applyFont="1" applyFill="1"/>
    <xf numFmtId="0" fontId="5" fillId="27" borderId="131" xfId="0" applyFont="1" applyFill="1" applyBorder="1"/>
    <xf numFmtId="0" fontId="5" fillId="27" borderId="132" xfId="0" applyFont="1" applyFill="1" applyBorder="1"/>
    <xf numFmtId="0" fontId="0" fillId="27" borderId="131" xfId="0" applyFill="1" applyBorder="1"/>
    <xf numFmtId="0" fontId="0" fillId="27" borderId="132" xfId="0" applyFill="1" applyBorder="1"/>
    <xf numFmtId="0" fontId="0" fillId="27" borderId="135" xfId="0" applyFill="1" applyBorder="1"/>
    <xf numFmtId="0" fontId="0" fillId="27" borderId="134" xfId="0" applyFill="1" applyBorder="1"/>
    <xf numFmtId="0" fontId="0" fillId="27" borderId="136" xfId="0" applyFill="1" applyBorder="1"/>
    <xf numFmtId="0" fontId="0" fillId="27" borderId="137" xfId="0" applyFill="1" applyBorder="1"/>
    <xf numFmtId="0" fontId="49" fillId="27" borderId="134" xfId="0" applyFont="1" applyFill="1" applyBorder="1"/>
    <xf numFmtId="0" fontId="49" fillId="27" borderId="0" xfId="0" quotePrefix="1" applyFont="1" applyFill="1"/>
    <xf numFmtId="0" fontId="49" fillId="27" borderId="0" xfId="0" applyFont="1" applyFill="1"/>
    <xf numFmtId="0" fontId="0" fillId="26" borderId="139" xfId="0" applyFill="1" applyBorder="1"/>
    <xf numFmtId="0" fontId="47" fillId="26" borderId="141" xfId="0" applyFont="1" applyFill="1" applyBorder="1" applyAlignment="1" applyProtection="1">
      <alignment horizontal="center" vertical="center"/>
      <protection locked="0" hidden="1"/>
    </xf>
    <xf numFmtId="0" fontId="4" fillId="0" borderId="128" xfId="0" applyFont="1" applyBorder="1" applyAlignment="1">
      <alignment horizontal="center" vertical="center"/>
    </xf>
    <xf numFmtId="0" fontId="49" fillId="27" borderId="0" xfId="0" applyFont="1" applyFill="1" applyAlignment="1">
      <alignment horizontal="center" vertical="center"/>
    </xf>
    <xf numFmtId="0" fontId="0" fillId="27" borderId="133" xfId="0" applyFill="1" applyBorder="1"/>
    <xf numFmtId="0" fontId="18" fillId="0" borderId="143" xfId="3" applyFill="1" applyBorder="1" applyAlignment="1" applyProtection="1">
      <alignment horizontal="center" vertical="center"/>
      <protection hidden="1"/>
    </xf>
    <xf numFmtId="0" fontId="11" fillId="0" borderId="143" xfId="2" applyFill="1" applyBorder="1" applyAlignment="1" applyProtection="1">
      <alignment horizontal="center" vertical="center"/>
      <protection hidden="1"/>
    </xf>
    <xf numFmtId="0" fontId="1" fillId="0" borderId="0" xfId="5" applyProtection="1">
      <protection hidden="1"/>
    </xf>
    <xf numFmtId="0" fontId="1" fillId="2" borderId="0" xfId="5" applyFill="1" applyProtection="1">
      <protection hidden="1"/>
    </xf>
    <xf numFmtId="0" fontId="1" fillId="2" borderId="0" xfId="5" applyFill="1" applyAlignment="1" applyProtection="1">
      <alignment horizontal="left"/>
      <protection hidden="1"/>
    </xf>
    <xf numFmtId="0" fontId="1" fillId="2" borderId="0" xfId="5" applyFill="1" applyAlignment="1" applyProtection="1">
      <alignment horizontal="right"/>
      <protection hidden="1"/>
    </xf>
    <xf numFmtId="0" fontId="1" fillId="0" borderId="0" xfId="5" applyAlignment="1" applyProtection="1">
      <alignment vertical="top" wrapText="1"/>
      <protection hidden="1"/>
    </xf>
    <xf numFmtId="0" fontId="10" fillId="0" borderId="143" xfId="5" applyFont="1" applyBorder="1" applyAlignment="1" applyProtection="1">
      <alignment horizontal="center" vertical="center"/>
      <protection hidden="1"/>
    </xf>
    <xf numFmtId="0" fontId="1" fillId="0" borderId="143" xfId="5" applyBorder="1" applyProtection="1">
      <protection hidden="1"/>
    </xf>
    <xf numFmtId="0" fontId="1" fillId="0" borderId="115" xfId="5" applyBorder="1" applyProtection="1">
      <protection hidden="1"/>
    </xf>
    <xf numFmtId="0" fontId="1" fillId="0" borderId="145" xfId="5" applyBorder="1" applyProtection="1">
      <protection hidden="1"/>
    </xf>
    <xf numFmtId="0" fontId="1" fillId="0" borderId="0" xfId="5" applyAlignment="1" applyProtection="1">
      <alignment horizontal="left"/>
      <protection hidden="1"/>
    </xf>
    <xf numFmtId="0" fontId="1" fillId="0" borderId="156" xfId="5" applyBorder="1" applyProtection="1">
      <protection hidden="1"/>
    </xf>
    <xf numFmtId="0" fontId="18" fillId="0" borderId="157" xfId="3" applyFill="1" applyBorder="1" applyAlignment="1" applyProtection="1">
      <alignment horizontal="center" vertical="center"/>
      <protection hidden="1"/>
    </xf>
    <xf numFmtId="0" fontId="1" fillId="0" borderId="158" xfId="5" applyBorder="1" applyAlignment="1" applyProtection="1">
      <alignment horizontal="center" vertical="center"/>
      <protection hidden="1"/>
    </xf>
    <xf numFmtId="0" fontId="18" fillId="0" borderId="144" xfId="3" applyBorder="1" applyAlignment="1" applyProtection="1">
      <alignment horizontal="center" vertical="center"/>
      <protection hidden="1"/>
    </xf>
    <xf numFmtId="0" fontId="7" fillId="2" borderId="0" xfId="1" applyFont="1" applyFill="1" applyProtection="1">
      <protection hidden="1"/>
    </xf>
    <xf numFmtId="0" fontId="12" fillId="0" borderId="0" xfId="1" applyFont="1"/>
    <xf numFmtId="0" fontId="12" fillId="8" borderId="0" xfId="1" applyFont="1" applyFill="1"/>
    <xf numFmtId="0" fontId="12" fillId="0" borderId="11" xfId="1" applyFont="1" applyBorder="1"/>
    <xf numFmtId="0" fontId="12" fillId="0" borderId="12" xfId="1" applyFont="1" applyBorder="1"/>
    <xf numFmtId="0" fontId="12" fillId="0" borderId="13" xfId="1" applyFont="1" applyBorder="1"/>
    <xf numFmtId="0" fontId="12" fillId="0" borderId="14" xfId="1" applyFont="1" applyBorder="1"/>
    <xf numFmtId="0" fontId="12" fillId="0" borderId="15" xfId="1" applyFont="1" applyBorder="1"/>
    <xf numFmtId="0" fontId="12" fillId="7" borderId="0" xfId="1" applyFont="1" applyFill="1"/>
    <xf numFmtId="0" fontId="12" fillId="0" borderId="16" xfId="1" applyFont="1" applyBorder="1"/>
    <xf numFmtId="0" fontId="12" fillId="0" borderId="17" xfId="1" applyFont="1" applyBorder="1"/>
    <xf numFmtId="0" fontId="12" fillId="0" borderId="17" xfId="2" applyFont="1" applyBorder="1"/>
    <xf numFmtId="0" fontId="12" fillId="0" borderId="18" xfId="2" applyFont="1" applyBorder="1"/>
    <xf numFmtId="0" fontId="53" fillId="0" borderId="0" xfId="0" applyFont="1" applyAlignment="1">
      <alignment vertical="center"/>
    </xf>
    <xf numFmtId="0" fontId="12" fillId="0" borderId="0" xfId="0" applyFont="1" applyAlignment="1">
      <alignment vertical="center"/>
    </xf>
    <xf numFmtId="0" fontId="54" fillId="0" borderId="0" xfId="0" applyFont="1" applyAlignment="1">
      <alignment vertical="center"/>
    </xf>
    <xf numFmtId="0" fontId="12" fillId="3" borderId="14" xfId="1" applyFont="1" applyFill="1" applyBorder="1"/>
    <xf numFmtId="0" fontId="12" fillId="3" borderId="0" xfId="1" applyFont="1" applyFill="1"/>
    <xf numFmtId="0" fontId="12" fillId="3" borderId="15" xfId="1" applyFont="1" applyFill="1" applyBorder="1"/>
    <xf numFmtId="0" fontId="12" fillId="0" borderId="18" xfId="1" applyFont="1" applyBorder="1"/>
    <xf numFmtId="0" fontId="12" fillId="0" borderId="13" xfId="1" applyFont="1" applyBorder="1" applyAlignment="1">
      <alignment wrapText="1"/>
    </xf>
    <xf numFmtId="0" fontId="55" fillId="0" borderId="0" xfId="1" applyFont="1" applyAlignment="1" applyProtection="1">
      <alignment vertical="center"/>
      <protection hidden="1"/>
    </xf>
    <xf numFmtId="0" fontId="56" fillId="0" borderId="8" xfId="1" applyFont="1" applyBorder="1" applyAlignment="1">
      <alignment vertical="center" wrapText="1"/>
    </xf>
    <xf numFmtId="0" fontId="12" fillId="0" borderId="15" xfId="0" applyFont="1" applyBorder="1" applyProtection="1">
      <protection hidden="1"/>
    </xf>
    <xf numFmtId="0" fontId="12" fillId="0" borderId="17" xfId="0" applyFont="1" applyBorder="1" applyProtection="1">
      <protection hidden="1"/>
    </xf>
    <xf numFmtId="0" fontId="12" fillId="0" borderId="18" xfId="0" applyFont="1" applyBorder="1" applyProtection="1">
      <protection hidden="1"/>
    </xf>
    <xf numFmtId="0" fontId="12" fillId="0" borderId="19" xfId="1" applyFont="1" applyBorder="1"/>
    <xf numFmtId="0" fontId="12" fillId="0" borderId="20" xfId="1" applyFont="1" applyBorder="1"/>
    <xf numFmtId="0" fontId="12" fillId="0" borderId="21" xfId="1" applyFont="1" applyBorder="1"/>
    <xf numFmtId="0" fontId="12" fillId="0" borderId="0" xfId="1" applyFont="1" applyProtection="1">
      <protection hidden="1"/>
    </xf>
    <xf numFmtId="0" fontId="12" fillId="10" borderId="22" xfId="1" applyFont="1" applyFill="1" applyBorder="1" applyAlignment="1" applyProtection="1">
      <alignment horizontal="left"/>
      <protection locked="0"/>
    </xf>
    <xf numFmtId="0" fontId="12" fillId="0" borderId="22" xfId="1" applyFont="1" applyBorder="1" applyAlignment="1" applyProtection="1">
      <alignment horizontal="left"/>
      <protection locked="0"/>
    </xf>
    <xf numFmtId="0" fontId="12" fillId="0" borderId="0" xfId="1" applyFont="1" applyProtection="1">
      <protection locked="0"/>
    </xf>
    <xf numFmtId="0" fontId="12" fillId="0" borderId="15" xfId="1" applyFont="1" applyBorder="1" applyProtection="1">
      <protection locked="0"/>
    </xf>
    <xf numFmtId="0" fontId="12" fillId="0" borderId="0" xfId="1" applyFont="1" applyAlignment="1" applyProtection="1">
      <alignment vertical="center"/>
      <protection locked="0"/>
    </xf>
    <xf numFmtId="0" fontId="12" fillId="0" borderId="15" xfId="1" applyFont="1" applyBorder="1" applyAlignment="1" applyProtection="1">
      <alignment vertical="center"/>
      <protection locked="0"/>
    </xf>
    <xf numFmtId="0" fontId="12" fillId="0" borderId="15" xfId="1" applyFont="1" applyBorder="1" applyProtection="1">
      <protection hidden="1"/>
    </xf>
    <xf numFmtId="0" fontId="12" fillId="0" borderId="18" xfId="1" applyFont="1" applyBorder="1" applyProtection="1">
      <protection hidden="1"/>
    </xf>
    <xf numFmtId="0" fontId="12" fillId="0" borderId="12" xfId="1" applyFont="1" applyBorder="1" applyProtection="1">
      <protection locked="0"/>
    </xf>
    <xf numFmtId="0" fontId="12" fillId="0" borderId="13" xfId="1" applyFont="1" applyBorder="1" applyProtection="1">
      <protection locked="0"/>
    </xf>
    <xf numFmtId="0" fontId="12" fillId="0" borderId="17" xfId="1" applyFont="1" applyBorder="1" applyProtection="1">
      <protection locked="0"/>
    </xf>
    <xf numFmtId="0" fontId="12" fillId="0" borderId="18" xfId="1" applyFont="1" applyBorder="1" applyProtection="1">
      <protection locked="0"/>
    </xf>
    <xf numFmtId="0" fontId="12" fillId="0" borderId="28" xfId="1" applyFont="1" applyBorder="1"/>
    <xf numFmtId="0" fontId="12" fillId="0" borderId="29" xfId="1" applyFont="1" applyBorder="1"/>
    <xf numFmtId="0" fontId="14" fillId="0" borderId="0" xfId="1" applyFont="1"/>
    <xf numFmtId="0" fontId="12" fillId="7" borderId="10" xfId="1" applyFont="1" applyFill="1" applyBorder="1"/>
    <xf numFmtId="0" fontId="12" fillId="0" borderId="10" xfId="1" applyFont="1" applyBorder="1"/>
    <xf numFmtId="22" fontId="14" fillId="0" borderId="0" xfId="0" applyNumberFormat="1" applyFont="1"/>
    <xf numFmtId="22" fontId="12" fillId="0" borderId="0" xfId="1" applyNumberFormat="1" applyFont="1"/>
    <xf numFmtId="20" fontId="12" fillId="0" borderId="10" xfId="1" applyNumberFormat="1" applyFont="1" applyBorder="1"/>
    <xf numFmtId="0" fontId="58" fillId="9" borderId="0" xfId="1" applyFont="1" applyFill="1"/>
    <xf numFmtId="0" fontId="58" fillId="9" borderId="0" xfId="1" quotePrefix="1" applyFont="1" applyFill="1"/>
    <xf numFmtId="20" fontId="12" fillId="0" borderId="0" xfId="1" applyNumberFormat="1" applyFont="1"/>
    <xf numFmtId="22" fontId="14" fillId="0" borderId="9" xfId="0" applyNumberFormat="1" applyFont="1" applyBorder="1"/>
    <xf numFmtId="0" fontId="59" fillId="31" borderId="7" xfId="3" applyFont="1" applyFill="1" applyBorder="1" applyAlignment="1" applyProtection="1">
      <alignment vertical="center"/>
      <protection hidden="1"/>
    </xf>
    <xf numFmtId="0" fontId="60" fillId="32" borderId="170" xfId="0" applyFont="1" applyFill="1" applyBorder="1" applyAlignment="1" applyProtection="1">
      <alignment horizontal="center" vertical="center"/>
      <protection hidden="1"/>
    </xf>
    <xf numFmtId="0" fontId="18" fillId="0" borderId="143" xfId="3" applyBorder="1" applyAlignment="1" applyProtection="1">
      <alignment horizontal="center" vertical="center"/>
      <protection hidden="1"/>
    </xf>
    <xf numFmtId="0" fontId="0" fillId="0" borderId="129" xfId="0" applyBorder="1" applyAlignment="1" applyProtection="1">
      <alignment vertical="center"/>
      <protection hidden="1"/>
    </xf>
    <xf numFmtId="0" fontId="0" fillId="0" borderId="129" xfId="0" applyBorder="1" applyProtection="1">
      <protection hidden="1"/>
    </xf>
    <xf numFmtId="0" fontId="62" fillId="27" borderId="142" xfId="0" applyFont="1" applyFill="1" applyBorder="1" applyAlignment="1" applyProtection="1">
      <alignment horizontal="center" vertical="center"/>
      <protection locked="0" hidden="1"/>
    </xf>
    <xf numFmtId="0" fontId="62" fillId="27" borderId="130" xfId="0" applyFont="1" applyFill="1" applyBorder="1" applyAlignment="1" applyProtection="1">
      <alignment horizontal="center" vertical="center"/>
      <protection locked="0" hidden="1"/>
    </xf>
    <xf numFmtId="0" fontId="62" fillId="27" borderId="0" xfId="0" applyFont="1" applyFill="1" applyAlignment="1" applyProtection="1">
      <alignment horizontal="center" vertical="center"/>
      <protection locked="0" hidden="1"/>
    </xf>
    <xf numFmtId="0" fontId="62" fillId="27" borderId="131" xfId="0" applyFont="1" applyFill="1" applyBorder="1" applyAlignment="1" applyProtection="1">
      <alignment horizontal="center" vertical="center"/>
      <protection locked="0" hidden="1"/>
    </xf>
    <xf numFmtId="0" fontId="12" fillId="0" borderId="97" xfId="0" applyFont="1" applyBorder="1" applyAlignment="1" applyProtection="1">
      <alignment horizontal="left" vertical="center"/>
      <protection hidden="1"/>
    </xf>
    <xf numFmtId="0" fontId="12" fillId="0" borderId="98" xfId="0" applyFont="1" applyBorder="1" applyAlignment="1" applyProtection="1">
      <alignment horizontal="left" vertical="center"/>
      <protection hidden="1"/>
    </xf>
    <xf numFmtId="0" fontId="12" fillId="0" borderId="99" xfId="0" applyFont="1" applyBorder="1" applyAlignment="1" applyProtection="1">
      <alignment horizontal="left" vertical="center"/>
      <protection hidden="1"/>
    </xf>
    <xf numFmtId="0" fontId="53" fillId="0" borderId="0" xfId="0" applyFont="1"/>
    <xf numFmtId="14" fontId="0" fillId="0" borderId="0" xfId="0" applyNumberFormat="1"/>
    <xf numFmtId="0" fontId="0" fillId="7" borderId="0" xfId="0" applyFill="1" applyProtection="1">
      <protection locked="0" hidden="1"/>
    </xf>
    <xf numFmtId="0" fontId="30" fillId="0" borderId="0" xfId="0" applyFont="1" applyAlignment="1">
      <alignment horizontal="center"/>
    </xf>
    <xf numFmtId="0" fontId="30" fillId="0" borderId="0" xfId="0" applyFont="1" applyAlignment="1">
      <alignment horizontal="center" wrapText="1"/>
    </xf>
    <xf numFmtId="0" fontId="30" fillId="0" borderId="6" xfId="0" applyFont="1" applyBorder="1" applyAlignment="1">
      <alignment horizontal="center" wrapText="1"/>
    </xf>
    <xf numFmtId="0" fontId="30" fillId="0" borderId="123" xfId="0" applyFont="1" applyBorder="1" applyAlignment="1">
      <alignment horizontal="center" wrapText="1"/>
    </xf>
    <xf numFmtId="0" fontId="5" fillId="0" borderId="0" xfId="0" applyFont="1"/>
    <xf numFmtId="0" fontId="5" fillId="0" borderId="0" xfId="0" applyFont="1" applyAlignment="1">
      <alignment horizontal="center"/>
    </xf>
    <xf numFmtId="0" fontId="5" fillId="0" borderId="6" xfId="0" applyFont="1" applyBorder="1" applyAlignment="1">
      <alignment horizontal="center"/>
    </xf>
    <xf numFmtId="0" fontId="5" fillId="0" borderId="123" xfId="0" applyFont="1" applyBorder="1" applyAlignment="1">
      <alignment horizontal="center"/>
    </xf>
    <xf numFmtId="0" fontId="63" fillId="29" borderId="148" xfId="3" applyFont="1" applyFill="1" applyBorder="1" applyAlignment="1" applyProtection="1">
      <alignment horizontal="center" vertical="center" wrapText="1"/>
      <protection hidden="1"/>
    </xf>
    <xf numFmtId="0" fontId="63" fillId="29" borderId="149" xfId="3" applyFont="1" applyFill="1" applyBorder="1" applyAlignment="1" applyProtection="1">
      <alignment horizontal="center" vertical="center" wrapText="1"/>
      <protection hidden="1"/>
    </xf>
    <xf numFmtId="0" fontId="63" fillId="29" borderId="154" xfId="3" applyFont="1" applyFill="1" applyBorder="1" applyAlignment="1" applyProtection="1">
      <alignment horizontal="center" vertical="center" wrapText="1"/>
      <protection hidden="1"/>
    </xf>
    <xf numFmtId="0" fontId="63" fillId="29" borderId="150" xfId="3" applyFont="1" applyFill="1" applyBorder="1" applyAlignment="1" applyProtection="1">
      <alignment horizontal="center" vertical="center" wrapText="1"/>
      <protection hidden="1"/>
    </xf>
    <xf numFmtId="0" fontId="63" fillId="29" borderId="0" xfId="3" applyFont="1" applyFill="1" applyBorder="1" applyAlignment="1" applyProtection="1">
      <alignment horizontal="center" vertical="center" wrapText="1"/>
      <protection hidden="1"/>
    </xf>
    <xf numFmtId="0" fontId="63" fillId="29" borderId="151" xfId="3" applyFont="1" applyFill="1" applyBorder="1" applyAlignment="1" applyProtection="1">
      <alignment horizontal="center" vertical="center" wrapText="1"/>
      <protection hidden="1"/>
    </xf>
    <xf numFmtId="0" fontId="63" fillId="29" borderId="155" xfId="3" applyFont="1" applyFill="1" applyBorder="1" applyAlignment="1" applyProtection="1">
      <alignment horizontal="center" vertical="center" wrapText="1"/>
      <protection hidden="1"/>
    </xf>
    <xf numFmtId="0" fontId="63" fillId="29" borderId="152" xfId="3" applyFont="1" applyFill="1" applyBorder="1" applyAlignment="1" applyProtection="1">
      <alignment horizontal="center" vertical="center" wrapText="1"/>
      <protection hidden="1"/>
    </xf>
    <xf numFmtId="0" fontId="63" fillId="29" borderId="153" xfId="3" applyFont="1" applyFill="1" applyBorder="1" applyAlignment="1" applyProtection="1">
      <alignment horizontal="center" vertical="center" wrapText="1"/>
      <protection hidden="1"/>
    </xf>
    <xf numFmtId="0" fontId="52" fillId="28" borderId="0" xfId="5" applyFont="1" applyFill="1" applyAlignment="1" applyProtection="1">
      <alignment horizontal="center" vertical="center"/>
      <protection hidden="1"/>
    </xf>
    <xf numFmtId="0" fontId="3" fillId="30" borderId="159" xfId="3" applyFont="1" applyFill="1" applyBorder="1" applyAlignment="1" applyProtection="1">
      <alignment horizontal="center" vertical="center" wrapText="1"/>
      <protection hidden="1"/>
    </xf>
    <xf numFmtId="0" fontId="3" fillId="30" borderId="161" xfId="3" applyFont="1" applyFill="1" applyBorder="1" applyAlignment="1" applyProtection="1">
      <alignment horizontal="center" vertical="center" wrapText="1"/>
      <protection hidden="1"/>
    </xf>
    <xf numFmtId="0" fontId="3" fillId="30" borderId="162" xfId="3" applyFont="1" applyFill="1" applyBorder="1" applyAlignment="1" applyProtection="1">
      <alignment horizontal="center" vertical="center" wrapText="1"/>
      <protection hidden="1"/>
    </xf>
    <xf numFmtId="0" fontId="3" fillId="30" borderId="163" xfId="3" applyFont="1" applyFill="1" applyBorder="1" applyAlignment="1" applyProtection="1">
      <alignment horizontal="center" vertical="center" wrapText="1"/>
      <protection hidden="1"/>
    </xf>
    <xf numFmtId="0" fontId="3" fillId="30" borderId="164" xfId="3" applyFont="1" applyFill="1" applyBorder="1" applyAlignment="1" applyProtection="1">
      <alignment horizontal="center" vertical="center" wrapText="1"/>
      <protection hidden="1"/>
    </xf>
    <xf numFmtId="0" fontId="3" fillId="30" borderId="166" xfId="3" applyFont="1" applyFill="1" applyBorder="1" applyAlignment="1" applyProtection="1">
      <alignment horizontal="center" vertical="center" wrapText="1"/>
      <protection hidden="1"/>
    </xf>
    <xf numFmtId="0" fontId="51" fillId="3" borderId="146" xfId="3" applyFont="1" applyFill="1" applyBorder="1" applyAlignment="1" applyProtection="1">
      <alignment horizontal="center" vertical="center"/>
      <protection hidden="1"/>
    </xf>
    <xf numFmtId="0" fontId="51" fillId="3" borderId="147" xfId="3" applyFont="1" applyFill="1" applyBorder="1" applyAlignment="1" applyProtection="1">
      <alignment horizontal="center" vertical="center"/>
      <protection hidden="1"/>
    </xf>
    <xf numFmtId="0" fontId="50" fillId="3" borderId="120" xfId="0" applyFont="1" applyFill="1" applyBorder="1" applyAlignment="1" applyProtection="1">
      <alignment horizontal="left" vertical="center"/>
      <protection hidden="1"/>
    </xf>
    <xf numFmtId="0" fontId="50" fillId="3" borderId="122" xfId="0" applyFont="1" applyFill="1" applyBorder="1" applyAlignment="1" applyProtection="1">
      <alignment horizontal="left" vertical="center"/>
      <protection hidden="1"/>
    </xf>
    <xf numFmtId="0" fontId="51" fillId="24" borderId="121" xfId="0" applyFont="1" applyFill="1" applyBorder="1" applyAlignment="1" applyProtection="1">
      <alignment horizontal="center" vertical="center"/>
      <protection locked="0" hidden="1"/>
    </xf>
    <xf numFmtId="0" fontId="51" fillId="24" borderId="110" xfId="0" applyFont="1" applyFill="1" applyBorder="1" applyAlignment="1" applyProtection="1">
      <alignment horizontal="center" vertical="center"/>
      <protection locked="0" hidden="1"/>
    </xf>
    <xf numFmtId="0" fontId="13" fillId="30" borderId="167" xfId="3" applyFont="1" applyFill="1" applyBorder="1" applyAlignment="1" applyProtection="1">
      <alignment horizontal="center" vertical="center" wrapText="1"/>
      <protection hidden="1"/>
    </xf>
    <xf numFmtId="0" fontId="13" fillId="30" borderId="168" xfId="3" applyFont="1" applyFill="1" applyBorder="1" applyAlignment="1" applyProtection="1">
      <alignment horizontal="center" vertical="center" wrapText="1"/>
      <protection hidden="1"/>
    </xf>
    <xf numFmtId="0" fontId="13" fillId="30" borderId="169" xfId="3" applyFont="1" applyFill="1" applyBorder="1" applyAlignment="1" applyProtection="1">
      <alignment horizontal="center" vertical="center" wrapText="1"/>
      <protection hidden="1"/>
    </xf>
    <xf numFmtId="0" fontId="43" fillId="30" borderId="159" xfId="3" applyFont="1" applyFill="1" applyBorder="1" applyAlignment="1" applyProtection="1">
      <alignment horizontal="center" vertical="center" wrapText="1"/>
      <protection locked="0" hidden="1"/>
    </xf>
    <xf numFmtId="0" fontId="43" fillId="30" borderId="160" xfId="3" applyFont="1" applyFill="1" applyBorder="1" applyAlignment="1" applyProtection="1">
      <alignment horizontal="center" vertical="center" wrapText="1"/>
      <protection locked="0" hidden="1"/>
    </xf>
    <xf numFmtId="0" fontId="43" fillId="30" borderId="161" xfId="3" applyFont="1" applyFill="1" applyBorder="1" applyAlignment="1" applyProtection="1">
      <alignment horizontal="center" vertical="center" wrapText="1"/>
      <protection locked="0" hidden="1"/>
    </xf>
    <xf numFmtId="0" fontId="43" fillId="30" borderId="162" xfId="3" applyFont="1" applyFill="1" applyBorder="1" applyAlignment="1" applyProtection="1">
      <alignment horizontal="center" vertical="center" wrapText="1"/>
      <protection locked="0" hidden="1"/>
    </xf>
    <xf numFmtId="0" fontId="43" fillId="30" borderId="0" xfId="3" applyFont="1" applyFill="1" applyBorder="1" applyAlignment="1" applyProtection="1">
      <alignment horizontal="center" vertical="center" wrapText="1"/>
      <protection locked="0" hidden="1"/>
    </xf>
    <xf numFmtId="0" fontId="43" fillId="30" borderId="163" xfId="3" applyFont="1" applyFill="1" applyBorder="1" applyAlignment="1" applyProtection="1">
      <alignment horizontal="center" vertical="center" wrapText="1"/>
      <protection locked="0" hidden="1"/>
    </xf>
    <xf numFmtId="0" fontId="43" fillId="30" borderId="164" xfId="3" applyFont="1" applyFill="1" applyBorder="1" applyAlignment="1" applyProtection="1">
      <alignment horizontal="center" vertical="center" wrapText="1"/>
      <protection locked="0" hidden="1"/>
    </xf>
    <xf numFmtId="0" fontId="43" fillId="30" borderId="165" xfId="3" applyFont="1" applyFill="1" applyBorder="1" applyAlignment="1" applyProtection="1">
      <alignment horizontal="center" vertical="center" wrapText="1"/>
      <protection locked="0" hidden="1"/>
    </xf>
    <xf numFmtId="0" fontId="43" fillId="30" borderId="166" xfId="3" applyFont="1" applyFill="1" applyBorder="1" applyAlignment="1" applyProtection="1">
      <alignment horizontal="center" vertical="center" wrapText="1"/>
      <protection locked="0" hidden="1"/>
    </xf>
    <xf numFmtId="0" fontId="61" fillId="3" borderId="171" xfId="3" applyFont="1" applyFill="1" applyBorder="1" applyAlignment="1" applyProtection="1">
      <alignment horizontal="center" vertical="center"/>
      <protection hidden="1"/>
    </xf>
    <xf numFmtId="0" fontId="61" fillId="3" borderId="172" xfId="3" applyFont="1" applyFill="1" applyBorder="1" applyAlignment="1" applyProtection="1">
      <alignment horizontal="center" vertical="center"/>
      <protection hidden="1"/>
    </xf>
    <xf numFmtId="0" fontId="61" fillId="3" borderId="173" xfId="3" applyFont="1" applyFill="1" applyBorder="1" applyAlignment="1" applyProtection="1">
      <alignment horizontal="center" vertical="center"/>
      <protection hidden="1"/>
    </xf>
    <xf numFmtId="0" fontId="61" fillId="3" borderId="174" xfId="3" applyFont="1" applyFill="1" applyBorder="1" applyAlignment="1" applyProtection="1">
      <alignment horizontal="center" vertical="center"/>
      <protection hidden="1"/>
    </xf>
    <xf numFmtId="0" fontId="61" fillId="3" borderId="0" xfId="3" applyFont="1" applyFill="1" applyBorder="1" applyAlignment="1" applyProtection="1">
      <alignment horizontal="center" vertical="center"/>
      <protection hidden="1"/>
    </xf>
    <xf numFmtId="0" fontId="61" fillId="3" borderId="175" xfId="3" applyFont="1" applyFill="1" applyBorder="1" applyAlignment="1" applyProtection="1">
      <alignment horizontal="center" vertical="center"/>
      <protection hidden="1"/>
    </xf>
    <xf numFmtId="0" fontId="61" fillId="3" borderId="176" xfId="3" applyFont="1" applyFill="1" applyBorder="1" applyAlignment="1" applyProtection="1">
      <alignment horizontal="center" vertical="center"/>
      <protection hidden="1"/>
    </xf>
    <xf numFmtId="0" fontId="61" fillId="3" borderId="177" xfId="3" applyFont="1" applyFill="1" applyBorder="1" applyAlignment="1" applyProtection="1">
      <alignment horizontal="center" vertical="center"/>
      <protection hidden="1"/>
    </xf>
    <xf numFmtId="0" fontId="61" fillId="3" borderId="178" xfId="3" applyFont="1" applyFill="1" applyBorder="1" applyAlignment="1" applyProtection="1">
      <alignment horizontal="center" vertical="center"/>
      <protection hidden="1"/>
    </xf>
    <xf numFmtId="0" fontId="16" fillId="0" borderId="140" xfId="0" applyFont="1" applyBorder="1" applyAlignment="1">
      <alignment horizontal="center" vertical="center"/>
    </xf>
    <xf numFmtId="0" fontId="16" fillId="0" borderId="138" xfId="0" applyFont="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9" fillId="14" borderId="0" xfId="4" applyFont="1" applyFill="1" applyAlignment="1" applyProtection="1">
      <alignment horizontal="center" vertical="center" wrapText="1"/>
      <protection hidden="1"/>
    </xf>
    <xf numFmtId="0" fontId="37" fillId="17" borderId="0" xfId="4" applyFont="1" applyFill="1" applyAlignment="1" applyProtection="1">
      <alignment horizontal="center" vertical="center"/>
      <protection hidden="1"/>
    </xf>
    <xf numFmtId="0" fontId="9" fillId="18" borderId="0" xfId="4" applyFont="1" applyFill="1" applyAlignment="1" applyProtection="1">
      <alignment horizontal="center" vertical="center" wrapText="1"/>
      <protection hidden="1"/>
    </xf>
    <xf numFmtId="0" fontId="38" fillId="15" borderId="0" xfId="4" applyFont="1" applyFill="1" applyAlignment="1" applyProtection="1">
      <alignment horizontal="center" vertical="center"/>
      <protection hidden="1"/>
    </xf>
    <xf numFmtId="0" fontId="40" fillId="2" borderId="0" xfId="4" applyFont="1" applyFill="1" applyAlignment="1" applyProtection="1">
      <alignment horizontal="center" vertical="center"/>
      <protection hidden="1"/>
    </xf>
    <xf numFmtId="0" fontId="1" fillId="11" borderId="0" xfId="4" applyFont="1" applyFill="1" applyAlignment="1" applyProtection="1">
      <alignment horizontal="left" vertical="center" wrapText="1"/>
      <protection hidden="1"/>
    </xf>
    <xf numFmtId="0" fontId="2" fillId="11" borderId="0" xfId="4" applyFill="1" applyAlignment="1" applyProtection="1">
      <alignment horizontal="left" vertical="center" wrapText="1"/>
      <protection hidden="1"/>
    </xf>
    <xf numFmtId="0" fontId="1" fillId="13" borderId="0" xfId="4" applyFont="1" applyFill="1" applyAlignment="1" applyProtection="1">
      <alignment horizontal="left" vertical="center" wrapText="1"/>
      <protection hidden="1"/>
    </xf>
    <xf numFmtId="0" fontId="2" fillId="13" borderId="0" xfId="4" applyFill="1" applyAlignment="1" applyProtection="1">
      <alignment horizontal="left" vertical="center" wrapText="1"/>
      <protection hidden="1"/>
    </xf>
    <xf numFmtId="0" fontId="1" fillId="15" borderId="0" xfId="4" applyFont="1" applyFill="1" applyAlignment="1" applyProtection="1">
      <alignment horizontal="left" vertical="center" wrapText="1"/>
      <protection hidden="1"/>
    </xf>
    <xf numFmtId="0" fontId="2" fillId="15" borderId="0" xfId="4" applyFill="1" applyAlignment="1" applyProtection="1">
      <alignment horizontal="left" vertical="center" wrapText="1"/>
      <protection hidden="1"/>
    </xf>
    <xf numFmtId="0" fontId="45" fillId="15" borderId="124" xfId="4" applyFont="1" applyFill="1" applyBorder="1" applyAlignment="1" applyProtection="1">
      <alignment horizontal="center" vertical="center" wrapText="1"/>
      <protection hidden="1"/>
    </xf>
    <xf numFmtId="0" fontId="45" fillId="15" borderId="0" xfId="4" applyFont="1" applyFill="1" applyAlignment="1" applyProtection="1">
      <alignment horizontal="center" vertical="center" wrapText="1"/>
      <protection hidden="1"/>
    </xf>
    <xf numFmtId="0" fontId="46" fillId="15" borderId="0" xfId="4" applyFont="1" applyFill="1" applyAlignment="1" applyProtection="1">
      <alignment horizontal="center" vertical="center"/>
      <protection hidden="1"/>
    </xf>
    <xf numFmtId="0" fontId="39" fillId="15" borderId="0" xfId="4" applyFont="1" applyFill="1" applyAlignment="1" applyProtection="1">
      <alignment horizontal="center" vertical="center" wrapText="1"/>
      <protection hidden="1"/>
    </xf>
    <xf numFmtId="0" fontId="39" fillId="15" borderId="0" xfId="4" applyFont="1" applyFill="1" applyAlignment="1" applyProtection="1">
      <alignment horizontal="center" vertical="center"/>
      <protection hidden="1"/>
    </xf>
    <xf numFmtId="0" fontId="41" fillId="11" borderId="0" xfId="4" quotePrefix="1" applyFont="1" applyFill="1" applyAlignment="1" applyProtection="1">
      <alignment horizontal="center" vertical="center" wrapText="1"/>
      <protection hidden="1"/>
    </xf>
    <xf numFmtId="0" fontId="1" fillId="11" borderId="0" xfId="4" applyFont="1" applyFill="1" applyAlignment="1" applyProtection="1">
      <alignment horizontal="center" vertical="center" wrapText="1"/>
      <protection hidden="1"/>
    </xf>
    <xf numFmtId="0" fontId="39" fillId="11" borderId="0" xfId="4" quotePrefix="1" applyFont="1" applyFill="1" applyAlignment="1" applyProtection="1">
      <alignment horizontal="center" vertical="center"/>
      <protection hidden="1"/>
    </xf>
    <xf numFmtId="0" fontId="9" fillId="11" borderId="0" xfId="4" applyFont="1" applyFill="1" applyAlignment="1" applyProtection="1">
      <alignment horizontal="center" vertical="center" wrapText="1"/>
      <protection hidden="1"/>
    </xf>
    <xf numFmtId="0" fontId="6" fillId="2" borderId="0" xfId="1" applyFill="1" applyAlignment="1" applyProtection="1">
      <alignment horizontal="left" vertical="center" wrapText="1"/>
      <protection hidden="1"/>
    </xf>
    <xf numFmtId="0" fontId="30" fillId="0" borderId="0" xfId="0" applyFont="1" applyAlignment="1" applyProtection="1">
      <alignment horizontal="center" vertical="top"/>
      <protection hidden="1"/>
    </xf>
    <xf numFmtId="0" fontId="30" fillId="0" borderId="0" xfId="0" applyFont="1" applyAlignment="1" applyProtection="1">
      <alignment horizontal="left" vertical="top"/>
      <protection hidden="1"/>
    </xf>
    <xf numFmtId="0" fontId="30" fillId="0" borderId="0" xfId="0" applyFont="1" applyAlignment="1" applyProtection="1">
      <alignment horizontal="center" vertical="top" wrapText="1"/>
      <protection hidden="1"/>
    </xf>
    <xf numFmtId="0" fontId="30" fillId="0" borderId="0" xfId="0" applyFont="1" applyAlignment="1" applyProtection="1">
      <alignment vertical="top"/>
      <protection hidden="1"/>
    </xf>
    <xf numFmtId="0" fontId="30" fillId="0" borderId="0" xfId="0" applyFont="1" applyAlignment="1" applyProtection="1">
      <alignment horizontal="center"/>
      <protection hidden="1"/>
    </xf>
  </cellXfs>
  <cellStyles count="6">
    <cellStyle name="Hipervínculo" xfId="3" builtinId="8"/>
    <cellStyle name="Hipervínculo 2" xfId="2" xr:uid="{ACF7C65C-B6D4-E443-B856-8A4D26F52DA7}"/>
    <cellStyle name="Normal" xfId="0" builtinId="0"/>
    <cellStyle name="Normal 2" xfId="1" xr:uid="{C30F99D4-65FC-884E-89FE-136192F6151A}"/>
    <cellStyle name="Normal 2 2" xfId="5" xr:uid="{6259F230-7958-C44D-83E5-AEA05D8D2FE4}"/>
    <cellStyle name="Normal 3" xfId="4" xr:uid="{83D9F494-B293-9D42-AA03-96C92B797320}"/>
  </cellStyles>
  <dxfs count="9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1"/>
      </font>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color theme="1"/>
      </font>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1"/>
      </font>
      <fill>
        <patternFill patternType="solid">
          <bgColor theme="0"/>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1"/>
      </font>
    </dxf>
    <dxf>
      <font>
        <color theme="1"/>
      </font>
    </dxf>
    <dxf>
      <font>
        <color theme="1"/>
      </font>
    </dxf>
    <dxf>
      <font>
        <color theme="1"/>
      </font>
      <fill>
        <patternFill patternType="none">
          <bgColor auto="1"/>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1"/>
      </font>
      <fill>
        <patternFill patternType="none">
          <bgColor auto="1"/>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E8E6E6"/>
        </patternFill>
      </fill>
      <border>
        <left style="thin">
          <color theme="0"/>
        </left>
        <right style="thin">
          <color theme="0"/>
        </right>
        <top style="thin">
          <color theme="0"/>
        </top>
        <bottom style="thin">
          <color theme="0"/>
        </bottom>
      </border>
    </dxf>
    <dxf>
      <numFmt numFmtId="0" formatCode="General"/>
    </dxf>
    <dxf>
      <numFmt numFmtId="0" formatCode="General"/>
    </dxf>
    <dxf>
      <numFmt numFmtId="0" formatCode="General"/>
    </dxf>
    <dxf>
      <numFmt numFmtId="0" formatCode="General"/>
    </dxf>
    <dxf>
      <numFmt numFmtId="167" formatCode="m/d/yy"/>
    </dxf>
    <dxf>
      <numFmt numFmtId="0" formatCode="General"/>
    </dxf>
    <dxf>
      <numFmt numFmtId="0" formatCode="General"/>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s>
  <tableStyles count="0" defaultTableStyle="TableStyleMedium2" defaultPivotStyle="PivotStyleLight16"/>
  <colors>
    <mruColors>
      <color rgb="FF9BC2E6"/>
      <color rgb="FFB2BFBE"/>
      <color rgb="FFCC8400"/>
      <color rgb="FFFFA500"/>
      <color rgb="FFC0392B"/>
      <color rgb="FFFF4B2B"/>
      <color rgb="FF0056B3"/>
      <color rgb="FF007BFF"/>
      <color rgb="FF009E73"/>
      <color rgb="FF4444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7.png"/></Relationships>
</file>

<file path=xl/drawings/_rels/drawing2.xml.rels><?xml version="1.0" encoding="UTF-8" standalone="yes"?>
<Relationships xmlns="http://schemas.openxmlformats.org/package/2006/relationships"><Relationship Id="rId1" Type="http://schemas.openxmlformats.org/officeDocument/2006/relationships/hyperlink" Target="https://es.wikipedia.org/wiki/Archivo:Flag_of_France_(1794%E2%80%931815,_1830%E2%80%931974).sv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135432</xdr:colOff>
      <xdr:row>4</xdr:row>
      <xdr:rowOff>139700</xdr:rowOff>
    </xdr:from>
    <xdr:to>
      <xdr:col>5</xdr:col>
      <xdr:colOff>835049</xdr:colOff>
      <xdr:row>20</xdr:row>
      <xdr:rowOff>50800</xdr:rowOff>
    </xdr:to>
    <xdr:pic>
      <xdr:nvPicPr>
        <xdr:cNvPr id="6" name="Imagen 5">
          <a:extLst>
            <a:ext uri="{FF2B5EF4-FFF2-40B4-BE49-F238E27FC236}">
              <a16:creationId xmlns:a16="http://schemas.microsoft.com/office/drawing/2014/main" id="{F26F3705-5557-EF40-87CC-6398A86177D4}"/>
            </a:ext>
          </a:extLst>
        </xdr:cNvPr>
        <xdr:cNvPicPr>
          <a:picLocks noChangeAspect="1"/>
        </xdr:cNvPicPr>
      </xdr:nvPicPr>
      <xdr:blipFill>
        <a:blip xmlns:r="http://schemas.openxmlformats.org/officeDocument/2006/relationships" r:embed="rId1"/>
        <a:stretch>
          <a:fillRect/>
        </a:stretch>
      </xdr:blipFill>
      <xdr:spPr>
        <a:xfrm>
          <a:off x="3843832" y="901700"/>
          <a:ext cx="2350617" cy="3060700"/>
        </a:xfrm>
        <a:prstGeom prst="rect">
          <a:avLst/>
        </a:prstGeom>
      </xdr:spPr>
    </xdr:pic>
    <xdr:clientData/>
  </xdr:twoCellAnchor>
  <xdr:twoCellAnchor>
    <xdr:from>
      <xdr:col>3</xdr:col>
      <xdr:colOff>461188</xdr:colOff>
      <xdr:row>10</xdr:row>
      <xdr:rowOff>139700</xdr:rowOff>
    </xdr:from>
    <xdr:to>
      <xdr:col>5</xdr:col>
      <xdr:colOff>564363</xdr:colOff>
      <xdr:row>16</xdr:row>
      <xdr:rowOff>139700</xdr:rowOff>
    </xdr:to>
    <xdr:sp macro="" textlink="Idiomas!D9">
      <xdr:nvSpPr>
        <xdr:cNvPr id="7" name="CuadroTexto 6">
          <a:extLst>
            <a:ext uri="{FF2B5EF4-FFF2-40B4-BE49-F238E27FC236}">
              <a16:creationId xmlns:a16="http://schemas.microsoft.com/office/drawing/2014/main" id="{138B046C-5E82-9C4D-AE3D-7A422647558C}"/>
            </a:ext>
          </a:extLst>
        </xdr:cNvPr>
        <xdr:cNvSpPr txBox="1"/>
      </xdr:nvSpPr>
      <xdr:spPr>
        <a:xfrm>
          <a:off x="4169588" y="2082800"/>
          <a:ext cx="1754175" cy="11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BF49E3-A5B8-5E47-AD73-7EB9A1EA0082}" type="TxLink">
            <a:rPr lang="en-US" sz="1200" b="1" i="0" u="none" strike="noStrike">
              <a:solidFill>
                <a:srgbClr val="000000"/>
              </a:solidFill>
              <a:latin typeface="Calibri"/>
              <a:cs typeface="Calibri"/>
            </a:rPr>
            <a:pPr algn="ctr"/>
            <a:t>LXXII
Champions League
2026-2027</a:t>
          </a:fld>
          <a:endParaRPr lang="es-ES_tradnl" sz="2400" b="1">
            <a:solidFill>
              <a:schemeClr val="tx1"/>
            </a:solidFill>
          </a:endParaRPr>
        </a:p>
      </xdr:txBody>
    </xdr:sp>
    <xdr:clientData/>
  </xdr:twoCellAnchor>
  <xdr:twoCellAnchor>
    <xdr:from>
      <xdr:col>0</xdr:col>
      <xdr:colOff>279400</xdr:colOff>
      <xdr:row>15</xdr:row>
      <xdr:rowOff>12700</xdr:rowOff>
    </xdr:from>
    <xdr:to>
      <xdr:col>0</xdr:col>
      <xdr:colOff>520700</xdr:colOff>
      <xdr:row>16</xdr:row>
      <xdr:rowOff>63500</xdr:rowOff>
    </xdr:to>
    <xdr:sp macro="" textlink="">
      <xdr:nvSpPr>
        <xdr:cNvPr id="8" name="Estrella de 5 puntas 7">
          <a:extLst>
            <a:ext uri="{FF2B5EF4-FFF2-40B4-BE49-F238E27FC236}">
              <a16:creationId xmlns:a16="http://schemas.microsoft.com/office/drawing/2014/main" id="{4008A2D2-0D33-B743-A9B4-630C15EB6969}"/>
            </a:ext>
          </a:extLst>
        </xdr:cNvPr>
        <xdr:cNvSpPr>
          <a:spLocks noChangeAspect="1"/>
        </xdr:cNvSpPr>
      </xdr:nvSpPr>
      <xdr:spPr>
        <a:xfrm flipH="1">
          <a:off x="279400" y="2959100"/>
          <a:ext cx="241300" cy="241300"/>
        </a:xfrm>
        <a:prstGeom prst="star5">
          <a:avLst/>
        </a:prstGeom>
        <a:solidFill>
          <a:srgbClr val="B2BFBE"/>
        </a:solidFill>
        <a:ln>
          <a:noFill/>
        </a:ln>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0</xdr:colOff>
      <xdr:row>333</xdr:row>
      <xdr:rowOff>0</xdr:rowOff>
    </xdr:from>
    <xdr:ext cx="254000" cy="165100"/>
    <xdr:sp macro="" textlink="">
      <xdr:nvSpPr>
        <xdr:cNvPr id="2" name="AutoShape 11" descr="Bandera de Francia">
          <a:hlinkClick xmlns:r="http://schemas.openxmlformats.org/officeDocument/2006/relationships" r:id="rId1" tooltip="Bandera de Francia"/>
          <a:extLst>
            <a:ext uri="{FF2B5EF4-FFF2-40B4-BE49-F238E27FC236}">
              <a16:creationId xmlns:a16="http://schemas.microsoft.com/office/drawing/2014/main" id="{9D57355C-7D96-3F47-9C64-7422C519BE90}"/>
            </a:ext>
          </a:extLst>
        </xdr:cNvPr>
        <xdr:cNvSpPr>
          <a:spLocks noChangeAspect="1" noChangeArrowheads="1"/>
        </xdr:cNvSpPr>
      </xdr:nvSpPr>
      <xdr:spPr bwMode="auto">
        <a:xfrm>
          <a:off x="15557500" y="47371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333</xdr:row>
      <xdr:rowOff>0</xdr:rowOff>
    </xdr:from>
    <xdr:ext cx="254000" cy="165100"/>
    <xdr:sp macro="" textlink="">
      <xdr:nvSpPr>
        <xdr:cNvPr id="3" name="AutoShape 11" descr="Bandera de Francia">
          <a:hlinkClick xmlns:r="http://schemas.openxmlformats.org/officeDocument/2006/relationships" r:id="rId1" tooltip="Bandera de Francia"/>
          <a:extLst>
            <a:ext uri="{FF2B5EF4-FFF2-40B4-BE49-F238E27FC236}">
              <a16:creationId xmlns:a16="http://schemas.microsoft.com/office/drawing/2014/main" id="{4D64735C-4F0D-D746-B1B0-A66ECFA5B528}"/>
            </a:ext>
          </a:extLst>
        </xdr:cNvPr>
        <xdr:cNvSpPr>
          <a:spLocks noChangeAspect="1" noChangeArrowheads="1"/>
        </xdr:cNvSpPr>
      </xdr:nvSpPr>
      <xdr:spPr bwMode="auto">
        <a:xfrm>
          <a:off x="6769100" y="58445400"/>
          <a:ext cx="254000" cy="165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A394F382-051A-4BF5-A850-91773BF9ECFC}" autoFormatId="16" applyNumberFormats="0" applyBorderFormats="0" applyFontFormats="0" applyPatternFormats="0" applyAlignmentFormats="0" applyWidthHeightFormats="0">
  <queryTableRefresh nextId="45">
    <queryTableFields count="44">
      <queryTableField id="1" name="Column1" tableColumnId="1"/>
      <queryTableField id="2" name="Column2" tableColumnId="2"/>
      <queryTableField id="3" name="Column3" tableColumnId="3"/>
      <queryTableField id="4" name="Column4" tableColumnId="4"/>
      <queryTableField id="5" name="Column5" tableColumnId="5"/>
      <queryTableField id="6" name="PO R1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R16"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QF"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SF"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F"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s>
  </queryTableRefresh>
</queryTable>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2">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0">
    <v>34</v>
    <v>4</v>
  </rv>
  <rv s="0">
    <v>35</v>
    <v>4</v>
  </rv>
  <rv s="0">
    <v>0</v>
    <v>5</v>
  </rv>
  <rv s="0">
    <v>4</v>
    <v>5</v>
  </rv>
  <rv s="0">
    <v>3</v>
    <v>5</v>
  </rv>
  <rv s="0">
    <v>9</v>
    <v>5</v>
  </rv>
  <rv s="0">
    <v>12</v>
    <v>5</v>
  </rv>
  <rv s="0">
    <v>15</v>
    <v>5</v>
  </rv>
  <rv s="0">
    <v>11</v>
    <v>5</v>
  </rv>
  <rv s="0">
    <v>19</v>
    <v>5</v>
  </rv>
  <rv s="0">
    <v>5</v>
    <v>5</v>
  </rv>
  <rv s="0">
    <v>2</v>
    <v>5</v>
  </rv>
  <rv s="0">
    <v>25</v>
    <v>5</v>
  </rv>
  <rv s="0">
    <v>27</v>
    <v>5</v>
  </rv>
  <rv s="0">
    <v>16</v>
    <v>5</v>
  </rv>
  <rv s="0">
    <v>24</v>
    <v>5</v>
  </rv>
  <rv s="0">
    <v>14</v>
    <v>5</v>
  </rv>
  <rv s="0">
    <v>1</v>
    <v>5</v>
  </rv>
  <rv s="0">
    <v>31</v>
    <v>5</v>
  </rv>
  <rv s="0">
    <v>35</v>
    <v>5</v>
  </rv>
  <rv s="0">
    <v>10</v>
    <v>5</v>
  </rv>
  <rv s="0">
    <v>20</v>
    <v>5</v>
  </rv>
  <rv s="0">
    <v>8</v>
    <v>5</v>
  </rv>
  <rv s="0">
    <v>32</v>
    <v>5</v>
  </rv>
  <rv s="0">
    <v>26</v>
    <v>5</v>
  </rv>
  <rv s="0">
    <v>7</v>
    <v>5</v>
  </rv>
  <rv s="0">
    <v>21</v>
    <v>5</v>
  </rv>
  <rv s="0">
    <v>29</v>
    <v>5</v>
  </rv>
  <rv s="0">
    <v>13</v>
    <v>5</v>
  </rv>
  <rv s="0">
    <v>28</v>
    <v>5</v>
  </rv>
  <rv s="0">
    <v>33</v>
    <v>5</v>
  </rv>
  <rv s="0">
    <v>30</v>
    <v>5</v>
  </rv>
  <rv s="0">
    <v>34</v>
    <v>5</v>
  </rv>
  <rv s="0">
    <v>22</v>
    <v>5</v>
  </rv>
  <rv s="0">
    <v>23</v>
    <v>5</v>
  </rv>
  <rv s="0">
    <v>17</v>
    <v>5</v>
  </rv>
  <rv s="0">
    <v>18</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ichValueRel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0853B4-4369-C147-BF5B-14D28898A29C}" name="TablaEquipos" displayName="TablaEquipos" ref="A1:B37" totalsRowShown="0" headerRowDxfId="97" dataDxfId="96">
  <tableColumns count="2">
    <tableColumn id="1" xr3:uid="{076CA2B8-6604-BA4A-9306-CB7DCC15539A}" name="Team" dataDxfId="95"/>
    <tableColumn id="4" xr3:uid="{F7CD3A6D-A64E-9142-A856-C0FF1F6100FA}" name="Badge" dataDxfId="9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F6A84E-55B7-4F5C-A3C8-5756C4F8E1F0}" name="Hoja_1" displayName="Hoja_1" ref="A1:AR36" tableType="queryTable" totalsRowShown="0">
  <autoFilter ref="A1:AR36" xr:uid="{C9F6A84E-55B7-4F5C-A3C8-5756C4F8E1F0}"/>
  <tableColumns count="44">
    <tableColumn id="1" xr3:uid="{B478076D-4D58-4300-9DDD-F704ED5A5806}" uniqueName="1" name="Column1" queryTableFieldId="1"/>
    <tableColumn id="2" xr3:uid="{AE023FA8-4F8F-4CCE-AC3F-E84A3878F5E8}" uniqueName="2" name="Column2" queryTableFieldId="2" dataDxfId="93"/>
    <tableColumn id="3" xr3:uid="{7571BD6D-50CC-40FC-BFD7-8C01ADF60333}" uniqueName="3" name="Column3" queryTableFieldId="3"/>
    <tableColumn id="4" xr3:uid="{F5D26068-C5F2-4DD2-AD46-D6B882DE828B}" uniqueName="4" name="Column4" queryTableFieldId="4"/>
    <tableColumn id="5" xr3:uid="{04C3C1E0-9434-4EB5-935D-B0102037AFD2}" uniqueName="5" name="Column5" queryTableFieldId="5"/>
    <tableColumn id="6" xr3:uid="{B0BCF8AB-C47B-4DF1-9BEA-91634BF9C912}" uniqueName="6" name="PO R16" queryTableFieldId="6"/>
    <tableColumn id="7" xr3:uid="{E799999F-564F-49F4-B852-8457F9C68648}" uniqueName="7" name="Column7" queryTableFieldId="7"/>
    <tableColumn id="8" xr3:uid="{A6B8053C-E04D-4F17-BF10-798FADBA72AD}" uniqueName="8" name="Column8" queryTableFieldId="8"/>
    <tableColumn id="9" xr3:uid="{016A4709-C192-4042-BCFF-25BB5B26E14D}" uniqueName="9" name="Column9" queryTableFieldId="9"/>
    <tableColumn id="10" xr3:uid="{F377947B-4C3B-4651-B4F0-E6C8D179730A}" uniqueName="10" name="Column10" queryTableFieldId="10" dataDxfId="92"/>
    <tableColumn id="11" xr3:uid="{E921E6C3-5E45-43B6-986B-CBFEF0464321}" uniqueName="11" name="Column11" queryTableFieldId="11"/>
    <tableColumn id="12" xr3:uid="{F80963F3-9BA5-482E-8346-B224745C0EA8}" uniqueName="12" name="Column12" queryTableFieldId="12" dataDxfId="91"/>
    <tableColumn id="13" xr3:uid="{9CA6753E-014B-4036-8E7A-37EAE301C60E}" uniqueName="13" name="Column13" queryTableFieldId="13"/>
    <tableColumn id="14" xr3:uid="{F6E27F71-21DD-46F7-93C6-7B40AF07A663}" uniqueName="14" name="R16" queryTableFieldId="14"/>
    <tableColumn id="15" xr3:uid="{D8399A88-0649-47B0-97D0-84304ED8D7DA}" uniqueName="15" name="Column15" queryTableFieldId="15"/>
    <tableColumn id="16" xr3:uid="{72B7C730-3411-46DB-BEA5-244763D064F8}" uniqueName="16" name="Column16" queryTableFieldId="16"/>
    <tableColumn id="17" xr3:uid="{31B2E7D9-7FA3-4A01-A1DB-4A5CC28A3A9F}" uniqueName="17" name="Column17" queryTableFieldId="17"/>
    <tableColumn id="18" xr3:uid="{0B88378B-82B8-4E34-ACF6-8E28E6CEF3FB}" uniqueName="18" name="Column18" queryTableFieldId="18" dataDxfId="90"/>
    <tableColumn id="19" xr3:uid="{06FB2AA6-779B-4B91-9DB1-7A28C06D67CC}" uniqueName="19" name="Column19" queryTableFieldId="19"/>
    <tableColumn id="20" xr3:uid="{4B6D5231-CFB1-4F56-B2EA-84CA75F46F63}" uniqueName="20" name="Column20" queryTableFieldId="20"/>
    <tableColumn id="21" xr3:uid="{75228E62-6789-47EF-9954-B3E6E835780D}" uniqueName="21" name="Column21" queryTableFieldId="21"/>
    <tableColumn id="22" xr3:uid="{82150681-62D3-4253-95EC-3F02349A5FFC}" uniqueName="22" name="QF" queryTableFieldId="22"/>
    <tableColumn id="23" xr3:uid="{40F9F69B-77A2-4C55-ABA1-82E844610A41}" uniqueName="23" name="Column23" queryTableFieldId="23"/>
    <tableColumn id="24" xr3:uid="{AEA79C93-9C8D-41CC-A26A-3E6AF64C8308}" uniqueName="24" name="Column24" queryTableFieldId="24"/>
    <tableColumn id="25" xr3:uid="{F363EC95-A192-4D46-9A77-3458EFFDF394}" uniqueName="25" name="Column25" queryTableFieldId="25"/>
    <tableColumn id="26" xr3:uid="{0A25F3D3-7E48-4B4E-94D6-2603D854ACA2}" uniqueName="26" name="Column26" queryTableFieldId="26" dataDxfId="89"/>
    <tableColumn id="27" xr3:uid="{3BE7F761-7607-404F-8A77-14D70FEED7A3}" uniqueName="27" name="Column27" queryTableFieldId="27"/>
    <tableColumn id="28" xr3:uid="{32082618-B12F-4F4E-9565-D738D808B96B}" uniqueName="28" name="Column28" queryTableFieldId="28"/>
    <tableColumn id="29" xr3:uid="{8EB36C56-09EF-4E4F-B4F2-6EF9ACA6E743}" uniqueName="29" name="Column29" queryTableFieldId="29"/>
    <tableColumn id="30" xr3:uid="{6D0C24FA-CE03-4890-8831-1A28601A757D}" uniqueName="30" name="SF" queryTableFieldId="30"/>
    <tableColumn id="31" xr3:uid="{9C0E57A4-C68C-44EE-850D-2B31E98CF375}" uniqueName="31" name="Column31" queryTableFieldId="31"/>
    <tableColumn id="32" xr3:uid="{FB6A1AB0-C81F-4C76-B1A1-D71A3BB59717}" uniqueName="32" name="Column32" queryTableFieldId="32"/>
    <tableColumn id="33" xr3:uid="{D097F59B-3FD3-4E11-97D0-15AC1F7768A0}" uniqueName="33" name="Column33" queryTableFieldId="33"/>
    <tableColumn id="34" xr3:uid="{EDC71356-8488-4330-B606-E3B3E7E3D493}" uniqueName="34" name="Column34" queryTableFieldId="34" dataDxfId="88"/>
    <tableColumn id="35" xr3:uid="{D564CCAC-2F00-49C2-92C0-2B3C224273C0}" uniqueName="35" name="Column35" queryTableFieldId="35"/>
    <tableColumn id="36" xr3:uid="{032F4389-FB78-46F8-B030-52545DE49037}" uniqueName="36" name="Column36" queryTableFieldId="36"/>
    <tableColumn id="37" xr3:uid="{03D48F5D-5578-42B0-8D17-2FDB7202343A}" uniqueName="37" name="Column37" queryTableFieldId="37"/>
    <tableColumn id="38" xr3:uid="{9C1A65BF-B8A0-4D97-B7BB-53F346843F2F}" uniqueName="38" name="F" queryTableFieldId="38"/>
    <tableColumn id="39" xr3:uid="{D22D1F12-53EA-436F-AFCA-64A79EEBCF39}" uniqueName="39" name="Column39" queryTableFieldId="39"/>
    <tableColumn id="40" xr3:uid="{EF24441B-CB34-4E89-8502-1CAB85DFF4A9}" uniqueName="40" name="Column40" queryTableFieldId="40" dataDxfId="87"/>
    <tableColumn id="41" xr3:uid="{8EB9E8F9-6921-4694-99BC-D7D33807BEE0}" uniqueName="41" name="Column41" queryTableFieldId="41"/>
    <tableColumn id="42" xr3:uid="{41C431BF-4AF5-49D5-A440-1BC27F4F18D6}" uniqueName="42" name="Column42" queryTableFieldId="42"/>
    <tableColumn id="43" xr3:uid="{EF0D8842-3C1D-4266-8C63-C6363D5B3A40}" uniqueName="43" name="Column43" queryTableFieldId="43"/>
    <tableColumn id="44" xr3:uid="{14503ABE-DB66-4B06-BC20-E64F70FBE4FA}" uniqueName="44" name="Column44" queryTableFieldId="44"/>
  </tableColumns>
  <tableStyleInfo name="TableStyleMedium7"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9AB25B3-1932-6F41-B4C6-6E9B0F32A3CB}">
  <we:reference id="wa200005502" version="1.0.0.11" store="es-ES" storeType="OMEX"/>
  <we:alternateReferences>
    <we:reference id="wa200005502" version="1.0.0.11" store="" storeType="OMEX"/>
  </we:alternateReferences>
  <we:properties>
    <we:property name="docId" value="&quot;xeV3Td_8u2X9vxVpjGtR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matejero.com/conference-league-excel-schedule/" TargetMode="External"/><Relationship Id="rId13" Type="http://schemas.openxmlformats.org/officeDocument/2006/relationships/hyperlink" Target="https://matejero.es/download/calendario-liga-f-26-27-excel/" TargetMode="External"/><Relationship Id="rId3" Type="http://schemas.openxmlformats.org/officeDocument/2006/relationships/hyperlink" Target="https://matejero.com/premier-league-excel-schedule/" TargetMode="External"/><Relationship Id="rId7" Type="http://schemas.openxmlformats.org/officeDocument/2006/relationships/hyperlink" Target="https://matejero.es/excel-conference-league/" TargetMode="External"/><Relationship Id="rId12" Type="http://schemas.openxmlformats.org/officeDocument/2006/relationships/hyperlink" Target="https://matejero.es/download/calendario-1a-federacion-26-27-excel/" TargetMode="External"/><Relationship Id="rId17" Type="http://schemas.openxmlformats.org/officeDocument/2006/relationships/drawing" Target="../drawings/drawing1.xml"/><Relationship Id="rId2" Type="http://schemas.openxmlformats.org/officeDocument/2006/relationships/hyperlink" Target="https://matejero.com/womens-world-cup-excel-schedule/" TargetMode="External"/><Relationship Id="rId16" Type="http://schemas.openxmlformats.org/officeDocument/2006/relationships/hyperlink" Target="https://matejero.com/excel-championship-tracker-schedule/" TargetMode="External"/><Relationship Id="rId1" Type="http://schemas.openxmlformats.org/officeDocument/2006/relationships/hyperlink" Target="https://matejero.es/porra-mundial-femenino-excel/" TargetMode="External"/><Relationship Id="rId6" Type="http://schemas.openxmlformats.org/officeDocument/2006/relationships/hyperlink" Target="https://matejero.es/excel-copa-libertadores/" TargetMode="External"/><Relationship Id="rId11" Type="http://schemas.openxmlformats.org/officeDocument/2006/relationships/hyperlink" Target="https://matejero.es/download/calendario-2a-division-26-27-excel" TargetMode="External"/><Relationship Id="rId5" Type="http://schemas.openxmlformats.org/officeDocument/2006/relationships/hyperlink" Target="https://matejero.com/europa-league-excel-schedule/" TargetMode="External"/><Relationship Id="rId15" Type="http://schemas.openxmlformats.org/officeDocument/2006/relationships/hyperlink" Target="https://www.linkedin.com/in/matejero" TargetMode="External"/><Relationship Id="rId10" Type="http://schemas.openxmlformats.org/officeDocument/2006/relationships/hyperlink" Target="https://matejero.es/download/excel-liga-25-26/" TargetMode="External"/><Relationship Id="rId4" Type="http://schemas.openxmlformats.org/officeDocument/2006/relationships/hyperlink" Target="https://matejero.es/excel-europa-league/" TargetMode="External"/><Relationship Id="rId9" Type="http://schemas.openxmlformats.org/officeDocument/2006/relationships/hyperlink" Target="https://matejero.es/calendario-excel-liga/" TargetMode="External"/><Relationship Id="rId14" Type="http://schemas.openxmlformats.org/officeDocument/2006/relationships/hyperlink" Target="https://www.paypal.com/donate?business=PJ2B6ZBH7ZHR4&amp;currency_code=EUR"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matejero.es/download/admin-champions-26-27/" TargetMode="External"/><Relationship Id="rId1" Type="http://schemas.openxmlformats.org/officeDocument/2006/relationships/hyperlink" Target="https://matejero.es/download/admin-champions-25-26/"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matejero.es/download/admin-champions-25-26/" TargetMode="External"/><Relationship Id="rId1" Type="http://schemas.openxmlformats.org/officeDocument/2006/relationships/hyperlink" Target="https://matejero.es/download/admin-champions-26-27/"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uropa-league-excel-schedule/" TargetMode="External"/><Relationship Id="rId13" Type="http://schemas.openxmlformats.org/officeDocument/2006/relationships/hyperlink" Target="https://matejero.es/download/excel-liga-25-26/" TargetMode="External"/><Relationship Id="rId3" Type="http://schemas.openxmlformats.org/officeDocument/2006/relationships/hyperlink" Target="https://matejero.es/download/admin-champions-26-27/" TargetMode="External"/><Relationship Id="rId7" Type="http://schemas.openxmlformats.org/officeDocument/2006/relationships/hyperlink" Target="https://matejero.es/excel-europa-league/" TargetMode="External"/><Relationship Id="rId12" Type="http://schemas.openxmlformats.org/officeDocument/2006/relationships/hyperlink" Target="https://matejero.es/calendario-excel-liga/" TargetMode="External"/><Relationship Id="rId17" Type="http://schemas.openxmlformats.org/officeDocument/2006/relationships/hyperlink" Target="https://matejero.com/excel-championship-tracker-schedule/" TargetMode="External"/><Relationship Id="rId2" Type="http://schemas.openxmlformats.org/officeDocument/2006/relationships/hyperlink" Target="https://matejero.es/download/admin-champions-25-26/" TargetMode="External"/><Relationship Id="rId16" Type="http://schemas.openxmlformats.org/officeDocument/2006/relationships/hyperlink" Target="https://matejero.es/download/calendario-liga-f-26-27-excel/"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premier-league-excel-schedule/" TargetMode="External"/><Relationship Id="rId11" Type="http://schemas.openxmlformats.org/officeDocument/2006/relationships/hyperlink" Target="https://matejero.com/conference-league-excel-schedule/" TargetMode="External"/><Relationship Id="rId5" Type="http://schemas.openxmlformats.org/officeDocument/2006/relationships/hyperlink" Target="https://matejero.com/womens-world-cup-excel-schedule/" TargetMode="External"/><Relationship Id="rId15" Type="http://schemas.openxmlformats.org/officeDocument/2006/relationships/hyperlink" Target="https://matejero.es/download/calendario-1a-federacion-26-27-excel/" TargetMode="External"/><Relationship Id="rId10" Type="http://schemas.openxmlformats.org/officeDocument/2006/relationships/hyperlink" Target="https://matejero.es/excel-conference-league/" TargetMode="External"/><Relationship Id="rId4" Type="http://schemas.openxmlformats.org/officeDocument/2006/relationships/hyperlink" Target="https://matejero.es/porra-mundial-femenino-excel/" TargetMode="External"/><Relationship Id="rId9" Type="http://schemas.openxmlformats.org/officeDocument/2006/relationships/hyperlink" Target="https://matejero.es/excel-copa-libertadores/" TargetMode="External"/><Relationship Id="rId14" Type="http://schemas.openxmlformats.org/officeDocument/2006/relationships/hyperlink" Target="https://matejero.es/download/calendario-2a-division-26-27-excel"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matejero.com/scoring-system-excel-euro-2024/" TargetMode="External"/><Relationship Id="rId1" Type="http://schemas.openxmlformats.org/officeDocument/2006/relationships/hyperlink" Target="https://matejero.es/puntuaciones-excel-euro-2024/"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4EA7C-EAB7-F042-982E-232F6882B315}">
  <sheetPr codeName="Hoja16"/>
  <dimension ref="A2:K28"/>
  <sheetViews>
    <sheetView showGridLines="0" showRowColHeaders="0" tabSelected="1" zoomScaleNormal="100" workbookViewId="0">
      <selection activeCell="C7" sqref="C7:C8"/>
      <extLst>
        <ext xmlns:xlsdti="http://schemas.microsoft.com/office/spreadsheetml/2023/showDataTypeIcons" uri="{77bfe23e-c014-4d31-8a63-9c772dbf06b6}">
          <xlsdti:showDataTypeIcons visible="0"/>
        </ext>
      </extLst>
    </sheetView>
  </sheetViews>
  <sheetFormatPr baseColWidth="10" defaultColWidth="10.83203125" defaultRowHeight="15"/>
  <cols>
    <col min="1" max="1" width="7" style="382" customWidth="1"/>
    <col min="2" max="3" width="20.83203125" style="382" customWidth="1"/>
    <col min="4" max="5" width="10.83203125" style="382"/>
    <col min="6" max="6" width="12.6640625" style="382" customWidth="1"/>
    <col min="7" max="7" width="40.83203125" style="382" customWidth="1"/>
    <col min="8" max="8" width="3.6640625" style="382" customWidth="1"/>
    <col min="9" max="9" width="35.5" style="382" customWidth="1"/>
    <col min="10" max="11" width="16.83203125" style="382" customWidth="1"/>
    <col min="12" max="16384" width="10.83203125" style="382"/>
  </cols>
  <sheetData>
    <row r="2" spans="1:11" ht="15" customHeight="1">
      <c r="B2" s="482" t="s">
        <v>998</v>
      </c>
      <c r="C2" s="482"/>
      <c r="D2" s="482"/>
      <c r="E2" s="482"/>
      <c r="F2" s="482"/>
      <c r="G2" s="482"/>
    </row>
    <row r="3" spans="1:11" ht="15" customHeight="1">
      <c r="B3" s="482"/>
      <c r="C3" s="482"/>
      <c r="D3" s="482"/>
      <c r="E3" s="482"/>
      <c r="F3" s="482"/>
      <c r="G3" s="482"/>
    </row>
    <row r="4" spans="1:11" ht="15" customHeight="1">
      <c r="B4" s="482"/>
      <c r="C4" s="482"/>
      <c r="D4" s="482"/>
      <c r="E4" s="482"/>
      <c r="F4" s="482"/>
      <c r="G4" s="482"/>
    </row>
    <row r="6" spans="1:11" ht="15" customHeight="1" thickBot="1">
      <c r="C6" s="389"/>
      <c r="I6" s="383"/>
      <c r="J6" s="384" t="s">
        <v>997</v>
      </c>
      <c r="K6">
        <v>2</v>
      </c>
    </row>
    <row r="7" spans="1:11" ht="16" customHeight="1">
      <c r="A7" s="390"/>
      <c r="B7" s="491" t="str">
        <f>Idiomas!D8</f>
        <v>Selecciona idioma -&gt;</v>
      </c>
      <c r="C7" s="493" t="s">
        <v>106</v>
      </c>
      <c r="G7" s="489" t="str">
        <f>Idiomas!D6</f>
        <v>Predictor Equipos</v>
      </c>
      <c r="I7" s="387" t="s">
        <v>977</v>
      </c>
      <c r="J7" s="387" t="s">
        <v>106</v>
      </c>
      <c r="K7" s="387" t="s">
        <v>110</v>
      </c>
    </row>
    <row r="8" spans="1:11" ht="15" customHeight="1" thickBot="1">
      <c r="A8" s="390"/>
      <c r="B8" s="492"/>
      <c r="C8" s="494"/>
      <c r="G8" s="490"/>
      <c r="I8" s="388" t="s">
        <v>1015</v>
      </c>
      <c r="J8" s="380">
        <v>2</v>
      </c>
      <c r="K8" s="380">
        <v>2</v>
      </c>
    </row>
    <row r="9" spans="1:11" ht="16" customHeight="1" thickBot="1">
      <c r="B9" s="391"/>
      <c r="C9" s="389"/>
      <c r="I9" s="388" t="s">
        <v>1024</v>
      </c>
      <c r="J9" s="381">
        <v>2</v>
      </c>
      <c r="K9" s="380">
        <v>2</v>
      </c>
    </row>
    <row r="10" spans="1:11" ht="16" customHeight="1">
      <c r="B10" s="491" t="str">
        <f>Idiomas!D18</f>
        <v>Selecciona Horario -&gt;</v>
      </c>
      <c r="C10" s="493" t="s">
        <v>32</v>
      </c>
      <c r="G10" s="489" t="str">
        <f>Idiomas!D4</f>
        <v>Introducir resultados Fase de Liga</v>
      </c>
      <c r="I10" s="388" t="s">
        <v>1016</v>
      </c>
      <c r="J10" s="394">
        <v>0</v>
      </c>
      <c r="K10" s="380">
        <v>2</v>
      </c>
    </row>
    <row r="11" spans="1:11" ht="16" customHeight="1" thickBot="1">
      <c r="A11" s="147"/>
      <c r="B11" s="492"/>
      <c r="C11" s="494"/>
      <c r="G11" s="490"/>
      <c r="I11" s="388" t="s">
        <v>1101</v>
      </c>
      <c r="J11" s="394">
        <v>0</v>
      </c>
      <c r="K11" s="380">
        <v>2</v>
      </c>
    </row>
    <row r="12" spans="1:11" ht="16" customHeight="1" thickBot="1">
      <c r="B12" s="391"/>
      <c r="I12" s="392" t="s">
        <v>1017</v>
      </c>
      <c r="J12" s="380">
        <v>2</v>
      </c>
      <c r="K12" s="393">
        <v>0</v>
      </c>
    </row>
    <row r="13" spans="1:11" ht="16" customHeight="1">
      <c r="B13" s="491" t="str">
        <f>Idiomas!D43</f>
        <v>Escribe tu nombre -&gt;</v>
      </c>
      <c r="C13" s="493" t="str">
        <f>Idiomas!D44</f>
        <v>Nombre</v>
      </c>
      <c r="G13" s="489" t="str">
        <f>Idiomas!D5</f>
        <v>Introducir resultados Fase KO</v>
      </c>
      <c r="I13" s="392" t="s">
        <v>1018</v>
      </c>
      <c r="J13" s="380">
        <v>2</v>
      </c>
      <c r="K13" s="393">
        <v>0</v>
      </c>
    </row>
    <row r="14" spans="1:11" ht="16" customHeight="1" thickBot="1">
      <c r="B14" s="492"/>
      <c r="C14" s="494"/>
      <c r="G14" s="490"/>
      <c r="I14" s="392" t="s">
        <v>1019</v>
      </c>
      <c r="J14" s="380">
        <v>2</v>
      </c>
      <c r="K14" s="393">
        <v>0</v>
      </c>
    </row>
    <row r="15" spans="1:11" ht="15" customHeight="1" thickBot="1">
      <c r="I15" s="392" t="s">
        <v>1020</v>
      </c>
      <c r="J15" s="380">
        <v>2</v>
      </c>
      <c r="K15" s="393">
        <v>0</v>
      </c>
    </row>
    <row r="16" spans="1:11" ht="15" customHeight="1" thickTop="1">
      <c r="B16" s="483" t="str">
        <f>HYPERLINK(Idiomas!D11,Idiomas!D7)</f>
        <v>Si quieres organizar una porra con tu grupo puedes descargar el archivo para administrarla desde aquí.</v>
      </c>
      <c r="C16" s="484"/>
      <c r="I16" s="388" t="s">
        <v>1021</v>
      </c>
      <c r="J16" s="395">
        <v>2</v>
      </c>
      <c r="K16" s="380">
        <v>0</v>
      </c>
    </row>
    <row r="17" spans="2:11" ht="15" customHeight="1">
      <c r="B17" s="485"/>
      <c r="C17" s="486"/>
      <c r="I17" s="388" t="str">
        <f>Idiomas!D15</f>
        <v>Excel Mundial Femenino 2027</v>
      </c>
      <c r="J17" s="452">
        <v>2</v>
      </c>
      <c r="K17" s="380">
        <v>2</v>
      </c>
    </row>
    <row r="18" spans="2:11" ht="15" customHeight="1" thickBot="1">
      <c r="B18" s="485"/>
      <c r="C18" s="486"/>
    </row>
    <row r="19" spans="2:11" ht="15" customHeight="1" thickTop="1">
      <c r="B19" s="485"/>
      <c r="C19" s="486"/>
      <c r="I19" s="473" t="str">
        <f>HYPERLINK(Idiomas!D16,Idiomas!D15)</f>
        <v>Excel Mundial Femenino 2027</v>
      </c>
      <c r="J19" s="474"/>
      <c r="K19" s="475"/>
    </row>
    <row r="20" spans="2:11" ht="16" customHeight="1" thickBot="1">
      <c r="B20" s="487"/>
      <c r="C20" s="488"/>
      <c r="I20" s="476"/>
      <c r="J20" s="477"/>
      <c r="K20" s="478"/>
    </row>
    <row r="21" spans="2:11" ht="17" customHeight="1" thickTop="1" thickBot="1">
      <c r="I21" s="479"/>
      <c r="J21" s="480"/>
      <c r="K21" s="481"/>
    </row>
    <row r="22" spans="2:11" ht="17" customHeight="1" thickBot="1"/>
    <row r="23" spans="2:11" ht="30" customHeight="1" thickBot="1">
      <c r="I23" s="450" t="s">
        <v>1007</v>
      </c>
      <c r="J23" s="451" t="s">
        <v>1008</v>
      </c>
    </row>
    <row r="24" spans="2:11" ht="15" customHeight="1"/>
    <row r="25" spans="2:11" ht="15" customHeight="1"/>
    <row r="26" spans="2:11" ht="16" customHeight="1">
      <c r="D26" s="386"/>
      <c r="E26" s="386"/>
      <c r="F26" s="386"/>
    </row>
    <row r="27" spans="2:11" ht="16" customHeight="1"/>
    <row r="28" spans="2:11" ht="16" customHeight="1"/>
  </sheetData>
  <sheetProtection algorithmName="SHA-512" hashValue="GA9PI+VpcyItAwPcuizSBKn6vJxcn7K1v8/5evfbq6h8vfD2MPMbKHupWlCGKL9xedVnb8nHQ82Jy0VVOmz+2g==" saltValue="C0bcq5eKtu/EJOuaSgPiUQ==" spinCount="100000" sheet="1" objects="1" scenarios="1"/>
  <mergeCells count="12">
    <mergeCell ref="I19:K21"/>
    <mergeCell ref="B2:G4"/>
    <mergeCell ref="B16:C20"/>
    <mergeCell ref="G7:G8"/>
    <mergeCell ref="G10:G11"/>
    <mergeCell ref="G13:G14"/>
    <mergeCell ref="B7:B8"/>
    <mergeCell ref="C7:C8"/>
    <mergeCell ref="B10:B11"/>
    <mergeCell ref="C10:C11"/>
    <mergeCell ref="B13:B14"/>
    <mergeCell ref="C13:C14"/>
  </mergeCells>
  <conditionalFormatting sqref="J12:J15">
    <cfRule type="iconSet" priority="6">
      <iconSet iconSet="3Symbols2" showValue="0">
        <cfvo type="percent" val="0"/>
        <cfvo type="num" val="1"/>
        <cfvo type="num" val="2"/>
      </iconSet>
    </cfRule>
  </conditionalFormatting>
  <conditionalFormatting sqref="J13">
    <cfRule type="iconSet" priority="5">
      <iconSet iconSet="3Symbols2" showValue="0">
        <cfvo type="percent" val="0"/>
        <cfvo type="num" val="1"/>
        <cfvo type="num" val="2"/>
      </iconSet>
    </cfRule>
  </conditionalFormatting>
  <conditionalFormatting sqref="J14">
    <cfRule type="iconSet" priority="3">
      <iconSet iconSet="3Symbols2" showValue="0">
        <cfvo type="percent" val="0"/>
        <cfvo type="num" val="1"/>
        <cfvo type="num" val="2"/>
      </iconSet>
    </cfRule>
    <cfRule type="iconSet" priority="4">
      <iconSet iconSet="3Symbols2" showValue="0">
        <cfvo type="percent" val="0"/>
        <cfvo type="num" val="1"/>
        <cfvo type="num" val="2"/>
      </iconSet>
    </cfRule>
  </conditionalFormatting>
  <conditionalFormatting sqref="J15">
    <cfRule type="iconSet" priority="2">
      <iconSet iconSet="3Symbols2" showValue="0">
        <cfvo type="percent" val="0"/>
        <cfvo type="num" val="1"/>
        <cfvo type="num" val="2"/>
      </iconSet>
    </cfRule>
  </conditionalFormatting>
  <conditionalFormatting sqref="J9:K9">
    <cfRule type="iconSet" priority="27">
      <iconSet iconSet="3Symbols2" showValue="0">
        <cfvo type="percent" val="0"/>
        <cfvo type="num" val="1"/>
        <cfvo type="num" val="2"/>
      </iconSet>
    </cfRule>
  </conditionalFormatting>
  <conditionalFormatting sqref="J10:K10 J8:K8">
    <cfRule type="iconSet" priority="407">
      <iconSet iconSet="3Symbols2" showValue="0">
        <cfvo type="percent" val="0"/>
        <cfvo type="num" val="1"/>
        <cfvo type="num" val="2"/>
      </iconSet>
    </cfRule>
  </conditionalFormatting>
  <conditionalFormatting sqref="J11:K11">
    <cfRule type="iconSet" priority="1">
      <iconSet iconSet="3Symbols2" showValue="0">
        <cfvo type="percent" val="0"/>
        <cfvo type="num" val="1"/>
        <cfvo type="num" val="2"/>
      </iconSet>
    </cfRule>
  </conditionalFormatting>
  <conditionalFormatting sqref="J16:K16 K12:K15">
    <cfRule type="iconSet" priority="20">
      <iconSet iconSet="3Symbols2" showValue="0">
        <cfvo type="percent" val="0"/>
        <cfvo type="num" val="1"/>
        <cfvo type="num" val="2"/>
      </iconSet>
    </cfRule>
  </conditionalFormatting>
  <conditionalFormatting sqref="J17:K17">
    <cfRule type="iconSet" priority="33">
      <iconSet iconSet="3Symbols2" showValue="0">
        <cfvo type="percent" val="0"/>
        <cfvo type="num" val="1"/>
        <cfvo type="num" val="2"/>
      </iconSet>
    </cfRule>
  </conditionalFormatting>
  <conditionalFormatting sqref="K6">
    <cfRule type="iconSet" priority="29">
      <iconSet iconSet="3Symbols2" showValue="0">
        <cfvo type="percent" val="0"/>
        <cfvo type="num" val="1"/>
        <cfvo type="num" val="2"/>
      </iconSet>
    </cfRule>
  </conditionalFormatting>
  <hyperlinks>
    <hyperlink ref="J17" r:id="rId1" display="https://matejero.es/porra-mundial-femenino-excel/" xr:uid="{162478D0-0872-4542-AAA4-F40F02BFE996}"/>
    <hyperlink ref="K17" r:id="rId2" display="https://matejero.com/womens-world-cup-excel-schedule/" xr:uid="{A3714CD3-0607-3747-ACBC-426DF498EC75}"/>
    <hyperlink ref="K10" r:id="rId3" display="https://matejero.com/premier-league-excel-schedule/" xr:uid="{85DE1CD0-E0CE-3F49-A444-F7EEB2E71DF8}"/>
    <hyperlink ref="J8" r:id="rId4" display="https://matejero.es/excel-europa-league/" xr:uid="{132CDF07-4EB6-1642-8480-7E9FAB241136}"/>
    <hyperlink ref="K8" r:id="rId5" display="https://matejero.com/europa-league-excel-schedule/" xr:uid="{DA500C63-5DEE-7844-A649-3DBDC75AE32C}"/>
    <hyperlink ref="G7:G8" location="Predictor!C2" display="Predictor!C2" xr:uid="{4BC9ABB8-AFFE-854E-A7ED-9D461E79A024}"/>
    <hyperlink ref="G10:G11" location="League!G2" display="League!G2" xr:uid="{BE4E8885-E303-B346-8039-252D47E32F8B}"/>
    <hyperlink ref="G13:G14" location="KO!G4" display="KO!G4" xr:uid="{E1E15C1C-51CE-4443-849B-800DA0DD96E0}"/>
    <hyperlink ref="J16" r:id="rId6" display="https://matejero.es/excel-copa-libertadores/" xr:uid="{96F34257-07AC-6340-8216-FACC3A67F56E}"/>
    <hyperlink ref="J9" r:id="rId7" display="https://matejero.es/excel-conference-league/" xr:uid="{447AFD61-05FB-7640-8294-9B3DD3879C31}"/>
    <hyperlink ref="K9" r:id="rId8" display="https://matejero.com/conference-league-excel-schedule/" xr:uid="{37FB9759-0018-5A4C-8CD9-A657A97FF812}"/>
    <hyperlink ref="J12" r:id="rId9" display="https://matejero.es/calendario-excel-liga/" xr:uid="{AB95F8E9-EF62-5C43-81F7-AABF187D7DAA}"/>
    <hyperlink ref="J13:J15" r:id="rId10" display="https://matejero.es/download/excel-liga-25-26/" xr:uid="{E3E6420E-7649-824A-B85D-0BAC6D82C7E5}"/>
    <hyperlink ref="J13" r:id="rId11" display="https://matejero.es/download/calendario-2a-division-26-27-excel" xr:uid="{4421AC9B-9D90-6A43-B43A-96A5CE47345E}"/>
    <hyperlink ref="J14" r:id="rId12" display="https://matejero.es/download/calendario-1a-federacion-26-27-excel/" xr:uid="{752D5E2F-9F02-F245-B794-DE8C3BB119BE}"/>
    <hyperlink ref="J15" r:id="rId13" display="https://matejero.es/download/calendario-liga-f-26-27-excel/" xr:uid="{35EDDEA0-6CB5-FC4E-9E06-89D6788D651E}"/>
    <hyperlink ref="J23" r:id="rId14" display="https://www.paypal.com/donate?business=PJ2B6ZBH7ZHR4&amp;currency_code=EUR" xr:uid="{A37809A4-2AE4-B84E-A6CB-69EC8E0611E4}"/>
    <hyperlink ref="I23" r:id="rId15" xr:uid="{A8DFD919-47A8-944B-94CD-68CFFB9C17B9}"/>
    <hyperlink ref="K11" r:id="rId16" display="https://matejero.com/excel-championship-tracker-schedule/" xr:uid="{7B6502BB-069E-2740-B270-2D9DC560A860}"/>
  </hyperlinks>
  <pageMargins left="0.7" right="0.7" top="0.75" bottom="0.75" header="0.3" footer="0.3"/>
  <drawing r:id="rId17"/>
  <extLst>
    <ext xmlns:x14="http://schemas.microsoft.com/office/spreadsheetml/2009/9/main" uri="{CCE6A557-97BC-4b89-ADB6-D9C93CAAB3DF}">
      <x14:dataValidations xmlns:xm="http://schemas.microsoft.com/office/excel/2006/main" count="2">
        <x14:dataValidation type="list" allowBlank="1" showInputMessage="1" showErrorMessage="1" xr:uid="{26DDBB37-7779-EC49-BF94-F5EBEB73417A}">
          <x14:formula1>
            <xm:f>Idiomas!$A$2:$A$3</xm:f>
          </x14:formula1>
          <xm:sqref>C7</xm:sqref>
        </x14:dataValidation>
        <x14:dataValidation type="list" allowBlank="1" showInputMessage="1" showErrorMessage="1" xr:uid="{DAD186AD-ECD0-D04D-8704-5812BFF435D8}">
          <x14:formula1>
            <xm:f>Horarios!$Q$3:$Q$93</xm:f>
          </x14:formula1>
          <xm:sqref>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27F1-5D6B-4814-8141-63108CEED4D6}">
  <sheetPr codeName="Hoja2"/>
  <dimension ref="B1:R37"/>
  <sheetViews>
    <sheetView showGridLines="0" showRowColHeaders="0" workbookViewId="0">
      <selection activeCell="E11" sqref="E11:E15"/>
    </sheetView>
  </sheetViews>
  <sheetFormatPr baseColWidth="10" defaultColWidth="10.83203125" defaultRowHeight="16"/>
  <cols>
    <col min="1" max="1" width="2.5" style="147" customWidth="1"/>
    <col min="2" max="2" width="23.83203125" style="147" customWidth="1"/>
    <col min="3" max="3" width="18.1640625" style="147" customWidth="1"/>
    <col min="4" max="4" width="5.6640625" style="147" customWidth="1"/>
    <col min="5" max="5" width="80.6640625" style="147" bestFit="1" customWidth="1"/>
    <col min="6" max="6" width="6.5" style="147" customWidth="1"/>
    <col min="7" max="7" width="10.83203125" style="147" hidden="1" customWidth="1"/>
    <col min="8" max="8" width="19.5" style="147" hidden="1" customWidth="1"/>
    <col min="9" max="9" width="14.6640625" style="147" hidden="1" customWidth="1"/>
    <col min="10" max="18" width="10.83203125" style="147" hidden="1" customWidth="1"/>
    <col min="19" max="16384" width="10.83203125" style="147"/>
  </cols>
  <sheetData>
    <row r="1" spans="2:18" ht="17" thickBot="1">
      <c r="B1" s="145" t="str">
        <f>Idiomas!D365</f>
        <v>Ronda</v>
      </c>
      <c r="C1" s="146" t="str">
        <f>Idiomas!D364</f>
        <v>Predice el equipo</v>
      </c>
      <c r="E1" s="148" t="str">
        <f>Idiomas!D370</f>
        <v>Rellenar antes del comienzo de la Champions</v>
      </c>
      <c r="H1" s="149" t="s">
        <v>3</v>
      </c>
      <c r="I1" s="149" t="s">
        <v>720</v>
      </c>
      <c r="J1" s="149" t="s">
        <v>721</v>
      </c>
      <c r="K1" s="149" t="s">
        <v>722</v>
      </c>
      <c r="L1" s="149" t="s">
        <v>723</v>
      </c>
      <c r="M1" s="149"/>
      <c r="N1" s="149" t="s">
        <v>829</v>
      </c>
      <c r="R1" s="73" t="s">
        <v>988</v>
      </c>
    </row>
    <row r="2" spans="2:18" ht="17" thickBot="1">
      <c r="B2" s="150" t="str">
        <f>Idiomas!D356</f>
        <v>Campeón</v>
      </c>
      <c r="C2" s="167"/>
      <c r="G2" s="147" t="str">
        <f>TablaEquipos[[#This Row],[Team]]</f>
        <v>AEK</v>
      </c>
      <c r="H2" s="147">
        <f>C2</f>
        <v>0</v>
      </c>
      <c r="I2" s="147" t="str">
        <f>IF(COUNTIF($H$2:$H$37,G2)&gt;=COUNTIF($G$2:$G$37,G2),"",G2)</f>
        <v>AEK</v>
      </c>
      <c r="J2" s="147">
        <f>IF(I2&lt;&gt;"",ROWS($I$2:I2),"")</f>
        <v>1</v>
      </c>
      <c r="K2" s="147">
        <f>IFERROR(SMALL($J$2:$J$37,ROWS($J$2:J2)),"")</f>
        <v>1</v>
      </c>
      <c r="L2" s="147" t="str" cm="1">
        <f t="array" ref="L2">IFERROR(INDEX($G$2:$G$37,K2),0)</f>
        <v>AEK</v>
      </c>
      <c r="N2" s="147" t="str" cm="1">
        <f t="array" aca="1" ref="N2:N37" ca="1">IFERROR(OFFSET($L$2,0,0,COUNTIF($L$2:$L$37,"&lt;&gt;0"),1),"")</f>
        <v>AEK</v>
      </c>
      <c r="P2" s="147" t="str" cm="1">
        <f t="array" aca="1" ref="P2:P37" ca="1">OFFSET($L$2,0,0,COUNTIF($L$2:$L$37,"&lt;&gt;0"),1)</f>
        <v>AEK</v>
      </c>
      <c r="R2" s="147" t="str">
        <f>+IFERROR(IFERROR(INDEX(Idiomas!$D$313:$D$348,MATCH(Predictor!C2,Idiomas!$G$313:$G$348,0)),INDEX(Idiomas!$D$313:$D$348,MATCH(Predictor!C2,Idiomas!$H$313:$H$348,0))),"")</f>
        <v/>
      </c>
    </row>
    <row r="3" spans="2:18" ht="17" thickBot="1">
      <c r="B3" s="151" t="str">
        <f>Idiomas!D357</f>
        <v>Final</v>
      </c>
      <c r="C3" s="168"/>
      <c r="E3" s="152" t="str">
        <f>Idiomas!D366</f>
        <v>·Selecciona para cada ronda el equipo o los equipos que crees que van a llegar hasta esa ronda.</v>
      </c>
      <c r="G3" s="147" t="str">
        <f>TablaEquipos[[#This Row],[Team]]</f>
        <v>Arsenal</v>
      </c>
      <c r="H3" s="147">
        <f t="shared" ref="H3:H37" si="0">C3</f>
        <v>0</v>
      </c>
      <c r="I3" s="147" t="str">
        <f t="shared" ref="I3:I37" si="1">IF(COUNTIF($H$2:$H$37,G3)&gt;=COUNTIF($G$2:$G$37,G3),"",G3)</f>
        <v>Arsenal</v>
      </c>
      <c r="J3" s="147">
        <f>IF(I3&lt;&gt;"",ROWS($I$2:I3),"")</f>
        <v>2</v>
      </c>
      <c r="K3" s="147">
        <f>IFERROR(SMALL($J$2:$J$37,ROWS($J$2:J3)),"")</f>
        <v>2</v>
      </c>
      <c r="L3" s="147" t="str" cm="1">
        <f t="array" ref="L3">IFERROR(INDEX($G$2:$G$37,K3),0)</f>
        <v>Arsenal</v>
      </c>
      <c r="N3" s="147" t="str">
        <f ca="1"/>
        <v>Arsenal</v>
      </c>
      <c r="P3" s="147" t="str">
        <f ca="1"/>
        <v>Arsenal</v>
      </c>
      <c r="R3" s="147" t="str">
        <f>+IFERROR(IFERROR(INDEX(Idiomas!$D$313:$D$348,MATCH(Predictor!C3,Idiomas!$G$313:$G$348,0)),INDEX(Idiomas!$D$313:$D$348,MATCH(Predictor!C3,Idiomas!$H$313:$H$348,0))),"")</f>
        <v/>
      </c>
    </row>
    <row r="4" spans="2:18">
      <c r="B4" s="153" t="str">
        <f>Idiomas!D358</f>
        <v>Semifinales</v>
      </c>
      <c r="C4" s="169"/>
      <c r="E4" s="152"/>
      <c r="G4" s="147" t="str">
        <f>TablaEquipos[[#This Row],[Team]]</f>
        <v>Aston Villa</v>
      </c>
      <c r="H4" s="147">
        <f t="shared" si="0"/>
        <v>0</v>
      </c>
      <c r="I4" s="147" t="str">
        <f t="shared" si="1"/>
        <v>Aston Villa</v>
      </c>
      <c r="J4" s="147">
        <f>IF(I4&lt;&gt;"",ROWS($I$2:I4),"")</f>
        <v>3</v>
      </c>
      <c r="K4" s="147">
        <f>IFERROR(SMALL($J$2:$J$37,ROWS($J$2:J4)),"")</f>
        <v>3</v>
      </c>
      <c r="L4" s="147" t="str" cm="1">
        <f t="array" ref="L4">IFERROR(INDEX($G$2:$G$37,K4),0)</f>
        <v>Aston Villa</v>
      </c>
      <c r="N4" s="147" t="str">
        <f ca="1"/>
        <v>Aston Villa</v>
      </c>
      <c r="P4" s="147" t="str">
        <f ca="1"/>
        <v>Aston Villa</v>
      </c>
      <c r="R4" s="147" t="str">
        <f>+IFERROR(IFERROR(INDEX(Idiomas!$D$313:$D$348,MATCH(Predictor!C4,Idiomas!$G$313:$G$348,0)),INDEX(Idiomas!$D$313:$D$348,MATCH(Predictor!C4,Idiomas!$H$313:$H$348,0))),"")</f>
        <v/>
      </c>
    </row>
    <row r="5" spans="2:18" ht="17" thickBot="1">
      <c r="B5" s="154" t="str">
        <f>Idiomas!D358</f>
        <v>Semifinales</v>
      </c>
      <c r="C5" s="170"/>
      <c r="E5" s="152" t="str">
        <f>Idiomas!D367</f>
        <v>·Una vez selecciones un equipo, dejará de aparecer en el selector</v>
      </c>
      <c r="G5" s="147" t="str">
        <f>TablaEquipos[[#This Row],[Team]]</f>
        <v>Atlético Madrid</v>
      </c>
      <c r="H5" s="147">
        <f t="shared" si="0"/>
        <v>0</v>
      </c>
      <c r="I5" s="147" t="str">
        <f t="shared" si="1"/>
        <v>Atlético Madrid</v>
      </c>
      <c r="J5" s="147">
        <f>IF(I5&lt;&gt;"",ROWS($I$2:I5),"")</f>
        <v>4</v>
      </c>
      <c r="K5" s="147">
        <f>IFERROR(SMALL($J$2:$J$37,ROWS($J$2:J5)),"")</f>
        <v>4</v>
      </c>
      <c r="L5" s="147" t="str" cm="1">
        <f t="array" ref="L5">IFERROR(INDEX($G$2:$G$37,K5),0)</f>
        <v>Atlético Madrid</v>
      </c>
      <c r="N5" s="147" t="str">
        <f ca="1"/>
        <v>Atlético Madrid</v>
      </c>
      <c r="P5" s="147" t="str">
        <f ca="1"/>
        <v>Atlético Madrid</v>
      </c>
      <c r="R5" s="147" t="str">
        <f>+IFERROR(IFERROR(INDEX(Idiomas!$D$313:$D$348,MATCH(Predictor!C5,Idiomas!$G$313:$G$348,0)),INDEX(Idiomas!$D$313:$D$348,MATCH(Predictor!C5,Idiomas!$H$313:$H$348,0))),"")</f>
        <v/>
      </c>
    </row>
    <row r="6" spans="2:18">
      <c r="B6" s="155" t="str">
        <f>+Idiomas!D359</f>
        <v>Cuartos de final</v>
      </c>
      <c r="C6" s="171"/>
      <c r="E6" s="152"/>
      <c r="G6" s="147" t="str">
        <f>TablaEquipos[[#This Row],[Team]]</f>
        <v>Barcelona</v>
      </c>
      <c r="H6" s="147">
        <f t="shared" si="0"/>
        <v>0</v>
      </c>
      <c r="I6" s="147" t="str">
        <f t="shared" si="1"/>
        <v>Barcelona</v>
      </c>
      <c r="J6" s="147">
        <f>IF(I6&lt;&gt;"",ROWS($I$2:I6),"")</f>
        <v>5</v>
      </c>
      <c r="K6" s="147">
        <f>IFERROR(SMALL($J$2:$J$37,ROWS($J$2:J6)),"")</f>
        <v>5</v>
      </c>
      <c r="L6" s="147" t="str" cm="1">
        <f t="array" ref="L6">IFERROR(INDEX($G$2:$G$37,K6),0)</f>
        <v>Barcelona</v>
      </c>
      <c r="N6" s="147" t="str">
        <f ca="1"/>
        <v>Barcelona</v>
      </c>
      <c r="P6" s="147" t="str">
        <f ca="1"/>
        <v>Barcelona</v>
      </c>
      <c r="R6" s="147" t="str">
        <f>+IFERROR(IFERROR(INDEX(Idiomas!$D$313:$D$348,MATCH(Predictor!C6,Idiomas!$G$313:$G$348,0)),INDEX(Idiomas!$D$313:$D$348,MATCH(Predictor!C6,Idiomas!$H$313:$H$348,0))),"")</f>
        <v/>
      </c>
    </row>
    <row r="7" spans="2:18">
      <c r="B7" s="156" t="str">
        <f>+Idiomas!D359</f>
        <v>Cuartos de final</v>
      </c>
      <c r="C7" s="172"/>
      <c r="E7" s="152" t="str">
        <f>Idiomas!D368</f>
        <v xml:space="preserve">·Si has rellenado todos y quieres hacer un cambio, </v>
      </c>
      <c r="G7" s="147" t="str">
        <f>TablaEquipos[[#This Row],[Team]]</f>
        <v>Bayern München</v>
      </c>
      <c r="H7" s="147">
        <f t="shared" si="0"/>
        <v>0</v>
      </c>
      <c r="I7" s="147" t="str">
        <f t="shared" si="1"/>
        <v>Bayern München</v>
      </c>
      <c r="J7" s="147">
        <f>IF(I7&lt;&gt;"",ROWS($I$2:I7),"")</f>
        <v>6</v>
      </c>
      <c r="K7" s="147">
        <f>IFERROR(SMALL($J$2:$J$37,ROWS($J$2:J7)),"")</f>
        <v>6</v>
      </c>
      <c r="L7" s="147" t="str" cm="1">
        <f t="array" ref="L7">IFERROR(INDEX($G$2:$G$37,K7),0)</f>
        <v>Bayern München</v>
      </c>
      <c r="N7" s="147" t="str">
        <f ca="1"/>
        <v>Bayern München</v>
      </c>
      <c r="P7" s="147" t="str">
        <f ca="1"/>
        <v>Bayern München</v>
      </c>
      <c r="R7" s="147" t="str">
        <f>+IFERROR(IFERROR(INDEX(Idiomas!$D$313:$D$348,MATCH(Predictor!C7,Idiomas!$G$313:$G$348,0)),INDEX(Idiomas!$D$313:$D$348,MATCH(Predictor!C7,Idiomas!$H$313:$H$348,0))),"")</f>
        <v/>
      </c>
    </row>
    <row r="8" spans="2:18">
      <c r="B8" s="156" t="str">
        <f>+Idiomas!D359</f>
        <v>Cuartos de final</v>
      </c>
      <c r="C8" s="172"/>
      <c r="E8" s="152" t="str">
        <f>Idiomas!D369</f>
        <v xml:space="preserve"> borra los equipos que quieras cambiar y podrás volver a seleccionarlos</v>
      </c>
      <c r="G8" s="147" t="str">
        <f>TablaEquipos[[#This Row],[Team]]</f>
        <v>Betis</v>
      </c>
      <c r="H8" s="147">
        <f t="shared" si="0"/>
        <v>0</v>
      </c>
      <c r="I8" s="147" t="str">
        <f t="shared" si="1"/>
        <v>Betis</v>
      </c>
      <c r="J8" s="147">
        <f>IF(I8&lt;&gt;"",ROWS($I$2:I8),"")</f>
        <v>7</v>
      </c>
      <c r="K8" s="147">
        <f>IFERROR(SMALL($J$2:$J$37,ROWS($J$2:J8)),"")</f>
        <v>7</v>
      </c>
      <c r="L8" s="147" t="str" cm="1">
        <f t="array" ref="L8">IFERROR(INDEX($G$2:$G$37,K8),0)</f>
        <v>Betis</v>
      </c>
      <c r="N8" s="147" t="str">
        <f ca="1"/>
        <v>Betis</v>
      </c>
      <c r="P8" s="147" t="str">
        <f ca="1"/>
        <v>Betis</v>
      </c>
      <c r="R8" s="147" t="str">
        <f>+IFERROR(IFERROR(INDEX(Idiomas!$D$313:$D$348,MATCH(Predictor!C8,Idiomas!$G$313:$G$348,0)),INDEX(Idiomas!$D$313:$D$348,MATCH(Predictor!C8,Idiomas!$H$313:$H$348,0))),"")</f>
        <v/>
      </c>
    </row>
    <row r="9" spans="2:18" ht="17" thickBot="1">
      <c r="B9" s="157" t="str">
        <f>+Idiomas!D359</f>
        <v>Cuartos de final</v>
      </c>
      <c r="C9" s="173"/>
      <c r="G9" s="147" t="str">
        <f>TablaEquipos[[#This Row],[Team]]</f>
        <v>Bodø/Glimt</v>
      </c>
      <c r="H9" s="147">
        <f t="shared" si="0"/>
        <v>0</v>
      </c>
      <c r="I9" s="147" t="str">
        <f t="shared" si="1"/>
        <v>Bodø/Glimt</v>
      </c>
      <c r="J9" s="147">
        <f>IF(I9&lt;&gt;"",ROWS($I$2:I9),"")</f>
        <v>8</v>
      </c>
      <c r="K9" s="147">
        <f>IFERROR(SMALL($J$2:$J$37,ROWS($J$2:J9)),"")</f>
        <v>8</v>
      </c>
      <c r="L9" s="147" t="str" cm="1">
        <f t="array" ref="L9">IFERROR(INDEX($G$2:$G$37,K9),0)</f>
        <v>Bodø/Glimt</v>
      </c>
      <c r="N9" s="147" t="str">
        <f ca="1"/>
        <v>Bodø/Glimt</v>
      </c>
      <c r="P9" s="147" t="str">
        <f ca="1"/>
        <v>Bodø/Glimt</v>
      </c>
      <c r="R9" s="147" t="str">
        <f>+IFERROR(IFERROR(INDEX(Idiomas!$D$313:$D$348,MATCH(Predictor!C9,Idiomas!$G$313:$G$348,0)),INDEX(Idiomas!$D$313:$D$348,MATCH(Predictor!C9,Idiomas!$H$313:$H$348,0))),"")</f>
        <v/>
      </c>
    </row>
    <row r="10" spans="2:18" ht="17" thickBot="1">
      <c r="B10" s="158" t="str">
        <f>+Idiomas!D360</f>
        <v>Octavos de final</v>
      </c>
      <c r="C10" s="174"/>
      <c r="G10" s="147" t="str">
        <f>TablaEquipos[[#This Row],[Team]]</f>
        <v>Borussia Dortmund</v>
      </c>
      <c r="H10" s="147">
        <f t="shared" si="0"/>
        <v>0</v>
      </c>
      <c r="I10" s="147" t="str">
        <f t="shared" si="1"/>
        <v>Borussia Dortmund</v>
      </c>
      <c r="J10" s="147">
        <f>IF(I10&lt;&gt;"",ROWS($I$2:I10),"")</f>
        <v>9</v>
      </c>
      <c r="K10" s="147">
        <f>IFERROR(SMALL($J$2:$J$37,ROWS($J$2:J10)),"")</f>
        <v>9</v>
      </c>
      <c r="L10" s="147" t="str" cm="1">
        <f t="array" ref="L10">IFERROR(INDEX($G$2:$G$37,K10),0)</f>
        <v>Borussia Dortmund</v>
      </c>
      <c r="N10" s="147" t="str">
        <f ca="1"/>
        <v>Borussia Dortmund</v>
      </c>
      <c r="P10" s="147" t="str">
        <f ca="1"/>
        <v>Borussia Dortmund</v>
      </c>
      <c r="R10" s="147" t="str">
        <f>+IFERROR(IFERROR(INDEX(Idiomas!$D$313:$D$348,MATCH(Predictor!C10,Idiomas!$G$313:$G$348,0)),INDEX(Idiomas!$D$313:$D$348,MATCH(Predictor!C10,Idiomas!$H$313:$H$348,0))),"")</f>
        <v/>
      </c>
    </row>
    <row r="11" spans="2:18" ht="17" customHeight="1" thickTop="1">
      <c r="B11" s="159" t="str">
        <f>+Idiomas!D360</f>
        <v>Octavos de final</v>
      </c>
      <c r="C11" s="175"/>
      <c r="E11" s="495" t="str">
        <f>HYPERLINK(Idiomas!D11,Idiomas!D7)</f>
        <v>Si quieres organizar una porra con tu grupo puedes descargar el archivo para administrarla desde aquí.</v>
      </c>
      <c r="G11" s="147" t="str">
        <f>TablaEquipos[[#This Row],[Team]]</f>
        <v>Brugge</v>
      </c>
      <c r="H11" s="147">
        <f t="shared" si="0"/>
        <v>0</v>
      </c>
      <c r="I11" s="147" t="str">
        <f t="shared" si="1"/>
        <v>Brugge</v>
      </c>
      <c r="J11" s="147">
        <f>IF(I11&lt;&gt;"",ROWS($I$2:I11),"")</f>
        <v>10</v>
      </c>
      <c r="K11" s="147">
        <f>IFERROR(SMALL($J$2:$J$37,ROWS($J$2:J11)),"")</f>
        <v>10</v>
      </c>
      <c r="L11" s="147" t="str" cm="1">
        <f t="array" ref="L11">IFERROR(INDEX($G$2:$G$37,K11),0)</f>
        <v>Brugge</v>
      </c>
      <c r="N11" s="147" t="str">
        <f ca="1"/>
        <v>Brugge</v>
      </c>
      <c r="P11" s="147" t="str">
        <f ca="1"/>
        <v>Brugge</v>
      </c>
      <c r="R11" s="147" t="str">
        <f>+IFERROR(IFERROR(INDEX(Idiomas!$D$313:$D$348,MATCH(Predictor!C11,Idiomas!$G$313:$G$348,0)),INDEX(Idiomas!$D$313:$D$348,MATCH(Predictor!C11,Idiomas!$H$313:$H$348,0))),"")</f>
        <v/>
      </c>
    </row>
    <row r="12" spans="2:18" ht="16" customHeight="1">
      <c r="B12" s="159" t="str">
        <f>+Idiomas!D360</f>
        <v>Octavos de final</v>
      </c>
      <c r="C12" s="175"/>
      <c r="E12" s="496"/>
      <c r="G12" s="147" t="str">
        <f>TablaEquipos[[#This Row],[Team]]</f>
        <v>Como</v>
      </c>
      <c r="H12" s="147">
        <f t="shared" si="0"/>
        <v>0</v>
      </c>
      <c r="I12" s="147" t="str">
        <f t="shared" si="1"/>
        <v>Como</v>
      </c>
      <c r="J12" s="147">
        <f>IF(I12&lt;&gt;"",ROWS($I$2:I12),"")</f>
        <v>11</v>
      </c>
      <c r="K12" s="147">
        <f>IFERROR(SMALL($J$2:$J$37,ROWS($J$2:J12)),"")</f>
        <v>11</v>
      </c>
      <c r="L12" s="147" t="str" cm="1">
        <f t="array" ref="L12">IFERROR(INDEX($G$2:$G$37,K12),0)</f>
        <v>Como</v>
      </c>
      <c r="N12" s="147" t="str">
        <f ca="1"/>
        <v>Como</v>
      </c>
      <c r="P12" s="147" t="str">
        <f ca="1"/>
        <v>Como</v>
      </c>
      <c r="R12" s="147" t="str">
        <f>+IFERROR(IFERROR(INDEX(Idiomas!$D$313:$D$348,MATCH(Predictor!C12,Idiomas!$G$313:$G$348,0)),INDEX(Idiomas!$D$313:$D$348,MATCH(Predictor!C12,Idiomas!$H$313:$H$348,0))),"")</f>
        <v/>
      </c>
    </row>
    <row r="13" spans="2:18" ht="16" customHeight="1">
      <c r="B13" s="159" t="str">
        <f>+Idiomas!D360</f>
        <v>Octavos de final</v>
      </c>
      <c r="C13" s="175"/>
      <c r="E13" s="496"/>
      <c r="G13" s="147" t="str">
        <f>TablaEquipos[[#This Row],[Team]]</f>
        <v>Fenerbahçe </v>
      </c>
      <c r="H13" s="147">
        <f t="shared" si="0"/>
        <v>0</v>
      </c>
      <c r="I13" s="147" t="str">
        <f t="shared" si="1"/>
        <v>Fenerbahçe </v>
      </c>
      <c r="J13" s="147">
        <f>IF(I13&lt;&gt;"",ROWS($I$2:I13),"")</f>
        <v>12</v>
      </c>
      <c r="K13" s="147">
        <f>IFERROR(SMALL($J$2:$J$37,ROWS($J$2:J13)),"")</f>
        <v>12</v>
      </c>
      <c r="L13" s="147" t="str" cm="1">
        <f t="array" ref="L13">IFERROR(INDEX($G$2:$G$37,K13),0)</f>
        <v>Fenerbahçe </v>
      </c>
      <c r="N13" s="147" t="str">
        <f ca="1"/>
        <v>Fenerbahçe </v>
      </c>
      <c r="P13" s="147" t="str">
        <f ca="1"/>
        <v>Fenerbahçe </v>
      </c>
      <c r="R13" s="147" t="str">
        <f>+IFERROR(IFERROR(INDEX(Idiomas!$D$313:$D$348,MATCH(Predictor!C13,Idiomas!$G$313:$G$348,0)),INDEX(Idiomas!$D$313:$D$348,MATCH(Predictor!C13,Idiomas!$H$313:$H$348,0))),"")</f>
        <v/>
      </c>
    </row>
    <row r="14" spans="2:18" ht="16" customHeight="1">
      <c r="B14" s="159" t="str">
        <f>+Idiomas!D360</f>
        <v>Octavos de final</v>
      </c>
      <c r="C14" s="175"/>
      <c r="E14" s="496"/>
      <c r="G14" s="147" t="str">
        <f>TablaEquipos[[#This Row],[Team]]</f>
        <v>Feyenoord</v>
      </c>
      <c r="H14" s="147">
        <f t="shared" si="0"/>
        <v>0</v>
      </c>
      <c r="I14" s="147" t="str">
        <f t="shared" si="1"/>
        <v>Feyenoord</v>
      </c>
      <c r="J14" s="147">
        <f>IF(I14&lt;&gt;"",ROWS($I$2:I14),"")</f>
        <v>13</v>
      </c>
      <c r="K14" s="147">
        <f>IFERROR(SMALL($J$2:$J$37,ROWS($J$2:J14)),"")</f>
        <v>13</v>
      </c>
      <c r="L14" s="147" t="str" cm="1">
        <f t="array" ref="L14">IFERROR(INDEX($G$2:$G$37,K14),0)</f>
        <v>Feyenoord</v>
      </c>
      <c r="N14" s="147" t="str">
        <f ca="1"/>
        <v>Feyenoord</v>
      </c>
      <c r="P14" s="147" t="str">
        <f ca="1"/>
        <v>Feyenoord</v>
      </c>
      <c r="R14" s="147" t="str">
        <f>+IFERROR(IFERROR(INDEX(Idiomas!$D$313:$D$348,MATCH(Predictor!C14,Idiomas!$G$313:$G$348,0)),INDEX(Idiomas!$D$313:$D$348,MATCH(Predictor!C14,Idiomas!$H$313:$H$348,0))),"")</f>
        <v/>
      </c>
    </row>
    <row r="15" spans="2:18" ht="17" customHeight="1" thickBot="1">
      <c r="B15" s="159" t="str">
        <f>+Idiomas!D360</f>
        <v>Octavos de final</v>
      </c>
      <c r="C15" s="175"/>
      <c r="E15" s="497"/>
      <c r="G15" s="147" t="str">
        <f>TablaEquipos[[#This Row],[Team]]</f>
        <v>Galatasaray</v>
      </c>
      <c r="H15" s="147">
        <f t="shared" si="0"/>
        <v>0</v>
      </c>
      <c r="I15" s="147" t="str">
        <f t="shared" si="1"/>
        <v>Galatasaray</v>
      </c>
      <c r="J15" s="147">
        <f>IF(I15&lt;&gt;"",ROWS($I$2:I15),"")</f>
        <v>14</v>
      </c>
      <c r="K15" s="147">
        <f>IFERROR(SMALL($J$2:$J$37,ROWS($J$2:J15)),"")</f>
        <v>14</v>
      </c>
      <c r="L15" s="147" t="str" cm="1">
        <f t="array" ref="L15">IFERROR(INDEX($G$2:$G$37,K15),0)</f>
        <v>Galatasaray</v>
      </c>
      <c r="N15" s="147" t="str">
        <f ca="1"/>
        <v>Galatasaray</v>
      </c>
      <c r="P15" s="147" t="str">
        <f ca="1"/>
        <v>Galatasaray</v>
      </c>
      <c r="R15" s="147" t="str">
        <f>+IFERROR(IFERROR(INDEX(Idiomas!$D$313:$D$348,MATCH(Predictor!C15,Idiomas!$G$313:$G$348,0)),INDEX(Idiomas!$D$313:$D$348,MATCH(Predictor!C15,Idiomas!$H$313:$H$348,0))),"")</f>
        <v/>
      </c>
    </row>
    <row r="16" spans="2:18" ht="17" thickTop="1">
      <c r="B16" s="159" t="str">
        <f>+Idiomas!D360</f>
        <v>Octavos de final</v>
      </c>
      <c r="C16" s="175"/>
      <c r="G16" s="147" t="str">
        <f>TablaEquipos[[#This Row],[Team]]</f>
        <v>Inter Milan</v>
      </c>
      <c r="H16" s="147">
        <f t="shared" si="0"/>
        <v>0</v>
      </c>
      <c r="I16" s="147" t="str">
        <f t="shared" si="1"/>
        <v>Inter Milan</v>
      </c>
      <c r="J16" s="147">
        <f>IF(I16&lt;&gt;"",ROWS($I$2:I16),"")</f>
        <v>15</v>
      </c>
      <c r="K16" s="147">
        <f>IFERROR(SMALL($J$2:$J$37,ROWS($J$2:J16)),"")</f>
        <v>15</v>
      </c>
      <c r="L16" s="147" t="str" cm="1">
        <f t="array" ref="L16">IFERROR(INDEX($G$2:$G$37,K16),0)</f>
        <v>Inter Milan</v>
      </c>
      <c r="N16" s="147" t="str">
        <f ca="1"/>
        <v>Inter Milan</v>
      </c>
      <c r="P16" s="147" t="str">
        <f ca="1"/>
        <v>Inter Milan</v>
      </c>
      <c r="R16" s="147" t="str">
        <f>+IFERROR(IFERROR(INDEX(Idiomas!$D$313:$D$348,MATCH(Predictor!C16,Idiomas!$G$313:$G$348,0)),INDEX(Idiomas!$D$313:$D$348,MATCH(Predictor!C16,Idiomas!$H$313:$H$348,0))),"")</f>
        <v/>
      </c>
    </row>
    <row r="17" spans="2:18" ht="17" thickBot="1">
      <c r="B17" s="160" t="str">
        <f>+Idiomas!D360</f>
        <v>Octavos de final</v>
      </c>
      <c r="C17" s="176"/>
      <c r="G17" s="147" t="str">
        <f>TablaEquipos[[#This Row],[Team]]</f>
        <v>LASK</v>
      </c>
      <c r="H17" s="147">
        <f t="shared" si="0"/>
        <v>0</v>
      </c>
      <c r="I17" s="147" t="str">
        <f t="shared" si="1"/>
        <v>LASK</v>
      </c>
      <c r="J17" s="147">
        <f>IF(I17&lt;&gt;"",ROWS($I$2:I17),"")</f>
        <v>16</v>
      </c>
      <c r="K17" s="147">
        <f>IFERROR(SMALL($J$2:$J$37,ROWS($J$2:J17)),"")</f>
        <v>16</v>
      </c>
      <c r="L17" s="147" t="str" cm="1">
        <f t="array" ref="L17">IFERROR(INDEX($G$2:$G$37,K17),0)</f>
        <v>LASK</v>
      </c>
      <c r="N17" s="147" t="str">
        <f ca="1"/>
        <v>LASK</v>
      </c>
      <c r="P17" s="147" t="str">
        <f ca="1"/>
        <v>LASK</v>
      </c>
      <c r="R17" s="147" t="str">
        <f>+IFERROR(IFERROR(INDEX(Idiomas!$D$313:$D$348,MATCH(Predictor!C17,Idiomas!$G$313:$G$348,0)),INDEX(Idiomas!$D$313:$D$348,MATCH(Predictor!C17,Idiomas!$H$313:$H$348,0))),"")</f>
        <v/>
      </c>
    </row>
    <row r="18" spans="2:18">
      <c r="B18" s="161" t="str">
        <f>+Idiomas!D361</f>
        <v>Playoffs</v>
      </c>
      <c r="C18" s="177"/>
      <c r="G18" s="147" t="str">
        <f>TablaEquipos[[#This Row],[Team]]</f>
        <v>Leipzig</v>
      </c>
      <c r="H18" s="147">
        <f t="shared" si="0"/>
        <v>0</v>
      </c>
      <c r="I18" s="147" t="str">
        <f t="shared" si="1"/>
        <v>Leipzig</v>
      </c>
      <c r="J18" s="147">
        <f>IF(I18&lt;&gt;"",ROWS($I$2:I18),"")</f>
        <v>17</v>
      </c>
      <c r="K18" s="147">
        <f>IFERROR(SMALL($J$2:$J$37,ROWS($J$2:J18)),"")</f>
        <v>17</v>
      </c>
      <c r="L18" s="147" t="str" cm="1">
        <f t="array" ref="L18">IFERROR(INDEX($G$2:$G$37,K18),0)</f>
        <v>Leipzig</v>
      </c>
      <c r="N18" s="147" t="str">
        <f ca="1"/>
        <v>Leipzig</v>
      </c>
      <c r="P18" s="147" t="str">
        <f ca="1"/>
        <v>Leipzig</v>
      </c>
      <c r="R18" s="147" t="str">
        <f>+IFERROR(IFERROR(INDEX(Idiomas!$D$313:$D$348,MATCH(Predictor!C18,Idiomas!$G$313:$G$348,0)),INDEX(Idiomas!$D$313:$D$348,MATCH(Predictor!C18,Idiomas!$H$313:$H$348,0))),"")</f>
        <v/>
      </c>
    </row>
    <row r="19" spans="2:18">
      <c r="B19" s="162" t="str">
        <f>+Idiomas!D361</f>
        <v>Playoffs</v>
      </c>
      <c r="C19" s="178"/>
      <c r="G19" s="147" t="str">
        <f>TablaEquipos[[#This Row],[Team]]</f>
        <v>Lens</v>
      </c>
      <c r="H19" s="147">
        <f t="shared" si="0"/>
        <v>0</v>
      </c>
      <c r="I19" s="147" t="str">
        <f t="shared" si="1"/>
        <v>Lens</v>
      </c>
      <c r="J19" s="147">
        <f>IF(I19&lt;&gt;"",ROWS($I$2:I19),"")</f>
        <v>18</v>
      </c>
      <c r="K19" s="147">
        <f>IFERROR(SMALL($J$2:$J$37,ROWS($J$2:J19)),"")</f>
        <v>18</v>
      </c>
      <c r="L19" s="147" t="str" cm="1">
        <f t="array" ref="L19">IFERROR(INDEX($G$2:$G$37,K19),0)</f>
        <v>Lens</v>
      </c>
      <c r="N19" s="147" t="str">
        <f ca="1"/>
        <v>Lens</v>
      </c>
      <c r="P19" s="147" t="str">
        <f ca="1"/>
        <v>Lens</v>
      </c>
      <c r="R19" s="147" t="str">
        <f>+IFERROR(IFERROR(INDEX(Idiomas!$D$313:$D$348,MATCH(Predictor!C19,Idiomas!$G$313:$G$348,0)),INDEX(Idiomas!$D$313:$D$348,MATCH(Predictor!C19,Idiomas!$H$313:$H$348,0))),"")</f>
        <v/>
      </c>
    </row>
    <row r="20" spans="2:18">
      <c r="B20" s="162" t="str">
        <f>+Idiomas!D361</f>
        <v>Playoffs</v>
      </c>
      <c r="C20" s="178"/>
      <c r="G20" s="147" t="str">
        <f>TablaEquipos[[#This Row],[Team]]</f>
        <v>Lille</v>
      </c>
      <c r="H20" s="147">
        <f t="shared" si="0"/>
        <v>0</v>
      </c>
      <c r="I20" s="147" t="str">
        <f t="shared" si="1"/>
        <v>Lille</v>
      </c>
      <c r="J20" s="147">
        <f>IF(I20&lt;&gt;"",ROWS($I$2:I20),"")</f>
        <v>19</v>
      </c>
      <c r="K20" s="147">
        <f>IFERROR(SMALL($J$2:$J$37,ROWS($J$2:J20)),"")</f>
        <v>19</v>
      </c>
      <c r="L20" s="147" t="str" cm="1">
        <f t="array" ref="L20">IFERROR(INDEX($G$2:$G$37,K20),0)</f>
        <v>Lille</v>
      </c>
      <c r="N20" s="147" t="str">
        <f ca="1"/>
        <v>Lille</v>
      </c>
      <c r="P20" s="147" t="str">
        <f ca="1"/>
        <v>Lille</v>
      </c>
      <c r="R20" s="147" t="str">
        <f>+IFERROR(IFERROR(INDEX(Idiomas!$D$313:$D$348,MATCH(Predictor!C20,Idiomas!$G$313:$G$348,0)),INDEX(Idiomas!$D$313:$D$348,MATCH(Predictor!C20,Idiomas!$H$313:$H$348,0))),"")</f>
        <v/>
      </c>
    </row>
    <row r="21" spans="2:18">
      <c r="B21" s="162" t="str">
        <f>+Idiomas!D361</f>
        <v>Playoffs</v>
      </c>
      <c r="C21" s="178"/>
      <c r="G21" s="147" t="str">
        <f>TablaEquipos[[#This Row],[Team]]</f>
        <v>Liverpool</v>
      </c>
      <c r="H21" s="147">
        <f t="shared" si="0"/>
        <v>0</v>
      </c>
      <c r="I21" s="147" t="str">
        <f t="shared" si="1"/>
        <v>Liverpool</v>
      </c>
      <c r="J21" s="147">
        <f>IF(I21&lt;&gt;"",ROWS($I$2:I21),"")</f>
        <v>20</v>
      </c>
      <c r="K21" s="147">
        <f>IFERROR(SMALL($J$2:$J$37,ROWS($J$2:J21)),"")</f>
        <v>20</v>
      </c>
      <c r="L21" s="147" t="str" cm="1">
        <f t="array" ref="L21">IFERROR(INDEX($G$2:$G$37,K21),0)</f>
        <v>Liverpool</v>
      </c>
      <c r="N21" s="147" t="str">
        <f ca="1"/>
        <v>Liverpool</v>
      </c>
      <c r="P21" s="147" t="str">
        <f ca="1"/>
        <v>Liverpool</v>
      </c>
      <c r="R21" s="147" t="str">
        <f>+IFERROR(IFERROR(INDEX(Idiomas!$D$313:$D$348,MATCH(Predictor!C21,Idiomas!$G$313:$G$348,0)),INDEX(Idiomas!$D$313:$D$348,MATCH(Predictor!C21,Idiomas!$H$313:$H$348,0))),"")</f>
        <v/>
      </c>
    </row>
    <row r="22" spans="2:18">
      <c r="B22" s="162" t="str">
        <f>+Idiomas!D361</f>
        <v>Playoffs</v>
      </c>
      <c r="C22" s="178"/>
      <c r="G22" s="147" t="str">
        <f>TablaEquipos[[#This Row],[Team]]</f>
        <v>Manchester City</v>
      </c>
      <c r="H22" s="147">
        <f t="shared" si="0"/>
        <v>0</v>
      </c>
      <c r="I22" s="147" t="str">
        <f t="shared" si="1"/>
        <v>Manchester City</v>
      </c>
      <c r="J22" s="147">
        <f>IF(I22&lt;&gt;"",ROWS($I$2:I22),"")</f>
        <v>21</v>
      </c>
      <c r="K22" s="147">
        <f>IFERROR(SMALL($J$2:$J$37,ROWS($J$2:J22)),"")</f>
        <v>21</v>
      </c>
      <c r="L22" s="147" t="str" cm="1">
        <f t="array" ref="L22">IFERROR(INDEX($G$2:$G$37,K22),0)</f>
        <v>Manchester City</v>
      </c>
      <c r="N22" s="147" t="str">
        <f ca="1"/>
        <v>Manchester City</v>
      </c>
      <c r="P22" s="147" t="str">
        <f ca="1"/>
        <v>Manchester City</v>
      </c>
      <c r="R22" s="147" t="str">
        <f>+IFERROR(IFERROR(INDEX(Idiomas!$D$313:$D$348,MATCH(Predictor!C22,Idiomas!$G$313:$G$348,0)),INDEX(Idiomas!$D$313:$D$348,MATCH(Predictor!C22,Idiomas!$H$313:$H$348,0))),"")</f>
        <v/>
      </c>
    </row>
    <row r="23" spans="2:18">
      <c r="B23" s="162" t="str">
        <f>+Idiomas!D361</f>
        <v>Playoffs</v>
      </c>
      <c r="C23" s="178"/>
      <c r="G23" s="147" t="str">
        <f>TablaEquipos[[#This Row],[Team]]</f>
        <v>Manchester United</v>
      </c>
      <c r="H23" s="147">
        <f t="shared" si="0"/>
        <v>0</v>
      </c>
      <c r="I23" s="147" t="str">
        <f t="shared" si="1"/>
        <v>Manchester United</v>
      </c>
      <c r="J23" s="147">
        <f>IF(I23&lt;&gt;"",ROWS($I$2:I23),"")</f>
        <v>22</v>
      </c>
      <c r="K23" s="147">
        <f>IFERROR(SMALL($J$2:$J$37,ROWS($J$2:J23)),"")</f>
        <v>22</v>
      </c>
      <c r="L23" s="147" t="str" cm="1">
        <f t="array" ref="L23">IFERROR(INDEX($G$2:$G$37,K23),0)</f>
        <v>Manchester United</v>
      </c>
      <c r="N23" s="147" t="str">
        <f ca="1"/>
        <v>Manchester United</v>
      </c>
      <c r="P23" s="147" t="str">
        <f ca="1"/>
        <v>Manchester United</v>
      </c>
      <c r="R23" s="147" t="str">
        <f>+IFERROR(IFERROR(INDEX(Idiomas!$D$313:$D$348,MATCH(Predictor!C23,Idiomas!$G$313:$G$348,0)),INDEX(Idiomas!$D$313:$D$348,MATCH(Predictor!C23,Idiomas!$H$313:$H$348,0))),"")</f>
        <v/>
      </c>
    </row>
    <row r="24" spans="2:18">
      <c r="B24" s="162" t="str">
        <f>+Idiomas!D361</f>
        <v>Playoffs</v>
      </c>
      <c r="C24" s="178"/>
      <c r="G24" s="147" t="str">
        <f>TablaEquipos[[#This Row],[Team]]</f>
        <v>Napoli</v>
      </c>
      <c r="H24" s="147">
        <f t="shared" si="0"/>
        <v>0</v>
      </c>
      <c r="I24" s="147" t="str">
        <f t="shared" si="1"/>
        <v>Napoli</v>
      </c>
      <c r="J24" s="147">
        <f>IF(I24&lt;&gt;"",ROWS($I$2:I24),"")</f>
        <v>23</v>
      </c>
      <c r="K24" s="147">
        <f>IFERROR(SMALL($J$2:$J$37,ROWS($J$2:J24)),"")</f>
        <v>23</v>
      </c>
      <c r="L24" s="147" t="str" cm="1">
        <f t="array" ref="L24">IFERROR(INDEX($G$2:$G$37,K24),0)</f>
        <v>Napoli</v>
      </c>
      <c r="N24" s="147" t="str">
        <f ca="1"/>
        <v>Napoli</v>
      </c>
      <c r="P24" s="147" t="str">
        <f ca="1"/>
        <v>Napoli</v>
      </c>
      <c r="R24" s="147" t="str">
        <f>+IFERROR(IFERROR(INDEX(Idiomas!$D$313:$D$348,MATCH(Predictor!C24,Idiomas!$G$313:$G$348,0)),INDEX(Idiomas!$D$313:$D$348,MATCH(Predictor!C24,Idiomas!$H$313:$H$348,0))),"")</f>
        <v/>
      </c>
    </row>
    <row r="25" spans="2:18" ht="17" thickBot="1">
      <c r="B25" s="163" t="str">
        <f>+Idiomas!D361</f>
        <v>Playoffs</v>
      </c>
      <c r="C25" s="179"/>
      <c r="G25" s="147" t="str">
        <f>TablaEquipos[[#This Row],[Team]]</f>
        <v>Porto</v>
      </c>
      <c r="H25" s="147">
        <f t="shared" si="0"/>
        <v>0</v>
      </c>
      <c r="I25" s="147" t="str">
        <f t="shared" si="1"/>
        <v>Porto</v>
      </c>
      <c r="J25" s="147">
        <f>IF(I25&lt;&gt;"",ROWS($I$2:I25),"")</f>
        <v>24</v>
      </c>
      <c r="K25" s="147">
        <f>IFERROR(SMALL($J$2:$J$37,ROWS($J$2:J25)),"")</f>
        <v>24</v>
      </c>
      <c r="L25" s="147" t="str" cm="1">
        <f t="array" ref="L25">IFERROR(INDEX($G$2:$G$37,K25),0)</f>
        <v>Porto</v>
      </c>
      <c r="N25" s="147" t="str">
        <f ca="1"/>
        <v>Porto</v>
      </c>
      <c r="P25" s="147" t="str">
        <f ca="1"/>
        <v>Porto</v>
      </c>
      <c r="R25" s="147" t="str">
        <f>+IFERROR(IFERROR(INDEX(Idiomas!$D$313:$D$348,MATCH(Predictor!C25,Idiomas!$G$313:$G$348,0)),INDEX(Idiomas!$D$313:$D$348,MATCH(Predictor!C25,Idiomas!$H$313:$H$348,0))),"")</f>
        <v/>
      </c>
    </row>
    <row r="26" spans="2:18">
      <c r="B26" s="164" t="str">
        <f>+Idiomas!D362</f>
        <v>Fase de Liga</v>
      </c>
      <c r="C26" s="180"/>
      <c r="G26" s="147" t="str">
        <f>TablaEquipos[[#This Row],[Team]]</f>
        <v>PSG</v>
      </c>
      <c r="H26" s="147">
        <f t="shared" si="0"/>
        <v>0</v>
      </c>
      <c r="I26" s="147" t="str">
        <f t="shared" si="1"/>
        <v>PSG</v>
      </c>
      <c r="J26" s="147">
        <f>IF(I26&lt;&gt;"",ROWS($I$2:I26),"")</f>
        <v>25</v>
      </c>
      <c r="K26" s="147">
        <f>IFERROR(SMALL($J$2:$J$37,ROWS($J$2:J26)),"")</f>
        <v>25</v>
      </c>
      <c r="L26" s="147" t="str" cm="1">
        <f t="array" ref="L26">IFERROR(INDEX($G$2:$G$37,K26),0)</f>
        <v>PSG</v>
      </c>
      <c r="N26" s="147" t="str">
        <f ca="1"/>
        <v>PSG</v>
      </c>
      <c r="P26" s="147" t="str">
        <f ca="1"/>
        <v>PSG</v>
      </c>
      <c r="R26" s="147" t="str">
        <f>+IFERROR(IFERROR(INDEX(Idiomas!$D$313:$D$348,MATCH(Predictor!C26,Idiomas!$G$313:$G$348,0)),INDEX(Idiomas!$D$313:$D$348,MATCH(Predictor!C26,Idiomas!$H$313:$H$348,0))),"")</f>
        <v/>
      </c>
    </row>
    <row r="27" spans="2:18">
      <c r="B27" s="165" t="str">
        <f>+Idiomas!D362</f>
        <v>Fase de Liga</v>
      </c>
      <c r="C27" s="181"/>
      <c r="G27" s="147" t="str">
        <f>TablaEquipos[[#This Row],[Team]]</f>
        <v>PSV Eindhoven</v>
      </c>
      <c r="H27" s="147">
        <f t="shared" si="0"/>
        <v>0</v>
      </c>
      <c r="I27" s="147" t="str">
        <f t="shared" si="1"/>
        <v>PSV Eindhoven</v>
      </c>
      <c r="J27" s="147">
        <f>IF(I27&lt;&gt;"",ROWS($I$2:I27),"")</f>
        <v>26</v>
      </c>
      <c r="K27" s="147">
        <f>IFERROR(SMALL($J$2:$J$37,ROWS($J$2:J27)),"")</f>
        <v>26</v>
      </c>
      <c r="L27" s="147" t="str" cm="1">
        <f t="array" ref="L27">IFERROR(INDEX($G$2:$G$37,K27),0)</f>
        <v>PSV Eindhoven</v>
      </c>
      <c r="N27" s="147" t="str">
        <f ca="1"/>
        <v>PSV Eindhoven</v>
      </c>
      <c r="P27" s="147" t="str">
        <f ca="1"/>
        <v>PSV Eindhoven</v>
      </c>
      <c r="R27" s="147" t="str">
        <f>+IFERROR(IFERROR(INDEX(Idiomas!$D$313:$D$348,MATCH(Predictor!C27,Idiomas!$G$313:$G$348,0)),INDEX(Idiomas!$D$313:$D$348,MATCH(Predictor!C27,Idiomas!$H$313:$H$348,0))),"")</f>
        <v/>
      </c>
    </row>
    <row r="28" spans="2:18">
      <c r="B28" s="165" t="str">
        <f>+Idiomas!D362</f>
        <v>Fase de Liga</v>
      </c>
      <c r="C28" s="181"/>
      <c r="G28" s="147" t="str">
        <f>TablaEquipos[[#This Row],[Team]]</f>
        <v>Real Madrid</v>
      </c>
      <c r="H28" s="147">
        <f t="shared" si="0"/>
        <v>0</v>
      </c>
      <c r="I28" s="147" t="str">
        <f t="shared" si="1"/>
        <v>Real Madrid</v>
      </c>
      <c r="J28" s="147">
        <f>IF(I28&lt;&gt;"",ROWS($I$2:I28),"")</f>
        <v>27</v>
      </c>
      <c r="K28" s="147">
        <f>IFERROR(SMALL($J$2:$J$37,ROWS($J$2:J28)),"")</f>
        <v>27</v>
      </c>
      <c r="L28" s="147" t="str" cm="1">
        <f t="array" ref="L28">IFERROR(INDEX($G$2:$G$37,K28),0)</f>
        <v>Real Madrid</v>
      </c>
      <c r="N28" s="147" t="str">
        <f ca="1"/>
        <v>Real Madrid</v>
      </c>
      <c r="P28" s="147" t="str">
        <f ca="1"/>
        <v>Real Madrid</v>
      </c>
      <c r="R28" s="147" t="str">
        <f>+IFERROR(IFERROR(INDEX(Idiomas!$D$313:$D$348,MATCH(Predictor!C28,Idiomas!$G$313:$G$348,0)),INDEX(Idiomas!$D$313:$D$348,MATCH(Predictor!C28,Idiomas!$H$313:$H$348,0))),"")</f>
        <v/>
      </c>
    </row>
    <row r="29" spans="2:18">
      <c r="B29" s="165" t="str">
        <f>+Idiomas!D362</f>
        <v>Fase de Liga</v>
      </c>
      <c r="C29" s="181"/>
      <c r="G29" s="147" t="str">
        <f>TablaEquipos[[#This Row],[Team]]</f>
        <v>Roma</v>
      </c>
      <c r="H29" s="147">
        <f t="shared" si="0"/>
        <v>0</v>
      </c>
      <c r="I29" s="147" t="str">
        <f t="shared" si="1"/>
        <v>Roma</v>
      </c>
      <c r="J29" s="147">
        <f>IF(I29&lt;&gt;"",ROWS($I$2:I29),"")</f>
        <v>28</v>
      </c>
      <c r="K29" s="147">
        <f>IFERROR(SMALL($J$2:$J$37,ROWS($J$2:J29)),"")</f>
        <v>28</v>
      </c>
      <c r="L29" s="147" t="str" cm="1">
        <f t="array" ref="L29">IFERROR(INDEX($G$2:$G$37,K29),0)</f>
        <v>Roma</v>
      </c>
      <c r="N29" s="147" t="str">
        <f ca="1"/>
        <v>Roma</v>
      </c>
      <c r="P29" s="147" t="str">
        <f ca="1"/>
        <v>Roma</v>
      </c>
      <c r="R29" s="147" t="str">
        <f>+IFERROR(IFERROR(INDEX(Idiomas!$D$313:$D$348,MATCH(Predictor!C29,Idiomas!$G$313:$G$348,0)),INDEX(Idiomas!$D$313:$D$348,MATCH(Predictor!C29,Idiomas!$H$313:$H$348,0))),"")</f>
        <v/>
      </c>
    </row>
    <row r="30" spans="2:18">
      <c r="B30" s="165" t="str">
        <f>+Idiomas!D362</f>
        <v>Fase de Liga</v>
      </c>
      <c r="C30" s="181"/>
      <c r="G30" s="147" t="str">
        <f>TablaEquipos[[#This Row],[Team]]</f>
        <v>Sabah</v>
      </c>
      <c r="H30" s="147">
        <f t="shared" si="0"/>
        <v>0</v>
      </c>
      <c r="I30" s="147" t="str">
        <f t="shared" si="1"/>
        <v>Sabah</v>
      </c>
      <c r="J30" s="147">
        <f>IF(I30&lt;&gt;"",ROWS($I$2:I30),"")</f>
        <v>29</v>
      </c>
      <c r="K30" s="147">
        <f>IFERROR(SMALL($J$2:$J$37,ROWS($J$2:J30)),"")</f>
        <v>29</v>
      </c>
      <c r="L30" s="147" t="str" cm="1">
        <f t="array" ref="L30">IFERROR(INDEX($G$2:$G$37,K30),0)</f>
        <v>Sabah</v>
      </c>
      <c r="N30" s="147" t="str">
        <f ca="1"/>
        <v>Sabah</v>
      </c>
      <c r="P30" s="147" t="str">
        <f ca="1"/>
        <v>Sabah</v>
      </c>
      <c r="R30" s="147" t="str">
        <f>+IFERROR(IFERROR(INDEX(Idiomas!$D$313:$D$348,MATCH(Predictor!C30,Idiomas!$G$313:$G$348,0)),INDEX(Idiomas!$D$313:$D$348,MATCH(Predictor!C30,Idiomas!$H$313:$H$348,0))),"")</f>
        <v/>
      </c>
    </row>
    <row r="31" spans="2:18">
      <c r="B31" s="165" t="str">
        <f>+Idiomas!D362</f>
        <v>Fase de Liga</v>
      </c>
      <c r="C31" s="181"/>
      <c r="G31" s="147" t="str">
        <f>TablaEquipos[[#This Row],[Team]]</f>
        <v>Shakhtar Donetsk</v>
      </c>
      <c r="H31" s="147">
        <f t="shared" si="0"/>
        <v>0</v>
      </c>
      <c r="I31" s="147" t="str">
        <f t="shared" si="1"/>
        <v>Shakhtar Donetsk</v>
      </c>
      <c r="J31" s="147">
        <f>IF(I31&lt;&gt;"",ROWS($I$2:I31),"")</f>
        <v>30</v>
      </c>
      <c r="K31" s="147">
        <f>IFERROR(SMALL($J$2:$J$37,ROWS($J$2:J31)),"")</f>
        <v>30</v>
      </c>
      <c r="L31" s="147" t="str" cm="1">
        <f t="array" ref="L31">IFERROR(INDEX($G$2:$G$37,K31),0)</f>
        <v>Shakhtar Donetsk</v>
      </c>
      <c r="N31" s="147" t="str">
        <f ca="1"/>
        <v>Shakhtar Donetsk</v>
      </c>
      <c r="P31" s="147" t="str">
        <f ca="1"/>
        <v>Shakhtar Donetsk</v>
      </c>
      <c r="R31" s="147" t="str">
        <f>+IFERROR(IFERROR(INDEX(Idiomas!$D$313:$D$348,MATCH(Predictor!C31,Idiomas!$G$313:$G$348,0)),INDEX(Idiomas!$D$313:$D$348,MATCH(Predictor!C31,Idiomas!$H$313:$H$348,0))),"")</f>
        <v/>
      </c>
    </row>
    <row r="32" spans="2:18">
      <c r="B32" s="165" t="str">
        <f>+Idiomas!D362</f>
        <v>Fase de Liga</v>
      </c>
      <c r="C32" s="181"/>
      <c r="G32" s="147" t="str">
        <f>TablaEquipos[[#This Row],[Team]]</f>
        <v>Slavia Praha</v>
      </c>
      <c r="H32" s="147">
        <f t="shared" si="0"/>
        <v>0</v>
      </c>
      <c r="I32" s="147" t="str">
        <f t="shared" si="1"/>
        <v>Slavia Praha</v>
      </c>
      <c r="J32" s="147">
        <f>IF(I32&lt;&gt;"",ROWS($I$2:I32),"")</f>
        <v>31</v>
      </c>
      <c r="K32" s="147">
        <f>IFERROR(SMALL($J$2:$J$37,ROWS($J$2:J32)),"")</f>
        <v>31</v>
      </c>
      <c r="L32" s="147" t="str" cm="1">
        <f t="array" ref="L32">IFERROR(INDEX($G$2:$G$37,K32),0)</f>
        <v>Slavia Praha</v>
      </c>
      <c r="N32" s="147" t="str">
        <f ca="1"/>
        <v>Slavia Praha</v>
      </c>
      <c r="P32" s="147" t="str">
        <f ca="1"/>
        <v>Slavia Praha</v>
      </c>
      <c r="R32" s="147" t="str">
        <f>+IFERROR(IFERROR(INDEX(Idiomas!$D$313:$D$348,MATCH(Predictor!C32,Idiomas!$G$313:$G$348,0)),INDEX(Idiomas!$D$313:$D$348,MATCH(Predictor!C32,Idiomas!$H$313:$H$348,0))),"")</f>
        <v/>
      </c>
    </row>
    <row r="33" spans="2:18">
      <c r="B33" s="165" t="str">
        <f>+Idiomas!D362</f>
        <v>Fase de Liga</v>
      </c>
      <c r="C33" s="181"/>
      <c r="G33" s="147" t="str">
        <f>TablaEquipos[[#This Row],[Team]]</f>
        <v>Slovan Bratislava </v>
      </c>
      <c r="H33" s="147">
        <f t="shared" si="0"/>
        <v>0</v>
      </c>
      <c r="I33" s="147" t="str">
        <f t="shared" si="1"/>
        <v>Slovan Bratislava </v>
      </c>
      <c r="J33" s="147">
        <f>IF(I33&lt;&gt;"",ROWS($I$2:I33),"")</f>
        <v>32</v>
      </c>
      <c r="K33" s="147">
        <f>IFERROR(SMALL($J$2:$J$37,ROWS($J$2:J33)),"")</f>
        <v>32</v>
      </c>
      <c r="L33" s="147" t="str" cm="1">
        <f t="array" ref="L33">IFERROR(INDEX($G$2:$G$37,K33),0)</f>
        <v>Slovan Bratislava </v>
      </c>
      <c r="N33" s="147" t="str">
        <f ca="1"/>
        <v>Slovan Bratislava </v>
      </c>
      <c r="P33" s="147" t="str">
        <f ca="1"/>
        <v>Slovan Bratislava </v>
      </c>
      <c r="R33" s="147" t="str">
        <f>+IFERROR(IFERROR(INDEX(Idiomas!$D$313:$D$348,MATCH(Predictor!C33,Idiomas!$G$313:$G$348,0)),INDEX(Idiomas!$D$313:$D$348,MATCH(Predictor!C33,Idiomas!$H$313:$H$348,0))),"")</f>
        <v/>
      </c>
    </row>
    <row r="34" spans="2:18">
      <c r="B34" s="165" t="str">
        <f>+Idiomas!D362</f>
        <v>Fase de Liga</v>
      </c>
      <c r="C34" s="181"/>
      <c r="G34" s="147" t="str">
        <f>TablaEquipos[[#This Row],[Team]]</f>
        <v>Sporting Portugal</v>
      </c>
      <c r="H34" s="147">
        <f t="shared" si="0"/>
        <v>0</v>
      </c>
      <c r="I34" s="147" t="str">
        <f t="shared" si="1"/>
        <v>Sporting Portugal</v>
      </c>
      <c r="J34" s="147">
        <f>IF(I34&lt;&gt;"",ROWS($I$2:I34),"")</f>
        <v>33</v>
      </c>
      <c r="K34" s="147">
        <f>IFERROR(SMALL($J$2:$J$37,ROWS($J$2:J34)),"")</f>
        <v>33</v>
      </c>
      <c r="L34" s="147" t="str" cm="1">
        <f t="array" ref="L34">IFERROR(INDEX($G$2:$G$37,K34),0)</f>
        <v>Sporting Portugal</v>
      </c>
      <c r="N34" s="147" t="str">
        <f ca="1"/>
        <v>Sporting Portugal</v>
      </c>
      <c r="P34" s="147" t="str">
        <f ca="1"/>
        <v>Sporting Portugal</v>
      </c>
      <c r="R34" s="147" t="str">
        <f>+IFERROR(IFERROR(INDEX(Idiomas!$D$313:$D$348,MATCH(Predictor!C34,Idiomas!$G$313:$G$348,0)),INDEX(Idiomas!$D$313:$D$348,MATCH(Predictor!C34,Idiomas!$H$313:$H$348,0))),"")</f>
        <v/>
      </c>
    </row>
    <row r="35" spans="2:18">
      <c r="B35" s="165" t="str">
        <f>+Idiomas!D362</f>
        <v>Fase de Liga</v>
      </c>
      <c r="C35" s="181"/>
      <c r="G35" s="147" t="str">
        <f>TablaEquipos[[#This Row],[Team]]</f>
        <v>Stuttgart</v>
      </c>
      <c r="H35" s="147">
        <f t="shared" si="0"/>
        <v>0</v>
      </c>
      <c r="I35" s="147" t="str">
        <f t="shared" si="1"/>
        <v>Stuttgart</v>
      </c>
      <c r="J35" s="147">
        <f>IF(I35&lt;&gt;"",ROWS($I$2:I35),"")</f>
        <v>34</v>
      </c>
      <c r="K35" s="147">
        <f>IFERROR(SMALL($J$2:$J$37,ROWS($J$2:J35)),"")</f>
        <v>34</v>
      </c>
      <c r="L35" s="147" t="str" cm="1">
        <f t="array" ref="L35">IFERROR(INDEX($G$2:$G$37,K35),0)</f>
        <v>Stuttgart</v>
      </c>
      <c r="N35" s="147" t="str">
        <f ca="1"/>
        <v>Stuttgart</v>
      </c>
      <c r="P35" s="147" t="str">
        <f ca="1"/>
        <v>Stuttgart</v>
      </c>
      <c r="R35" s="147" t="str">
        <f>+IFERROR(IFERROR(INDEX(Idiomas!$D$313:$D$348,MATCH(Predictor!C35,Idiomas!$G$313:$G$348,0)),INDEX(Idiomas!$D$313:$D$348,MATCH(Predictor!C35,Idiomas!$H$313:$H$348,0))),"")</f>
        <v/>
      </c>
    </row>
    <row r="36" spans="2:18">
      <c r="B36" s="165" t="str">
        <f>+Idiomas!D362</f>
        <v>Fase de Liga</v>
      </c>
      <c r="C36" s="181"/>
      <c r="G36" s="147" t="str">
        <f>TablaEquipos[[#This Row],[Team]]</f>
        <v>Viking</v>
      </c>
      <c r="H36" s="147">
        <f t="shared" si="0"/>
        <v>0</v>
      </c>
      <c r="I36" s="147" t="str">
        <f t="shared" si="1"/>
        <v>Viking</v>
      </c>
      <c r="J36" s="147">
        <f>IF(I36&lt;&gt;"",ROWS($I$2:I36),"")</f>
        <v>35</v>
      </c>
      <c r="K36" s="147">
        <f>IFERROR(SMALL($J$2:$J$37,ROWS($J$2:J36)),"")</f>
        <v>35</v>
      </c>
      <c r="L36" s="147" t="str" cm="1">
        <f t="array" ref="L36">IFERROR(INDEX($G$2:$G$37,K36),0)</f>
        <v>Viking</v>
      </c>
      <c r="N36" s="147" t="str">
        <f ca="1"/>
        <v>Viking</v>
      </c>
      <c r="P36" s="147" t="str">
        <f ca="1"/>
        <v>Viking</v>
      </c>
      <c r="R36" s="147" t="str">
        <f>+IFERROR(IFERROR(INDEX(Idiomas!$D$313:$D$348,MATCH(Predictor!C36,Idiomas!$G$313:$G$348,0)),INDEX(Idiomas!$D$313:$D$348,MATCH(Predictor!C36,Idiomas!$H$313:$H$348,0))),"")</f>
        <v/>
      </c>
    </row>
    <row r="37" spans="2:18" ht="17" thickBot="1">
      <c r="B37" s="166" t="str">
        <f>+Idiomas!D362</f>
        <v>Fase de Liga</v>
      </c>
      <c r="C37" s="182"/>
      <c r="G37" s="147" t="str">
        <f>TablaEquipos[[#This Row],[Team]]</f>
        <v>Villarreal</v>
      </c>
      <c r="H37" s="147">
        <f t="shared" si="0"/>
        <v>0</v>
      </c>
      <c r="I37" s="147" t="str">
        <f t="shared" si="1"/>
        <v>Villarreal</v>
      </c>
      <c r="J37" s="147">
        <f>IF(I37&lt;&gt;"",ROWS($I$2:I37),"")</f>
        <v>36</v>
      </c>
      <c r="K37" s="147">
        <f>IFERROR(SMALL($J$2:$J$37,ROWS($J$2:J37)),"")</f>
        <v>36</v>
      </c>
      <c r="L37" s="147" t="str" cm="1">
        <f t="array" ref="L37">IFERROR(INDEX($G$2:$G$37,K37),0)</f>
        <v>Villarreal</v>
      </c>
      <c r="N37" s="147" t="str">
        <f ca="1"/>
        <v>Villarreal</v>
      </c>
      <c r="P37" s="147" t="str">
        <f ca="1"/>
        <v>Villarreal</v>
      </c>
      <c r="R37" s="147" t="str">
        <f>+IFERROR(IFERROR(INDEX(Idiomas!$D$313:$D$348,MATCH(Predictor!C37,Idiomas!$G$313:$G$348,0)),INDEX(Idiomas!$D$313:$D$348,MATCH(Predictor!C37,Idiomas!$H$313:$H$348,0))),"")</f>
        <v/>
      </c>
    </row>
  </sheetData>
  <sheetProtection algorithmName="SHA-512" hashValue="mDWanwK3Z3Eqk0jMyELpC3qTK3CvTx5X+eV95m63hgvMjZ1YYT0aaKVPxZWxzOp4r3G6OekdtY7k8Mai1xCeuw==" saltValue="rRclOIDqcKKDmp7GhGAGIQ==" spinCount="100000" sheet="1" objects="1" scenarios="1"/>
  <mergeCells count="1">
    <mergeCell ref="E11:E15"/>
  </mergeCells>
  <dataValidations count="1">
    <dataValidation type="list" allowBlank="1" showInputMessage="1" showErrorMessage="1" sqref="C2:C37" xr:uid="{C9E2E345-28C7-48CC-ACE1-17C39ECE623B}">
      <formula1>OFFSET($L$2,0,0,COUNTIF($L$2:$L$37,"&lt;&gt;0"),1)</formula1>
    </dataValidation>
  </dataValidations>
  <hyperlinks>
    <hyperlink ref="E11" r:id="rId1" display="https://matejero.es/download/admin-champions-25-26/" xr:uid="{21C0F7A8-0190-3E48-8F91-8EBF1EE63C81}"/>
    <hyperlink ref="E11:E15" r:id="rId2" display="https://matejero.es/download/admin-champions-26-27/" xr:uid="{23E1132E-943F-A54F-91BF-2921FB4455A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F82B5-5F21-F649-AA7E-F9E0647D71C0}">
  <sheetPr codeName="Hoja7"/>
  <dimension ref="A1:CV330"/>
  <sheetViews>
    <sheetView showGridLines="0" showRowColHeaders="0" zoomScale="90" zoomScaleNormal="90" workbookViewId="0">
      <selection activeCell="G2" sqref="G2"/>
    </sheetView>
  </sheetViews>
  <sheetFormatPr baseColWidth="10" defaultColWidth="0" defaultRowHeight="15"/>
  <cols>
    <col min="1" max="1" width="5.33203125" style="131" customWidth="1"/>
    <col min="2" max="2" width="8.5" style="131" bestFit="1" customWidth="1"/>
    <col min="3" max="3" width="6" style="131" bestFit="1" customWidth="1"/>
    <col min="4" max="4" width="15.83203125" style="131" customWidth="1"/>
    <col min="5" max="6" width="4.33203125" style="131" customWidth="1"/>
    <col min="7" max="8" width="5.33203125" style="131" bestFit="1" customWidth="1"/>
    <col min="9" max="10" width="4.33203125" style="131" customWidth="1"/>
    <col min="11" max="11" width="15.83203125" style="131" customWidth="1"/>
    <col min="12" max="12" width="3" style="252" customWidth="1"/>
    <col min="13" max="13" width="3" style="131" customWidth="1"/>
    <col min="14" max="14" width="4.83203125" style="131" customWidth="1"/>
    <col min="15" max="15" width="2.83203125" style="131" customWidth="1"/>
    <col min="16" max="16" width="20.83203125" style="131" customWidth="1"/>
    <col min="17" max="17" width="5.33203125" style="131" customWidth="1"/>
    <col min="18" max="24" width="4.83203125" style="131" customWidth="1"/>
    <col min="25" max="29" width="4.33203125" style="131" customWidth="1"/>
    <col min="30" max="30" width="4.5" style="131" customWidth="1"/>
    <col min="31" max="31" width="4.83203125" style="131" bestFit="1" customWidth="1"/>
    <col min="32" max="37" width="4.33203125" style="131" customWidth="1"/>
    <col min="38" max="39" width="5.1640625" style="131" customWidth="1"/>
    <col min="40" max="40" width="4.33203125" style="131" customWidth="1"/>
    <col min="41" max="41" width="5.33203125" style="131" customWidth="1"/>
    <col min="42" max="42" width="5.83203125" style="131" customWidth="1"/>
    <col min="43" max="43" width="6" style="131" bestFit="1" customWidth="1"/>
    <col min="44" max="44" width="3" style="131" customWidth="1"/>
    <col min="45" max="45" width="20" style="131" customWidth="1"/>
    <col min="46" max="46" width="5.83203125" style="131" customWidth="1"/>
    <col min="47" max="50" width="5.83203125" style="131" hidden="1" customWidth="1"/>
    <col min="51" max="51" width="5.5" style="131" customWidth="1"/>
    <col min="52" max="52" width="17.1640625" style="131" bestFit="1" customWidth="1"/>
    <col min="53" max="53" width="16.33203125" style="131" customWidth="1"/>
    <col min="54" max="55" width="5.83203125" style="251" customWidth="1"/>
    <col min="56" max="57" width="5.83203125" style="251" hidden="1"/>
    <col min="58" max="58" width="10.83203125" style="320" hidden="1"/>
    <col min="59" max="59" width="3.1640625" style="320" hidden="1"/>
    <col min="60" max="60" width="16.5" style="321" hidden="1"/>
    <col min="61" max="61" width="17.83203125" style="320" hidden="1"/>
    <col min="62" max="62" width="20.6640625" style="320" hidden="1"/>
    <col min="63" max="63" width="10.83203125" style="320" hidden="1"/>
    <col min="64" max="64" width="15.5" style="320" hidden="1"/>
    <col min="65" max="66" width="10.83203125" style="320" hidden="1"/>
    <col min="67" max="96" width="10.83203125" style="322" hidden="1"/>
    <col min="97" max="100" width="0" style="205" hidden="1"/>
    <col min="101" max="16384" width="10.83203125" style="205" hidden="1"/>
  </cols>
  <sheetData>
    <row r="1" spans="1:100" s="194" customFormat="1" ht="17" customHeight="1" thickTop="1" thickBot="1">
      <c r="A1" s="183" t="str">
        <f>Idiomas!D22</f>
        <v>Jor.</v>
      </c>
      <c r="B1" s="105" t="str">
        <f>Idiomas!D20</f>
        <v>Fecha</v>
      </c>
      <c r="C1" s="105" t="str">
        <f>Idiomas!D21</f>
        <v>Hora</v>
      </c>
      <c r="D1" s="106" t="str">
        <f>Idiomas!D23</f>
        <v>Equipo Local</v>
      </c>
      <c r="E1" s="184" t="s">
        <v>714</v>
      </c>
      <c r="F1" s="184" t="s">
        <v>7</v>
      </c>
      <c r="G1" s="105" t="str">
        <f>Idiomas!D24</f>
        <v>Gol</v>
      </c>
      <c r="H1" s="105" t="str">
        <f>Idiomas!D25</f>
        <v>Gol</v>
      </c>
      <c r="I1" s="185" t="s">
        <v>7</v>
      </c>
      <c r="J1" s="186" t="s">
        <v>714</v>
      </c>
      <c r="K1" s="187" t="str">
        <f>Idiomas!D26</f>
        <v>Equipo Visitante</v>
      </c>
      <c r="L1" s="188"/>
      <c r="M1" s="189"/>
      <c r="N1" s="10" t="str">
        <f>Idiomas!D52</f>
        <v>Pos</v>
      </c>
      <c r="O1" s="11" t="s">
        <v>714</v>
      </c>
      <c r="P1" s="12" t="str">
        <f>Idiomas!$D53</f>
        <v>Equipo</v>
      </c>
      <c r="Q1" s="13" t="str">
        <f>Idiomas!$D54</f>
        <v>Pts</v>
      </c>
      <c r="R1" s="13" t="str">
        <f>Idiomas!$D55</f>
        <v>J</v>
      </c>
      <c r="S1" s="13" t="str">
        <f>Idiomas!$D56</f>
        <v>G</v>
      </c>
      <c r="T1" s="13" t="str">
        <f>Idiomas!$D57</f>
        <v>E</v>
      </c>
      <c r="U1" s="13" t="str">
        <f>Idiomas!$D58</f>
        <v>P</v>
      </c>
      <c r="V1" s="13" t="str">
        <f>Idiomas!$D59</f>
        <v>GF</v>
      </c>
      <c r="W1" s="13" t="str">
        <f>Idiomas!$D60</f>
        <v>GC</v>
      </c>
      <c r="X1" s="13" t="str">
        <f>Idiomas!$D61</f>
        <v>DG</v>
      </c>
      <c r="Y1" s="76" t="str">
        <f>CONCATENATE(Q1&amp;" "&amp;Idiomas!$D62)</f>
        <v>Pts C</v>
      </c>
      <c r="Z1" s="76" t="str">
        <f>CONCATENATE(R1&amp;" "&amp;Idiomas!$D62)</f>
        <v>J C</v>
      </c>
      <c r="AA1" s="76" t="str">
        <f>CONCATENATE(S1&amp;" "&amp;Idiomas!$D62)</f>
        <v>G C</v>
      </c>
      <c r="AB1" s="76" t="str">
        <f>CONCATENATE(T1&amp;" "&amp;Idiomas!$D62)</f>
        <v>E C</v>
      </c>
      <c r="AC1" s="76" t="str">
        <f>CONCATENATE(U1&amp;" "&amp;Idiomas!$D62)</f>
        <v>P C</v>
      </c>
      <c r="AD1" s="76" t="str">
        <f>CONCATENATE(V1&amp;" "&amp;Idiomas!$D62)</f>
        <v>GF C</v>
      </c>
      <c r="AE1" s="76" t="str">
        <f>CONCATENATE(W1&amp;" "&amp;Idiomas!$D62)</f>
        <v>GC C</v>
      </c>
      <c r="AF1" s="76" t="str">
        <f>CONCATENATE(X1&amp;" "&amp;Idiomas!$D62)</f>
        <v>DG C</v>
      </c>
      <c r="AG1" s="76" t="str">
        <f>CONCATENATE(Q1&amp;" "&amp;Idiomas!$D63)</f>
        <v>Pts F</v>
      </c>
      <c r="AH1" s="76" t="str">
        <f>CONCATENATE(R1&amp;" "&amp;Idiomas!$D63)</f>
        <v>J F</v>
      </c>
      <c r="AI1" s="76" t="str">
        <f>CONCATENATE(S1&amp;" "&amp;Idiomas!$D63)</f>
        <v>G F</v>
      </c>
      <c r="AJ1" s="76" t="str">
        <f>CONCATENATE(T1&amp;" "&amp;Idiomas!$D63)</f>
        <v>E F</v>
      </c>
      <c r="AK1" s="76" t="str">
        <f>CONCATENATE(U1&amp;" "&amp;Idiomas!$D63)</f>
        <v>P F</v>
      </c>
      <c r="AL1" s="76" t="str">
        <f>CONCATENATE(V1&amp;" "&amp;Idiomas!$D63)</f>
        <v>GF F</v>
      </c>
      <c r="AM1" s="76" t="str">
        <f>CONCATENATE(W1&amp;" "&amp;Idiomas!$D63)</f>
        <v>GC F</v>
      </c>
      <c r="AN1" s="76" t="str">
        <f>CONCATENATE(X1&amp;" "&amp;Idiomas!$D63)</f>
        <v>DG F</v>
      </c>
      <c r="AO1" s="76" t="s">
        <v>927</v>
      </c>
      <c r="AP1" s="76" t="s">
        <v>928</v>
      </c>
      <c r="AQ1" s="76" t="s">
        <v>926</v>
      </c>
      <c r="AR1" s="189"/>
      <c r="AS1" s="190" t="str">
        <f>Idiomas!D65</f>
        <v>Seleccionar el orden de los empatados.</v>
      </c>
      <c r="AT1" s="189"/>
      <c r="AU1" s="189"/>
      <c r="AV1" s="191">
        <f>COUNTIF($AV$2:$AV$37,"&gt;"&amp;1)</f>
        <v>36</v>
      </c>
      <c r="AW1" s="189"/>
      <c r="AX1" s="189"/>
      <c r="AY1" s="189"/>
      <c r="AZ1" s="192" t="str">
        <f>P1</f>
        <v>Equipo</v>
      </c>
      <c r="BA1" s="193" t="str">
        <f>Idiomas!D64</f>
        <v>Puntos penalizados</v>
      </c>
      <c r="BB1" s="253"/>
      <c r="BC1" s="253"/>
      <c r="BD1" s="253"/>
      <c r="BE1" s="253"/>
      <c r="BF1" s="541" t="s">
        <v>157</v>
      </c>
      <c r="BG1" s="542"/>
      <c r="BH1" s="542"/>
      <c r="BI1" s="543" t="str" cm="1">
        <f t="array" ref="BI1:CR1">TRANSPOSE(Calcs!$A$2:$A$37)</f>
        <v>AEK</v>
      </c>
      <c r="BJ1" s="543" t="str">
        <v>Arsenal</v>
      </c>
      <c r="BK1" s="542" t="str">
        <v>Aston Villa</v>
      </c>
      <c r="BL1" s="542" t="str">
        <v>Atlético Madrid</v>
      </c>
      <c r="BM1" s="542" t="str">
        <v>Barcelona</v>
      </c>
      <c r="BN1" s="542" t="str">
        <v>Bayern München</v>
      </c>
      <c r="BO1" s="544" t="str">
        <v>Betis</v>
      </c>
      <c r="BP1" s="544" t="str">
        <v>Bodø/Glimt</v>
      </c>
      <c r="BQ1" s="544" t="str">
        <v>Borussia Dortmund</v>
      </c>
      <c r="BR1" s="544" t="str">
        <v>Brugge</v>
      </c>
      <c r="BS1" s="544" t="str">
        <v>Como</v>
      </c>
      <c r="BT1" s="544" t="str">
        <v>Fenerbahçe </v>
      </c>
      <c r="BU1" s="544" t="str">
        <v>Feyenoord</v>
      </c>
      <c r="BV1" s="541" t="str">
        <v>Galatasaray</v>
      </c>
      <c r="BW1" s="541" t="str">
        <v>Inter Milan</v>
      </c>
      <c r="BX1" s="542" t="str">
        <v>LASK</v>
      </c>
      <c r="BY1" s="541" t="str">
        <v>Leipzig</v>
      </c>
      <c r="BZ1" s="541" t="str">
        <v>Lens</v>
      </c>
      <c r="CA1" s="544" t="str">
        <v>Lille</v>
      </c>
      <c r="CB1" s="544" t="str">
        <v>Liverpool</v>
      </c>
      <c r="CC1" s="544" t="str">
        <v>Manchester City</v>
      </c>
      <c r="CD1" s="544" t="str">
        <v>Manchester United</v>
      </c>
      <c r="CE1" s="544" t="str">
        <v>Napoli</v>
      </c>
      <c r="CF1" s="544" t="str">
        <v>Porto</v>
      </c>
      <c r="CG1" s="544" t="str">
        <v>PSG</v>
      </c>
      <c r="CH1" s="544" t="str">
        <v>PSV Eindhoven</v>
      </c>
      <c r="CI1" s="544" t="str">
        <v>Real Madrid</v>
      </c>
      <c r="CJ1" s="544" t="str">
        <v>Roma</v>
      </c>
      <c r="CK1" s="544" t="str">
        <v>Sabah</v>
      </c>
      <c r="CL1" s="544" t="str">
        <v>Shakhtar Donetsk</v>
      </c>
      <c r="CM1" s="544" t="str">
        <v>Slavia Praha</v>
      </c>
      <c r="CN1" s="544" t="str">
        <v>Slovan Bratislava </v>
      </c>
      <c r="CO1" s="544" t="str">
        <v>Sporting Portugal</v>
      </c>
      <c r="CP1" s="544" t="str">
        <v>Stuttgart</v>
      </c>
      <c r="CQ1" s="544" t="str">
        <v>Viking</v>
      </c>
      <c r="CR1" s="544" t="str">
        <v>Villarreal</v>
      </c>
    </row>
    <row r="2" spans="1:100" ht="17" customHeight="1">
      <c r="A2" s="195">
        <v>1</v>
      </c>
      <c r="B2" s="107">
        <f>Horarios!C2</f>
        <v>46273.78125</v>
      </c>
      <c r="C2" s="108">
        <f>Horarios!C2</f>
        <v>46273.78125</v>
      </c>
      <c r="D2" s="109" t="s">
        <v>1031</v>
      </c>
      <c r="E2" s="196" t="e" cm="1" vm="1">
        <f t="array" ref="E2">badge_home</f>
        <v>#VALUE!</v>
      </c>
      <c r="F2" s="197"/>
      <c r="G2" s="82"/>
      <c r="H2" s="83"/>
      <c r="I2" s="198"/>
      <c r="J2" s="199" t="e" cm="1" vm="2">
        <f t="array" ref="J2">badge_away</f>
        <v>#VALUE!</v>
      </c>
      <c r="K2" s="200" t="s">
        <v>1032</v>
      </c>
      <c r="L2" s="129" t="str">
        <f>IFERROR(IF(TYPE(Teams!$B$2)=128,INDEX(TablaEquipos[Badge],MATCH(League!C3,TablaEquipos[Team],0)),""),"")</f>
        <v/>
      </c>
      <c r="M2" s="201"/>
      <c r="N2" s="51">
        <v>1</v>
      </c>
      <c r="O2" s="14" t="e" cm="1" vm="1">
        <f t="array" ref="O2">badge_away</f>
        <v>#VALUE!</v>
      </c>
      <c r="P2" s="15" t="str">
        <f>IFERROR(INDEX(Calcs!A$2:A$37,MATCH($N2,Calcs!$CJ$2:$CJ$37,0)),"")</f>
        <v>AEK</v>
      </c>
      <c r="Q2" s="16">
        <f>IFERROR(INDEX(Calcs!$B$2:$AB$37,MATCH($N2,Calcs!$CJ$2:$CJ$37,0),MATCH(Q$1,Calcs!$B$1:$AB$1,0)),"")</f>
        <v>0</v>
      </c>
      <c r="R2" s="17">
        <f>IFERROR(INDEX(Calcs!$B$2:$AB$37,MATCH($N2,Calcs!$CJ$2:$CJ$37,0),MATCH(R$1,Calcs!$B$1:$AB$1,0)),"")</f>
        <v>0</v>
      </c>
      <c r="S2" s="17">
        <f>IFERROR(INDEX(Calcs!$B$2:$AB$37,MATCH($N2,Calcs!$CJ$2:$CJ$37,0),MATCH(S$1,Calcs!$B$1:$AB$1,0)),"")</f>
        <v>0</v>
      </c>
      <c r="T2" s="17">
        <f>IFERROR(INDEX(Calcs!$B$2:$AB$37,MATCH($N2,Calcs!$CJ$2:$CJ$37,0),MATCH(T$1,Calcs!$B$1:$AB$1,0)),"")</f>
        <v>0</v>
      </c>
      <c r="U2" s="17">
        <f>IFERROR(INDEX(Calcs!$B$2:$AB$37,MATCH($N2,Calcs!$CJ$2:$CJ$37,0),MATCH(U$1,Calcs!$B$1:$AB$1,0)),"")</f>
        <v>0</v>
      </c>
      <c r="V2" s="17">
        <f>IFERROR(INDEX(Calcs!$B$2:$AB$37,MATCH($N2,Calcs!$CJ$2:$CJ$37,0),MATCH(V$1,Calcs!$B$1:$AB$1,0)),"")</f>
        <v>0</v>
      </c>
      <c r="W2" s="17">
        <f>IFERROR(INDEX(Calcs!$B$2:$AB$37,MATCH($N2,Calcs!$CJ$2:$CJ$37,0),MATCH(W$1,Calcs!$B$1:$AB$1,0)),"")</f>
        <v>0</v>
      </c>
      <c r="X2" s="18">
        <f>IFERROR(INDEX(Calcs!$B$2:$AB$37,MATCH($N2,Calcs!$CJ$2:$CJ$37,0),MATCH(X$1,Calcs!$B$1:$AB$1,0)),"")</f>
        <v>0</v>
      </c>
      <c r="Y2" s="16">
        <f>IFERROR(INDEX(Calcs!$B$2:$AB$37,MATCH($N2,Calcs!$CJ$2:$CJ$37,0),MATCH(Y$1,Calcs!$B$1:$AB$1,0)),"")</f>
        <v>0</v>
      </c>
      <c r="Z2" s="17">
        <f>IFERROR(INDEX(Calcs!$B$2:$AB$37,MATCH($N2,Calcs!$CJ$2:$CJ$37,0),MATCH(Z$1,Calcs!$B$1:$AB$1,0)),"")</f>
        <v>0</v>
      </c>
      <c r="AA2" s="17">
        <f>IFERROR(INDEX(Calcs!$B$2:$AB$37,MATCH($N2,Calcs!$CJ$2:$CJ$37,0),MATCH(AA$1,Calcs!$B$1:$AB$1,0)),"")</f>
        <v>0</v>
      </c>
      <c r="AB2" s="17">
        <f>IFERROR(INDEX(Calcs!$B$2:$AB$37,MATCH($N2,Calcs!$CJ$2:$CJ$37,0),MATCH(AB$1,Calcs!$B$1:$AB$1,0)),"")</f>
        <v>0</v>
      </c>
      <c r="AC2" s="17">
        <f>IFERROR(INDEX(Calcs!$B$2:$AB$37,MATCH($N2,Calcs!$CJ$2:$CJ$37,0),MATCH(AC$1,Calcs!$B$1:$AB$1,0)),"")</f>
        <v>0</v>
      </c>
      <c r="AD2" s="17">
        <f>IFERROR(INDEX(Calcs!$B$2:$AB$37,MATCH($N2,Calcs!$CJ$2:$CJ$37,0),MATCH(AD$1,Calcs!$B$1:$AB$1,0)),"")</f>
        <v>0</v>
      </c>
      <c r="AE2" s="17">
        <f>IFERROR(INDEX(Calcs!$B$2:$AB$37,MATCH($N2,Calcs!$CJ$2:$CJ$37,0),MATCH(AE$1,Calcs!$B$1:$AB$1,0)),"")</f>
        <v>0</v>
      </c>
      <c r="AF2" s="18">
        <f>IFERROR(INDEX(Calcs!$B$2:$AB$37,MATCH($N2,Calcs!$CJ$2:$CJ$37,0),MATCH(AF$1,Calcs!$B$1:$AB$1,0)),"")</f>
        <v>0</v>
      </c>
      <c r="AG2" s="16">
        <f>IFERROR(INDEX(Calcs!$B$2:$AB$37,MATCH($N2,Calcs!$CJ$2:$CJ$37,0),MATCH(AG$1,Calcs!$B$1:$AB$1,0)),"")</f>
        <v>0</v>
      </c>
      <c r="AH2" s="17">
        <f>IFERROR(INDEX(Calcs!$B$2:$AB$37,MATCH($N2,Calcs!$CJ$2:$CJ$37,0),MATCH(AH$1,Calcs!$B$1:$AB$1,0)),"")</f>
        <v>0</v>
      </c>
      <c r="AI2" s="17">
        <f>IFERROR(INDEX(Calcs!$B$2:$AB$37,MATCH($N2,Calcs!$CJ$2:$CJ$37,0),MATCH(AI$1,Calcs!$B$1:$AB$1,0)),"")</f>
        <v>0</v>
      </c>
      <c r="AJ2" s="17">
        <f>IFERROR(INDEX(Calcs!$B$2:$AB$37,MATCH($N2,Calcs!$CJ$2:$CJ$37,0),MATCH(AJ$1,Calcs!$B$1:$AB$1,0)),"")</f>
        <v>0</v>
      </c>
      <c r="AK2" s="17">
        <f>IFERROR(INDEX(Calcs!$B$2:$AB$37,MATCH($N2,Calcs!$CJ$2:$CJ$37,0),MATCH(AK$1,Calcs!$B$1:$AB$1,0)),"")</f>
        <v>0</v>
      </c>
      <c r="AL2" s="17">
        <f>IFERROR(INDEX(Calcs!$B$2:$AB$37,MATCH($N2,Calcs!$CJ$2:$CJ$37,0),MATCH(AL$1,Calcs!$B$1:$AB$1,0)),"")</f>
        <v>0</v>
      </c>
      <c r="AM2" s="17">
        <f>IFERROR(INDEX(Calcs!$B$2:$AB$37,MATCH($N2,Calcs!$CJ$2:$CJ$37,0),MATCH(AM$1,Calcs!$B$1:$AB$1,0)),"")</f>
        <v>0</v>
      </c>
      <c r="AN2" s="19">
        <f>IFERROR(INDEX(Calcs!$B$2:$AB$37,MATCH($N2,Calcs!$CJ$2:$CJ$37,0),MATCH(AN$1,Calcs!$B$1:$AB$1,0)),"")</f>
        <v>0</v>
      </c>
      <c r="AO2" s="17">
        <f>IFERROR(INDEX(Calcs!$B$2:$AB$37,MATCH($N2,Calcs!$CJ$2:$CJ$37,0),MATCH(AO$1,Calcs!$B$1:$AB$1,0)),"")</f>
        <v>0</v>
      </c>
      <c r="AP2" s="17">
        <f>IFERROR(INDEX(Calcs!$B$2:$AB$37,MATCH($N2,Calcs!$CJ$2:$CJ$37,0),MATCH(AP$1,Calcs!$B$1:$AB$1,0)),"")</f>
        <v>0</v>
      </c>
      <c r="AQ2" s="19">
        <f>IFERROR(INDEX(Calcs!$B$2:$AB$37,MATCH($N2,Calcs!$CJ$2:$CJ$37,0),MATCH(AQ$1,Calcs!$B$1:$AB$1,0)),"")</f>
        <v>0</v>
      </c>
      <c r="AR2" s="188"/>
      <c r="AS2" s="202" t="str">
        <f>INDEX(Calcs!A$2:A$37,MATCH($N2,Calcs!$CF$2:$CF$37,0))</f>
        <v>AEK</v>
      </c>
      <c r="AT2" s="98"/>
      <c r="AU2" s="191">
        <f>INDEX(Calcs!$BZ$2:$BZ$37,MATCH($AS2,Calcs!$A$2:$A$37,0))</f>
        <v>1</v>
      </c>
      <c r="AV2" s="191">
        <f>COUNTIF($AU$2:$AU$37,$AU2)</f>
        <v>36</v>
      </c>
      <c r="AW2" s="191" t="str">
        <f>AU2&amp;"."&amp;AV2</f>
        <v>1.36</v>
      </c>
      <c r="AX2" s="191" cm="1">
        <f t="array" aca="1" ref="AX2:AX37" ca="1">OFFSET($N$2,AU2-1,0,AV2,1)</f>
        <v>1</v>
      </c>
      <c r="AY2" s="188"/>
      <c r="AZ2" s="203" t="str">
        <f>TablaEquipos[[#This Row],[Team]]</f>
        <v>AEK</v>
      </c>
      <c r="BA2" s="99"/>
      <c r="BB2" s="188"/>
      <c r="BC2" s="188"/>
      <c r="BD2" s="188"/>
      <c r="BE2" s="188"/>
      <c r="BF2" s="319" t="str">
        <f t="shared" ref="BF2:BF33" si="0">IF(OR(G2="",H2=""),"Pendiente",IF(G2&gt;H2,"Local",IF(G2&lt;H2,"Visitante","Empate")))</f>
        <v>Pendiente</v>
      </c>
      <c r="BG2" s="320" t="str" cm="1">
        <f t="array" ref="BG2">IFERROR(INDEX(Equipo_local,SMALL(IF(BI$1=Equipo_visitante,ROW(Equipo_local)-MIN(ROW(Equipo_visitante))+1,""),ROW()-1)),"")</f>
        <v>Shakhtar Donetsk</v>
      </c>
      <c r="BH2" s="321">
        <v>1</v>
      </c>
      <c r="BI2" s="319" t="str" cm="1">
        <f t="array" ref="BI2">IFERROR(INDEX(Equipo_visitante,MATCH($BH2&amp;BI$1,Jornada&amp;Equipo_local,0)),INDEX(Equipo_local,MATCH($BH2&amp;BI$1,Jornada&amp;Equipo_visitante,0)))</f>
        <v>LASK</v>
      </c>
      <c r="BJ2" s="319" t="str" cm="1">
        <f t="array" ref="BJ2">IFERROR(INDEX(Equipo_visitante,MATCH($BH2&amp;BJ$1,Jornada&amp;Equipo_local,0)),INDEX(Equipo_local,MATCH($BH2&amp;BJ$1,Jornada&amp;Equipo_visitante,0)))</f>
        <v>Napoli</v>
      </c>
      <c r="BK2" s="319" t="str" cm="1">
        <f t="array" ref="BK2">IFERROR(INDEX(Equipo_visitante,MATCH($BH2&amp;BK$1,Jornada&amp;Equipo_local,0)),INDEX(Equipo_local,MATCH($BH2&amp;BK$1,Jornada&amp;Equipo_visitante,0)))</f>
        <v>Brugge</v>
      </c>
      <c r="BL2" s="319" t="str" cm="1">
        <f t="array" ref="BL2">IFERROR(INDEX(Equipo_visitante,MATCH($BH2&amp;BL$1,Jornada&amp;Equipo_local,0)),INDEX(Equipo_local,MATCH($BH2&amp;BL$1,Jornada&amp;Equipo_visitante,0)))</f>
        <v>Liverpool</v>
      </c>
      <c r="BM2" s="319" t="str" cm="1">
        <f t="array" ref="BM2">IFERROR(INDEX(Equipo_visitante,MATCH($BH2&amp;BM$1,Jornada&amp;Equipo_local,0)),INDEX(Equipo_local,MATCH($BH2&amp;BM$1,Jornada&amp;Equipo_visitante,0)))</f>
        <v>Feyenoord</v>
      </c>
      <c r="BN2" s="319" t="str" cm="1">
        <f t="array" ref="BN2">IFERROR(INDEX(Equipo_visitante,MATCH($BH2&amp;BN$1,Jornada&amp;Equipo_local,0)),INDEX(Equipo_local,MATCH($BH2&amp;BN$1,Jornada&amp;Equipo_visitante,0)))</f>
        <v>Bodø/Glimt</v>
      </c>
      <c r="BO2" s="319" t="str" cm="1">
        <f t="array" ref="BO2">IFERROR(INDEX(Equipo_visitante,MATCH($BH2&amp;BO$1,Jornada&amp;Equipo_local,0)),INDEX(Equipo_local,MATCH($BH2&amp;BO$1,Jornada&amp;Equipo_visitante,0)))</f>
        <v>Lille</v>
      </c>
      <c r="BP2" s="319" t="str" cm="1">
        <f t="array" ref="BP2">IFERROR(INDEX(Equipo_visitante,MATCH($BH2&amp;BP$1,Jornada&amp;Equipo_local,0)),INDEX(Equipo_local,MATCH($BH2&amp;BP$1,Jornada&amp;Equipo_visitante,0)))</f>
        <v>Bayern München</v>
      </c>
      <c r="BQ2" s="319" t="str" cm="1">
        <f t="array" ref="BQ2">IFERROR(INDEX(Equipo_visitante,MATCH($BH2&amp;BQ$1,Jornada&amp;Equipo_local,0)),INDEX(Equipo_local,MATCH($BH2&amp;BQ$1,Jornada&amp;Equipo_visitante,0)))</f>
        <v>Villarreal</v>
      </c>
      <c r="BR2" s="319" t="str" cm="1">
        <f t="array" ref="BR2">IFERROR(INDEX(Equipo_visitante,MATCH($BH2&amp;BR$1,Jornada&amp;Equipo_local,0)),INDEX(Equipo_local,MATCH($BH2&amp;BR$1,Jornada&amp;Equipo_visitante,0)))</f>
        <v>Aston Villa</v>
      </c>
      <c r="BS2" s="319" t="str" cm="1">
        <f t="array" ref="BS2">IFERROR(INDEX(Equipo_visitante,MATCH($BH2&amp;BS$1,Jornada&amp;Equipo_local,0)),INDEX(Equipo_local,MATCH($BH2&amp;BS$1,Jornada&amp;Equipo_visitante,0)))</f>
        <v>Leipzig</v>
      </c>
      <c r="BT2" s="319" t="str" cm="1">
        <f t="array" ref="BT2">IFERROR(INDEX(Equipo_visitante,MATCH($BH2&amp;BT$1,Jornada&amp;Equipo_local,0)),INDEX(Equipo_local,MATCH($BH2&amp;BT$1,Jornada&amp;Equipo_visitante,0)))</f>
        <v>Roma</v>
      </c>
      <c r="BU2" s="319" t="str" cm="1">
        <f t="array" ref="BU2">IFERROR(INDEX(Equipo_visitante,MATCH($BH2&amp;BU$1,Jornada&amp;Equipo_local,0)),INDEX(Equipo_local,MATCH($BH2&amp;BU$1,Jornada&amp;Equipo_visitante,0)))</f>
        <v>Barcelona</v>
      </c>
      <c r="BV2" s="319" t="str" cm="1">
        <f t="array" ref="BV2">IFERROR(INDEX(Equipo_visitante,MATCH($BH2&amp;BV$1,Jornada&amp;Equipo_local,0)),INDEX(Equipo_local,MATCH($BH2&amp;BV$1,Jornada&amp;Equipo_visitante,0)))</f>
        <v>Sporting Portugal</v>
      </c>
      <c r="BW2" s="319" t="str" cm="1">
        <f t="array" ref="BW2">IFERROR(INDEX(Equipo_visitante,MATCH($BH2&amp;BW$1,Jornada&amp;Equipo_local,0)),INDEX(Equipo_local,MATCH($BH2&amp;BW$1,Jornada&amp;Equipo_visitante,0)))</f>
        <v>Real Madrid</v>
      </c>
      <c r="BX2" s="319" t="str" cm="1">
        <f t="array" ref="BX2">IFERROR(INDEX(Equipo_visitante,MATCH($BH2&amp;BX$1,Jornada&amp;Equipo_local,0)),INDEX(Equipo_local,MATCH($BH2&amp;BX$1,Jornada&amp;Equipo_visitante,0)))</f>
        <v>AEK</v>
      </c>
      <c r="BY2" s="319" t="str" cm="1">
        <f t="array" ref="BY2">IFERROR(INDEX(Equipo_visitante,MATCH($BH2&amp;BY$1,Jornada&amp;Equipo_local,0)),INDEX(Equipo_local,MATCH($BH2&amp;BY$1,Jornada&amp;Equipo_visitante,0)))</f>
        <v>Como</v>
      </c>
      <c r="BZ2" s="319" t="str" cm="1">
        <f t="array" ref="BZ2">IFERROR(INDEX(Equipo_visitante,MATCH($BH2&amp;BZ$1,Jornada&amp;Equipo_local,0)),INDEX(Equipo_local,MATCH($BH2&amp;BZ$1,Jornada&amp;Equipo_visitante,0)))</f>
        <v>Slavia Praha</v>
      </c>
      <c r="CA2" s="319" t="str" cm="1">
        <f t="array" ref="CA2">IFERROR(INDEX(Equipo_visitante,MATCH($BH2&amp;CA$1,Jornada&amp;Equipo_local,0)),INDEX(Equipo_local,MATCH($BH2&amp;CA$1,Jornada&amp;Equipo_visitante,0)))</f>
        <v>Betis</v>
      </c>
      <c r="CB2" s="319" t="str" cm="1">
        <f t="array" ref="CB2">IFERROR(INDEX(Equipo_visitante,MATCH($BH2&amp;CB$1,Jornada&amp;Equipo_local,0)),INDEX(Equipo_local,MATCH($BH2&amp;CB$1,Jornada&amp;Equipo_visitante,0)))</f>
        <v>Atlético Madrid</v>
      </c>
      <c r="CC2" s="319" t="str" cm="1">
        <f t="array" ref="CC2">IFERROR(INDEX(Equipo_visitante,MATCH($BH2&amp;CC$1,Jornada&amp;Equipo_local,0)),INDEX(Equipo_local,MATCH($BH2&amp;CC$1,Jornada&amp;Equipo_visitante,0)))</f>
        <v>Porto</v>
      </c>
      <c r="CD2" s="319" t="str" cm="1">
        <f t="array" ref="CD2">IFERROR(INDEX(Equipo_visitante,MATCH($BH2&amp;CD$1,Jornada&amp;Equipo_local,0)),INDEX(Equipo_local,MATCH($BH2&amp;CD$1,Jornada&amp;Equipo_visitante,0)))</f>
        <v>Sabah</v>
      </c>
      <c r="CE2" s="319" t="str" cm="1">
        <f t="array" ref="CE2">IFERROR(INDEX(Equipo_visitante,MATCH($BH2&amp;CE$1,Jornada&amp;Equipo_local,0)),INDEX(Equipo_local,MATCH($BH2&amp;CE$1,Jornada&amp;Equipo_visitante,0)))</f>
        <v>Arsenal</v>
      </c>
      <c r="CF2" s="319" t="str" cm="1">
        <f t="array" ref="CF2">IFERROR(INDEX(Equipo_visitante,MATCH($BH2&amp;CF$1,Jornada&amp;Equipo_local,0)),INDEX(Equipo_local,MATCH($BH2&amp;CF$1,Jornada&amp;Equipo_visitante,0)))</f>
        <v>Manchester City</v>
      </c>
      <c r="CG2" s="319" t="str" cm="1">
        <f t="array" ref="CG2">IFERROR(INDEX(Equipo_visitante,MATCH($BH2&amp;CG$1,Jornada&amp;Equipo_local,0)),INDEX(Equipo_local,MATCH($BH2&amp;CG$1,Jornada&amp;Equipo_visitante,0)))</f>
        <v>Slovan Bratislava </v>
      </c>
      <c r="CH2" s="319" t="str" cm="1">
        <f t="array" ref="CH2">IFERROR(INDEX(Equipo_visitante,MATCH($BH2&amp;CH$1,Jornada&amp;Equipo_local,0)),INDEX(Equipo_local,MATCH($BH2&amp;CH$1,Jornada&amp;Equipo_visitante,0)))</f>
        <v>Shakhtar Donetsk</v>
      </c>
      <c r="CI2" s="319" t="str" cm="1">
        <f t="array" ref="CI2">IFERROR(INDEX(Equipo_visitante,MATCH($BH2&amp;CI$1,Jornada&amp;Equipo_local,0)),INDEX(Equipo_local,MATCH($BH2&amp;CI$1,Jornada&amp;Equipo_visitante,0)))</f>
        <v>Inter Milan</v>
      </c>
      <c r="CJ2" s="319" t="str" cm="1">
        <f t="array" ref="CJ2">IFERROR(INDEX(Equipo_visitante,MATCH($BH2&amp;CJ$1,Jornada&amp;Equipo_local,0)),INDEX(Equipo_local,MATCH($BH2&amp;CJ$1,Jornada&amp;Equipo_visitante,0)))</f>
        <v>Fenerbahçe </v>
      </c>
      <c r="CK2" s="319" t="str" cm="1">
        <f t="array" ref="CK2">IFERROR(INDEX(Equipo_visitante,MATCH($BH2&amp;CK$1,Jornada&amp;Equipo_local,0)),INDEX(Equipo_local,MATCH($BH2&amp;CK$1,Jornada&amp;Equipo_visitante,0)))</f>
        <v>Manchester United</v>
      </c>
      <c r="CL2" s="319" t="str" cm="1">
        <f t="array" ref="CL2">IFERROR(INDEX(Equipo_visitante,MATCH($BH2&amp;CL$1,Jornada&amp;Equipo_local,0)),INDEX(Equipo_local,MATCH($BH2&amp;CL$1,Jornada&amp;Equipo_visitante,0)))</f>
        <v>PSV Eindhoven</v>
      </c>
      <c r="CM2" s="319" t="str" cm="1">
        <f t="array" ref="CM2">IFERROR(INDEX(Equipo_visitante,MATCH($BH2&amp;CM$1,Jornada&amp;Equipo_local,0)),INDEX(Equipo_local,MATCH($BH2&amp;CM$1,Jornada&amp;Equipo_visitante,0)))</f>
        <v>Lens</v>
      </c>
      <c r="CN2" s="319" t="str" cm="1">
        <f t="array" ref="CN2">IFERROR(INDEX(Equipo_visitante,MATCH($BH2&amp;CN$1,Jornada&amp;Equipo_local,0)),INDEX(Equipo_local,MATCH($BH2&amp;CN$1,Jornada&amp;Equipo_visitante,0)))</f>
        <v>PSG</v>
      </c>
      <c r="CO2" s="319" t="str" cm="1">
        <f t="array" ref="CO2">IFERROR(INDEX(Equipo_visitante,MATCH($BH2&amp;CO$1,Jornada&amp;Equipo_local,0)),INDEX(Equipo_local,MATCH($BH2&amp;CO$1,Jornada&amp;Equipo_visitante,0)))</f>
        <v>Galatasaray</v>
      </c>
      <c r="CP2" s="319" t="str" cm="1">
        <f t="array" ref="CP2">IFERROR(INDEX(Equipo_visitante,MATCH($BH2&amp;CP$1,Jornada&amp;Equipo_local,0)),INDEX(Equipo_local,MATCH($BH2&amp;CP$1,Jornada&amp;Equipo_visitante,0)))</f>
        <v>Viking</v>
      </c>
      <c r="CQ2" s="319" t="str" cm="1">
        <f t="array" ref="CQ2">IFERROR(INDEX(Equipo_visitante,MATCH($BH2&amp;CQ$1,Jornada&amp;Equipo_local,0)),INDEX(Equipo_local,MATCH($BH2&amp;CQ$1,Jornada&amp;Equipo_visitante,0)))</f>
        <v>Stuttgart</v>
      </c>
      <c r="CR2" s="319" t="str" cm="1">
        <f t="array" ref="CR2">IFERROR(INDEX(Equipo_visitante,MATCH($BH2&amp;CR$1,Jornada&amp;Equipo_local,0)),INDEX(Equipo_local,MATCH($BH2&amp;CR$1,Jornada&amp;Equipo_visitante,0)))</f>
        <v>Borussia Dortmund</v>
      </c>
      <c r="CS2" s="204"/>
      <c r="CT2" s="204"/>
      <c r="CU2" s="204"/>
      <c r="CV2" s="204"/>
    </row>
    <row r="3" spans="1:100" ht="17" customHeight="1">
      <c r="A3" s="206">
        <v>1</v>
      </c>
      <c r="B3" s="110">
        <f>Horarios!C3</f>
        <v>46273.78125</v>
      </c>
      <c r="C3" s="111">
        <f>Horarios!C3</f>
        <v>46273.78125</v>
      </c>
      <c r="D3" s="112" t="s">
        <v>815</v>
      </c>
      <c r="E3" s="207" t="e" cm="1" vm="3">
        <f t="array" ref="E3">badge_home</f>
        <v>#VALUE!</v>
      </c>
      <c r="F3" s="208"/>
      <c r="G3" s="84"/>
      <c r="H3" s="85"/>
      <c r="I3" s="209"/>
      <c r="J3" s="210" t="e" cm="1" vm="4">
        <f t="array" ref="J3">badge_away</f>
        <v>#VALUE!</v>
      </c>
      <c r="K3" s="211" t="s">
        <v>808</v>
      </c>
      <c r="L3" s="129"/>
      <c r="M3" s="188"/>
      <c r="N3" s="51">
        <v>2</v>
      </c>
      <c r="O3" s="14" t="e" cm="1" vm="5">
        <f t="array" ref="O3">badge_away</f>
        <v>#VALUE!</v>
      </c>
      <c r="P3" s="15" t="str">
        <f>IFERROR(INDEX(Calcs!A$2:A$37,MATCH($N3,Calcs!$CJ$2:$CJ$37,0)),"")</f>
        <v>Arsenal</v>
      </c>
      <c r="Q3" s="20">
        <f>IFERROR(INDEX(Calcs!$B$2:$AB$37,MATCH($N3,Calcs!$CJ$2:$CJ$37,0),MATCH(Q$1,Calcs!$B$1:$AB$1,0)),"")</f>
        <v>0</v>
      </c>
      <c r="R3" s="21">
        <f>IFERROR(INDEX(Calcs!$B$2:$AB$37,MATCH($N3,Calcs!$CJ$2:$CJ$37,0),MATCH(R$1,Calcs!$B$1:$AB$1,0)),"")</f>
        <v>0</v>
      </c>
      <c r="S3" s="21">
        <f>IFERROR(INDEX(Calcs!$B$2:$AB$37,MATCH($N3,Calcs!$CJ$2:$CJ$37,0),MATCH(S$1,Calcs!$B$1:$AB$1,0)),"")</f>
        <v>0</v>
      </c>
      <c r="T3" s="21">
        <f>IFERROR(INDEX(Calcs!$B$2:$AB$37,MATCH($N3,Calcs!$CJ$2:$CJ$37,0),MATCH(T$1,Calcs!$B$1:$AB$1,0)),"")</f>
        <v>0</v>
      </c>
      <c r="U3" s="21">
        <f>IFERROR(INDEX(Calcs!$B$2:$AB$37,MATCH($N3,Calcs!$CJ$2:$CJ$37,0),MATCH(U$1,Calcs!$B$1:$AB$1,0)),"")</f>
        <v>0</v>
      </c>
      <c r="V3" s="21">
        <f>IFERROR(INDEX(Calcs!$B$2:$AB$37,MATCH($N3,Calcs!$CJ$2:$CJ$37,0),MATCH(V$1,Calcs!$B$1:$AB$1,0)),"")</f>
        <v>0</v>
      </c>
      <c r="W3" s="21">
        <f>IFERROR(INDEX(Calcs!$B$2:$AB$37,MATCH($N3,Calcs!$CJ$2:$CJ$37,0),MATCH(W$1,Calcs!$B$1:$AB$1,0)),"")</f>
        <v>0</v>
      </c>
      <c r="X3" s="18">
        <f>IFERROR(INDEX(Calcs!$B$2:$AB$37,MATCH($N3,Calcs!$CJ$2:$CJ$37,0),MATCH(X$1,Calcs!$B$1:$AB$1,0)),"")</f>
        <v>0</v>
      </c>
      <c r="Y3" s="20">
        <f>IFERROR(INDEX(Calcs!$B$2:$AB$37,MATCH($N3,Calcs!$CJ$2:$CJ$37,0),MATCH(Y$1,Calcs!$B$1:$AB$1,0)),"")</f>
        <v>0</v>
      </c>
      <c r="Z3" s="21">
        <f>IFERROR(INDEX(Calcs!$B$2:$AB$37,MATCH($N3,Calcs!$CJ$2:$CJ$37,0),MATCH(Z$1,Calcs!$B$1:$AB$1,0)),"")</f>
        <v>0</v>
      </c>
      <c r="AA3" s="21">
        <f>IFERROR(INDEX(Calcs!$B$2:$AB$37,MATCH($N3,Calcs!$CJ$2:$CJ$37,0),MATCH(AA$1,Calcs!$B$1:$AB$1,0)),"")</f>
        <v>0</v>
      </c>
      <c r="AB3" s="21">
        <f>IFERROR(INDEX(Calcs!$B$2:$AB$37,MATCH($N3,Calcs!$CJ$2:$CJ$37,0),MATCH(AB$1,Calcs!$B$1:$AB$1,0)),"")</f>
        <v>0</v>
      </c>
      <c r="AC3" s="21">
        <f>IFERROR(INDEX(Calcs!$B$2:$AB$37,MATCH($N3,Calcs!$CJ$2:$CJ$37,0),MATCH(AC$1,Calcs!$B$1:$AB$1,0)),"")</f>
        <v>0</v>
      </c>
      <c r="AD3" s="21">
        <f>IFERROR(INDEX(Calcs!$B$2:$AB$37,MATCH($N3,Calcs!$CJ$2:$CJ$37,0),MATCH(AD$1,Calcs!$B$1:$AB$1,0)),"")</f>
        <v>0</v>
      </c>
      <c r="AE3" s="21">
        <f>IFERROR(INDEX(Calcs!$B$2:$AB$37,MATCH($N3,Calcs!$CJ$2:$CJ$37,0),MATCH(AE$1,Calcs!$B$1:$AB$1,0)),"")</f>
        <v>0</v>
      </c>
      <c r="AF3" s="18">
        <f>IFERROR(INDEX(Calcs!$B$2:$AB$37,MATCH($N3,Calcs!$CJ$2:$CJ$37,0),MATCH(AF$1,Calcs!$B$1:$AB$1,0)),"")</f>
        <v>0</v>
      </c>
      <c r="AG3" s="20">
        <f>IFERROR(INDEX(Calcs!$B$2:$AB$37,MATCH($N3,Calcs!$CJ$2:$CJ$37,0),MATCH(AG$1,Calcs!$B$1:$AB$1,0)),"")</f>
        <v>0</v>
      </c>
      <c r="AH3" s="21">
        <f>IFERROR(INDEX(Calcs!$B$2:$AB$37,MATCH($N3,Calcs!$CJ$2:$CJ$37,0),MATCH(AH$1,Calcs!$B$1:$AB$1,0)),"")</f>
        <v>0</v>
      </c>
      <c r="AI3" s="21">
        <f>IFERROR(INDEX(Calcs!$B$2:$AB$37,MATCH($N3,Calcs!$CJ$2:$CJ$37,0),MATCH(AI$1,Calcs!$B$1:$AB$1,0)),"")</f>
        <v>0</v>
      </c>
      <c r="AJ3" s="21">
        <f>IFERROR(INDEX(Calcs!$B$2:$AB$37,MATCH($N3,Calcs!$CJ$2:$CJ$37,0),MATCH(AJ$1,Calcs!$B$1:$AB$1,0)),"")</f>
        <v>0</v>
      </c>
      <c r="AK3" s="21">
        <f>IFERROR(INDEX(Calcs!$B$2:$AB$37,MATCH($N3,Calcs!$CJ$2:$CJ$37,0),MATCH(AK$1,Calcs!$B$1:$AB$1,0)),"")</f>
        <v>0</v>
      </c>
      <c r="AL3" s="21">
        <f>IFERROR(INDEX(Calcs!$B$2:$AB$37,MATCH($N3,Calcs!$CJ$2:$CJ$37,0),MATCH(AL$1,Calcs!$B$1:$AB$1,0)),"")</f>
        <v>0</v>
      </c>
      <c r="AM3" s="21">
        <f>IFERROR(INDEX(Calcs!$B$2:$AB$37,MATCH($N3,Calcs!$CJ$2:$CJ$37,0),MATCH(AM$1,Calcs!$B$1:$AB$1,0)),"")</f>
        <v>0</v>
      </c>
      <c r="AN3" s="22">
        <f>IFERROR(INDEX(Calcs!$B$2:$AB$37,MATCH($N3,Calcs!$CJ$2:$CJ$37,0),MATCH(AN$1,Calcs!$B$1:$AB$1,0)),"")</f>
        <v>0</v>
      </c>
      <c r="AO3" s="21">
        <f>IFERROR(INDEX(Calcs!$B$2:$AB$37,MATCH($N3,Calcs!$CJ$2:$CJ$37,0),MATCH(AO$1,Calcs!$B$1:$AB$1,0)),"")</f>
        <v>0</v>
      </c>
      <c r="AP3" s="21">
        <f>IFERROR(INDEX(Calcs!$B$2:$AB$37,MATCH($N3,Calcs!$CJ$2:$CJ$37,0),MATCH(AP$1,Calcs!$B$1:$AB$1,0)),"")</f>
        <v>0</v>
      </c>
      <c r="AQ3" s="22">
        <f>IFERROR(INDEX(Calcs!$B$2:$AB$37,MATCH($N3,Calcs!$CJ$2:$CJ$37,0),MATCH(AQ$1,Calcs!$B$1:$AB$1,0)),"")</f>
        <v>0</v>
      </c>
      <c r="AR3" s="188"/>
      <c r="AS3" s="202" t="str">
        <f>INDEX(Calcs!A$2:A$37,MATCH($N3,Calcs!$CF$2:$CF$37,0))</f>
        <v>Arsenal</v>
      </c>
      <c r="AT3" s="98"/>
      <c r="AU3" s="191">
        <f>INDEX(Calcs!$BZ$2:$BZ$37,MATCH($AS3,Calcs!$A$2:$A$37,0))</f>
        <v>1</v>
      </c>
      <c r="AV3" s="191">
        <f t="shared" ref="AV3:AV37" si="1">COUNTIF($AU$2:$AU$37,$AU3)</f>
        <v>36</v>
      </c>
      <c r="AW3" s="191" t="str">
        <f t="shared" ref="AW3:AW37" si="2">AU3&amp;"."&amp;AV3</f>
        <v>1.36</v>
      </c>
      <c r="AX3" s="191">
        <f ca="1"/>
        <v>2</v>
      </c>
      <c r="AY3" s="188"/>
      <c r="AZ3" s="212" t="str">
        <f>TablaEquipos[[#This Row],[Team]]</f>
        <v>Arsenal</v>
      </c>
      <c r="BA3" s="100"/>
      <c r="BB3" s="188"/>
      <c r="BC3" s="188"/>
      <c r="BD3" s="188"/>
      <c r="BE3" s="188"/>
      <c r="BF3" s="319" t="str">
        <f t="shared" si="0"/>
        <v>Pendiente</v>
      </c>
      <c r="BH3" s="321">
        <v>2</v>
      </c>
      <c r="BI3" s="319" t="str" cm="1">
        <f t="array" ref="BI3">IFERROR(INDEX(Equipo_visitante,MATCH($BH3&amp;BI$1,Jornada&amp;Equipo_local,0)),INDEX(Equipo_local,MATCH($BH3&amp;BI$1,Jornada&amp;Equipo_visitante,0)))</f>
        <v>Shakhtar Donetsk</v>
      </c>
      <c r="BJ3" s="319" t="str" cm="1">
        <f t="array" ref="BJ3">IFERROR(INDEX(Equipo_visitante,MATCH($BH3&amp;BJ$1,Jornada&amp;Equipo_local,0)),INDEX(Equipo_local,MATCH($BH3&amp;BJ$1,Jornada&amp;Equipo_visitante,0)))</f>
        <v>Lille</v>
      </c>
      <c r="BK3" s="319" t="str" cm="1">
        <f t="array" ref="BK3">IFERROR(INDEX(Equipo_visitante,MATCH($BH3&amp;BK$1,Jornada&amp;Equipo_local,0)),INDEX(Equipo_local,MATCH($BH3&amp;BK$1,Jornada&amp;Equipo_visitante,0)))</f>
        <v>Fenerbahçe </v>
      </c>
      <c r="BL3" s="319" t="str" cm="1">
        <f t="array" ref="BL3">IFERROR(INDEX(Equipo_visitante,MATCH($BH3&amp;BL$1,Jornada&amp;Equipo_local,0)),INDEX(Equipo_local,MATCH($BH3&amp;BL$1,Jornada&amp;Equipo_visitante,0)))</f>
        <v>Manchester United</v>
      </c>
      <c r="BM3" s="319" t="str" cm="1">
        <f t="array" ref="BM3">IFERROR(INDEX(Equipo_visitante,MATCH($BH3&amp;BM$1,Jornada&amp;Equipo_local,0)),INDEX(Equipo_local,MATCH($BH3&amp;BM$1,Jornada&amp;Equipo_visitante,0)))</f>
        <v>Galatasaray</v>
      </c>
      <c r="BN3" s="319" t="str" cm="1">
        <f t="array" ref="BN3">IFERROR(INDEX(Equipo_visitante,MATCH($BH3&amp;BN$1,Jornada&amp;Equipo_local,0)),INDEX(Equipo_local,MATCH($BH3&amp;BN$1,Jornada&amp;Equipo_visitante,0)))</f>
        <v>Viking</v>
      </c>
      <c r="BO3" s="319" t="str" cm="1">
        <f t="array" ref="BO3">IFERROR(INDEX(Equipo_visitante,MATCH($BH3&amp;BO$1,Jornada&amp;Equipo_local,0)),INDEX(Equipo_local,MATCH($BH3&amp;BO$1,Jornada&amp;Equipo_visitante,0)))</f>
        <v>Porto</v>
      </c>
      <c r="BP3" s="319" t="str" cm="1">
        <f t="array" ref="BP3">IFERROR(INDEX(Equipo_visitante,MATCH($BH3&amp;BP$1,Jornada&amp;Equipo_local,0)),INDEX(Equipo_local,MATCH($BH3&amp;BP$1,Jornada&amp;Equipo_visitante,0)))</f>
        <v>Borussia Dortmund</v>
      </c>
      <c r="BQ3" s="319" t="str" cm="1">
        <f t="array" ref="BQ3">IFERROR(INDEX(Equipo_visitante,MATCH($BH3&amp;BQ$1,Jornada&amp;Equipo_local,0)),INDEX(Equipo_local,MATCH($BH3&amp;BQ$1,Jornada&amp;Equipo_visitante,0)))</f>
        <v>Bodø/Glimt</v>
      </c>
      <c r="BR3" s="319" t="str" cm="1">
        <f t="array" ref="BR3">IFERROR(INDEX(Equipo_visitante,MATCH($BH3&amp;BR$1,Jornada&amp;Equipo_local,0)),INDEX(Equipo_local,MATCH($BH3&amp;BR$1,Jornada&amp;Equipo_visitante,0)))</f>
        <v>Inter Milan</v>
      </c>
      <c r="BS3" s="319" t="str" cm="1">
        <f t="array" ref="BS3">IFERROR(INDEX(Equipo_visitante,MATCH($BH3&amp;BS$1,Jornada&amp;Equipo_local,0)),INDEX(Equipo_local,MATCH($BH3&amp;BS$1,Jornada&amp;Equipo_visitante,0)))</f>
        <v>Feyenoord</v>
      </c>
      <c r="BT3" s="319" t="str" cm="1">
        <f t="array" ref="BT3">IFERROR(INDEX(Equipo_visitante,MATCH($BH3&amp;BT$1,Jornada&amp;Equipo_local,0)),INDEX(Equipo_local,MATCH($BH3&amp;BT$1,Jornada&amp;Equipo_visitante,0)))</f>
        <v>Aston Villa</v>
      </c>
      <c r="BU3" s="319" t="str" cm="1">
        <f t="array" ref="BU3">IFERROR(INDEX(Equipo_visitante,MATCH($BH3&amp;BU$1,Jornada&amp;Equipo_local,0)),INDEX(Equipo_local,MATCH($BH3&amp;BU$1,Jornada&amp;Equipo_visitante,0)))</f>
        <v>Como</v>
      </c>
      <c r="BV3" s="319" t="str" cm="1">
        <f t="array" ref="BV3">IFERROR(INDEX(Equipo_visitante,MATCH($BH3&amp;BV$1,Jornada&amp;Equipo_local,0)),INDEX(Equipo_local,MATCH($BH3&amp;BV$1,Jornada&amp;Equipo_visitante,0)))</f>
        <v>Barcelona</v>
      </c>
      <c r="BW3" s="319" t="str" cm="1">
        <f t="array" ref="BW3">IFERROR(INDEX(Equipo_visitante,MATCH($BH3&amp;BW$1,Jornada&amp;Equipo_local,0)),INDEX(Equipo_local,MATCH($BH3&amp;BW$1,Jornada&amp;Equipo_visitante,0)))</f>
        <v>Brugge</v>
      </c>
      <c r="BX3" s="319" t="str" cm="1">
        <f t="array" ref="BX3">IFERROR(INDEX(Equipo_visitante,MATCH($BH3&amp;BX$1,Jornada&amp;Equipo_local,0)),INDEX(Equipo_local,MATCH($BH3&amp;BX$1,Jornada&amp;Equipo_visitante,0)))</f>
        <v>Liverpool</v>
      </c>
      <c r="BY3" s="319" t="str" cm="1">
        <f t="array" ref="BY3">IFERROR(INDEX(Equipo_visitante,MATCH($BH3&amp;BY$1,Jornada&amp;Equipo_local,0)),INDEX(Equipo_local,MATCH($BH3&amp;BY$1,Jornada&amp;Equipo_visitante,0)))</f>
        <v>PSV Eindhoven</v>
      </c>
      <c r="BZ3" s="319" t="str" cm="1">
        <f t="array" ref="BZ3">IFERROR(INDEX(Equipo_visitante,MATCH($BH3&amp;BZ$1,Jornada&amp;Equipo_local,0)),INDEX(Equipo_local,MATCH($BH3&amp;BZ$1,Jornada&amp;Equipo_visitante,0)))</f>
        <v>Sporting Portugal</v>
      </c>
      <c r="CA3" s="319" t="str" cm="1">
        <f t="array" ref="CA3">IFERROR(INDEX(Equipo_visitante,MATCH($BH3&amp;CA$1,Jornada&amp;Equipo_local,0)),INDEX(Equipo_local,MATCH($BH3&amp;CA$1,Jornada&amp;Equipo_visitante,0)))</f>
        <v>Arsenal</v>
      </c>
      <c r="CB3" s="319" t="str" cm="1">
        <f t="array" ref="CB3">IFERROR(INDEX(Equipo_visitante,MATCH($BH3&amp;CB$1,Jornada&amp;Equipo_local,0)),INDEX(Equipo_local,MATCH($BH3&amp;CB$1,Jornada&amp;Equipo_visitante,0)))</f>
        <v>LASK</v>
      </c>
      <c r="CC3" s="319" t="str" cm="1">
        <f t="array" ref="CC3">IFERROR(INDEX(Equipo_visitante,MATCH($BH3&amp;CC$1,Jornada&amp;Equipo_local,0)),INDEX(Equipo_local,MATCH($BH3&amp;CC$1,Jornada&amp;Equipo_visitante,0)))</f>
        <v>PSG</v>
      </c>
      <c r="CD3" s="319" t="str" cm="1">
        <f t="array" ref="CD3">IFERROR(INDEX(Equipo_visitante,MATCH($BH3&amp;CD$1,Jornada&amp;Equipo_local,0)),INDEX(Equipo_local,MATCH($BH3&amp;CD$1,Jornada&amp;Equipo_visitante,0)))</f>
        <v>Atlético Madrid</v>
      </c>
      <c r="CE3" s="319" t="str" cm="1">
        <f t="array" ref="CE3">IFERROR(INDEX(Equipo_visitante,MATCH($BH3&amp;CE$1,Jornada&amp;Equipo_local,0)),INDEX(Equipo_local,MATCH($BH3&amp;CE$1,Jornada&amp;Equipo_visitante,0)))</f>
        <v>Villarreal</v>
      </c>
      <c r="CF3" s="319" t="str" cm="1">
        <f t="array" ref="CF3">IFERROR(INDEX(Equipo_visitante,MATCH($BH3&amp;CF$1,Jornada&amp;Equipo_local,0)),INDEX(Equipo_local,MATCH($BH3&amp;CF$1,Jornada&amp;Equipo_visitante,0)))</f>
        <v>Betis</v>
      </c>
      <c r="CG3" s="319" t="str" cm="1">
        <f t="array" ref="CG3">IFERROR(INDEX(Equipo_visitante,MATCH($BH3&amp;CG$1,Jornada&amp;Equipo_local,0)),INDEX(Equipo_local,MATCH($BH3&amp;CG$1,Jornada&amp;Equipo_visitante,0)))</f>
        <v>Manchester City</v>
      </c>
      <c r="CH3" s="319" t="str" cm="1">
        <f t="array" ref="CH3">IFERROR(INDEX(Equipo_visitante,MATCH($BH3&amp;CH$1,Jornada&amp;Equipo_local,0)),INDEX(Equipo_local,MATCH($BH3&amp;CH$1,Jornada&amp;Equipo_visitante,0)))</f>
        <v>Leipzig</v>
      </c>
      <c r="CI3" s="319" t="str" cm="1">
        <f t="array" ref="CI3">IFERROR(INDEX(Equipo_visitante,MATCH($BH3&amp;CI$1,Jornada&amp;Equipo_local,0)),INDEX(Equipo_local,MATCH($BH3&amp;CI$1,Jornada&amp;Equipo_visitante,0)))</f>
        <v>Roma</v>
      </c>
      <c r="CJ3" s="319" t="str" cm="1">
        <f t="array" ref="CJ3">IFERROR(INDEX(Equipo_visitante,MATCH($BH3&amp;CJ$1,Jornada&amp;Equipo_local,0)),INDEX(Equipo_local,MATCH($BH3&amp;CJ$1,Jornada&amp;Equipo_visitante,0)))</f>
        <v>Real Madrid</v>
      </c>
      <c r="CK3" s="319" t="str" cm="1">
        <f t="array" ref="CK3">IFERROR(INDEX(Equipo_visitante,MATCH($BH3&amp;CK$1,Jornada&amp;Equipo_local,0)),INDEX(Equipo_local,MATCH($BH3&amp;CK$1,Jornada&amp;Equipo_visitante,0)))</f>
        <v>Slavia Praha</v>
      </c>
      <c r="CL3" s="319" t="str" cm="1">
        <f t="array" ref="CL3">IFERROR(INDEX(Equipo_visitante,MATCH($BH3&amp;CL$1,Jornada&amp;Equipo_local,0)),INDEX(Equipo_local,MATCH($BH3&amp;CL$1,Jornada&amp;Equipo_visitante,0)))</f>
        <v>AEK</v>
      </c>
      <c r="CM3" s="319" t="str" cm="1">
        <f t="array" ref="CM3">IFERROR(INDEX(Equipo_visitante,MATCH($BH3&amp;CM$1,Jornada&amp;Equipo_local,0)),INDEX(Equipo_local,MATCH($BH3&amp;CM$1,Jornada&amp;Equipo_visitante,0)))</f>
        <v>Sabah</v>
      </c>
      <c r="CN3" s="319" t="str" cm="1">
        <f t="array" ref="CN3">IFERROR(INDEX(Equipo_visitante,MATCH($BH3&amp;CN$1,Jornada&amp;Equipo_local,0)),INDEX(Equipo_local,MATCH($BH3&amp;CN$1,Jornada&amp;Equipo_visitante,0)))</f>
        <v>Stuttgart</v>
      </c>
      <c r="CO3" s="319" t="str" cm="1">
        <f t="array" ref="CO3">IFERROR(INDEX(Equipo_visitante,MATCH($BH3&amp;CO$1,Jornada&amp;Equipo_local,0)),INDEX(Equipo_local,MATCH($BH3&amp;CO$1,Jornada&amp;Equipo_visitante,0)))</f>
        <v>Lens</v>
      </c>
      <c r="CP3" s="319" t="str" cm="1">
        <f t="array" ref="CP3">IFERROR(INDEX(Equipo_visitante,MATCH($BH3&amp;CP$1,Jornada&amp;Equipo_local,0)),INDEX(Equipo_local,MATCH($BH3&amp;CP$1,Jornada&amp;Equipo_visitante,0)))</f>
        <v>Slovan Bratislava </v>
      </c>
      <c r="CQ3" s="319" t="str" cm="1">
        <f t="array" ref="CQ3">IFERROR(INDEX(Equipo_visitante,MATCH($BH3&amp;CQ$1,Jornada&amp;Equipo_local,0)),INDEX(Equipo_local,MATCH($BH3&amp;CQ$1,Jornada&amp;Equipo_visitante,0)))</f>
        <v>Bayern München</v>
      </c>
      <c r="CR3" s="319" t="str" cm="1">
        <f t="array" ref="CR3">IFERROR(INDEX(Equipo_visitante,MATCH($BH3&amp;CR$1,Jornada&amp;Equipo_local,0)),INDEX(Equipo_local,MATCH($BH3&amp;CR$1,Jornada&amp;Equipo_visitante,0)))</f>
        <v>Napoli</v>
      </c>
      <c r="CS3" s="204"/>
      <c r="CT3" s="204"/>
      <c r="CU3" s="204"/>
      <c r="CV3" s="204"/>
    </row>
    <row r="4" spans="1:100" ht="17" customHeight="1">
      <c r="A4" s="213">
        <v>1</v>
      </c>
      <c r="B4" s="113">
        <f>Horarios!C4</f>
        <v>46273.875</v>
      </c>
      <c r="C4" s="114">
        <f>Horarios!C4</f>
        <v>46273.875</v>
      </c>
      <c r="D4" s="115" t="s">
        <v>736</v>
      </c>
      <c r="E4" s="214" t="e" cm="1" vm="6">
        <f t="array" ref="E4">badge_home</f>
        <v>#VALUE!</v>
      </c>
      <c r="F4" s="215"/>
      <c r="G4" s="86"/>
      <c r="H4" s="87"/>
      <c r="I4" s="216"/>
      <c r="J4" s="217" t="e" cm="1" vm="7">
        <f t="array" ref="J4">badge_away</f>
        <v>#VALUE!</v>
      </c>
      <c r="K4" s="132" t="s">
        <v>982</v>
      </c>
      <c r="L4" s="129"/>
      <c r="M4" s="188"/>
      <c r="N4" s="51">
        <v>3</v>
      </c>
      <c r="O4" s="14" t="e" cm="1" vm="4">
        <f t="array" ref="O4">badge_away</f>
        <v>#VALUE!</v>
      </c>
      <c r="P4" s="15" t="str">
        <f>IFERROR(INDEX(Calcs!A$2:A$37,MATCH($N4,Calcs!$CJ$2:$CJ$37,0)),"")</f>
        <v>Aston Villa</v>
      </c>
      <c r="Q4" s="20">
        <f>IFERROR(INDEX(Calcs!$B$2:$AB$37,MATCH($N4,Calcs!$CJ$2:$CJ$37,0),MATCH(Q$1,Calcs!$B$1:$AB$1,0)),"")</f>
        <v>0</v>
      </c>
      <c r="R4" s="21">
        <f>IFERROR(INDEX(Calcs!$B$2:$AB$37,MATCH($N4,Calcs!$CJ$2:$CJ$37,0),MATCH(R$1,Calcs!$B$1:$AB$1,0)),"")</f>
        <v>0</v>
      </c>
      <c r="S4" s="21">
        <f>IFERROR(INDEX(Calcs!$B$2:$AB$37,MATCH($N4,Calcs!$CJ$2:$CJ$37,0),MATCH(S$1,Calcs!$B$1:$AB$1,0)),"")</f>
        <v>0</v>
      </c>
      <c r="T4" s="21">
        <f>IFERROR(INDEX(Calcs!$B$2:$AB$37,MATCH($N4,Calcs!$CJ$2:$CJ$37,0),MATCH(T$1,Calcs!$B$1:$AB$1,0)),"")</f>
        <v>0</v>
      </c>
      <c r="U4" s="21">
        <f>IFERROR(INDEX(Calcs!$B$2:$AB$37,MATCH($N4,Calcs!$CJ$2:$CJ$37,0),MATCH(U$1,Calcs!$B$1:$AB$1,0)),"")</f>
        <v>0</v>
      </c>
      <c r="V4" s="21">
        <f>IFERROR(INDEX(Calcs!$B$2:$AB$37,MATCH($N4,Calcs!$CJ$2:$CJ$37,0),MATCH(V$1,Calcs!$B$1:$AB$1,0)),"")</f>
        <v>0</v>
      </c>
      <c r="W4" s="21">
        <f>IFERROR(INDEX(Calcs!$B$2:$AB$37,MATCH($N4,Calcs!$CJ$2:$CJ$37,0),MATCH(W$1,Calcs!$B$1:$AB$1,0)),"")</f>
        <v>0</v>
      </c>
      <c r="X4" s="18">
        <f>IFERROR(INDEX(Calcs!$B$2:$AB$37,MATCH($N4,Calcs!$CJ$2:$CJ$37,0),MATCH(X$1,Calcs!$B$1:$AB$1,0)),"")</f>
        <v>0</v>
      </c>
      <c r="Y4" s="20">
        <f>IFERROR(INDEX(Calcs!$B$2:$AB$37,MATCH($N4,Calcs!$CJ$2:$CJ$37,0),MATCH(Y$1,Calcs!$B$1:$AB$1,0)),"")</f>
        <v>0</v>
      </c>
      <c r="Z4" s="21">
        <f>IFERROR(INDEX(Calcs!$B$2:$AB$37,MATCH($N4,Calcs!$CJ$2:$CJ$37,0),MATCH(Z$1,Calcs!$B$1:$AB$1,0)),"")</f>
        <v>0</v>
      </c>
      <c r="AA4" s="21">
        <f>IFERROR(INDEX(Calcs!$B$2:$AB$37,MATCH($N4,Calcs!$CJ$2:$CJ$37,0),MATCH(AA$1,Calcs!$B$1:$AB$1,0)),"")</f>
        <v>0</v>
      </c>
      <c r="AB4" s="21">
        <f>IFERROR(INDEX(Calcs!$B$2:$AB$37,MATCH($N4,Calcs!$CJ$2:$CJ$37,0),MATCH(AB$1,Calcs!$B$1:$AB$1,0)),"")</f>
        <v>0</v>
      </c>
      <c r="AC4" s="21">
        <f>IFERROR(INDEX(Calcs!$B$2:$AB$37,MATCH($N4,Calcs!$CJ$2:$CJ$37,0),MATCH(AC$1,Calcs!$B$1:$AB$1,0)),"")</f>
        <v>0</v>
      </c>
      <c r="AD4" s="21">
        <f>IFERROR(INDEX(Calcs!$B$2:$AB$37,MATCH($N4,Calcs!$CJ$2:$CJ$37,0),MATCH(AD$1,Calcs!$B$1:$AB$1,0)),"")</f>
        <v>0</v>
      </c>
      <c r="AE4" s="21">
        <f>IFERROR(INDEX(Calcs!$B$2:$AB$37,MATCH($N4,Calcs!$CJ$2:$CJ$37,0),MATCH(AE$1,Calcs!$B$1:$AB$1,0)),"")</f>
        <v>0</v>
      </c>
      <c r="AF4" s="18">
        <f>IFERROR(INDEX(Calcs!$B$2:$AB$37,MATCH($N4,Calcs!$CJ$2:$CJ$37,0),MATCH(AF$1,Calcs!$B$1:$AB$1,0)),"")</f>
        <v>0</v>
      </c>
      <c r="AG4" s="20">
        <f>IFERROR(INDEX(Calcs!$B$2:$AB$37,MATCH($N4,Calcs!$CJ$2:$CJ$37,0),MATCH(AG$1,Calcs!$B$1:$AB$1,0)),"")</f>
        <v>0</v>
      </c>
      <c r="AH4" s="21">
        <f>IFERROR(INDEX(Calcs!$B$2:$AB$37,MATCH($N4,Calcs!$CJ$2:$CJ$37,0),MATCH(AH$1,Calcs!$B$1:$AB$1,0)),"")</f>
        <v>0</v>
      </c>
      <c r="AI4" s="21">
        <f>IFERROR(INDEX(Calcs!$B$2:$AB$37,MATCH($N4,Calcs!$CJ$2:$CJ$37,0),MATCH(AI$1,Calcs!$B$1:$AB$1,0)),"")</f>
        <v>0</v>
      </c>
      <c r="AJ4" s="21">
        <f>IFERROR(INDEX(Calcs!$B$2:$AB$37,MATCH($N4,Calcs!$CJ$2:$CJ$37,0),MATCH(AJ$1,Calcs!$B$1:$AB$1,0)),"")</f>
        <v>0</v>
      </c>
      <c r="AK4" s="21">
        <f>IFERROR(INDEX(Calcs!$B$2:$AB$37,MATCH($N4,Calcs!$CJ$2:$CJ$37,0),MATCH(AK$1,Calcs!$B$1:$AB$1,0)),"")</f>
        <v>0</v>
      </c>
      <c r="AL4" s="21">
        <f>IFERROR(INDEX(Calcs!$B$2:$AB$37,MATCH($N4,Calcs!$CJ$2:$CJ$37,0),MATCH(AL$1,Calcs!$B$1:$AB$1,0)),"")</f>
        <v>0</v>
      </c>
      <c r="AM4" s="21">
        <f>IFERROR(INDEX(Calcs!$B$2:$AB$37,MATCH($N4,Calcs!$CJ$2:$CJ$37,0),MATCH(AM$1,Calcs!$B$1:$AB$1,0)),"")</f>
        <v>0</v>
      </c>
      <c r="AN4" s="22">
        <f>IFERROR(INDEX(Calcs!$B$2:$AB$37,MATCH($N4,Calcs!$CJ$2:$CJ$37,0),MATCH(AN$1,Calcs!$B$1:$AB$1,0)),"")</f>
        <v>0</v>
      </c>
      <c r="AO4" s="21">
        <f>IFERROR(INDEX(Calcs!$B$2:$AB$37,MATCH($N4,Calcs!$CJ$2:$CJ$37,0),MATCH(AO$1,Calcs!$B$1:$AB$1,0)),"")</f>
        <v>0</v>
      </c>
      <c r="AP4" s="21">
        <f>IFERROR(INDEX(Calcs!$B$2:$AB$37,MATCH($N4,Calcs!$CJ$2:$CJ$37,0),MATCH(AP$1,Calcs!$B$1:$AB$1,0)),"")</f>
        <v>0</v>
      </c>
      <c r="AQ4" s="22">
        <f>IFERROR(INDEX(Calcs!$B$2:$AB$37,MATCH($N4,Calcs!$CJ$2:$CJ$37,0),MATCH(AQ$1,Calcs!$B$1:$AB$1,0)),"")</f>
        <v>0</v>
      </c>
      <c r="AR4" s="188"/>
      <c r="AS4" s="202" t="str">
        <f>INDEX(Calcs!A$2:A$37,MATCH($N4,Calcs!$CF$2:$CF$37,0))</f>
        <v>Aston Villa</v>
      </c>
      <c r="AT4" s="98"/>
      <c r="AU4" s="191">
        <f>INDEX(Calcs!$BZ$2:$BZ$37,MATCH($AS4,Calcs!$A$2:$A$37,0))</f>
        <v>1</v>
      </c>
      <c r="AV4" s="191">
        <f t="shared" si="1"/>
        <v>36</v>
      </c>
      <c r="AW4" s="191" t="str">
        <f t="shared" si="2"/>
        <v>1.36</v>
      </c>
      <c r="AX4" s="191">
        <f ca="1"/>
        <v>3</v>
      </c>
      <c r="AY4" s="188"/>
      <c r="AZ4" s="203" t="str">
        <f>TablaEquipos[[#This Row],[Team]]</f>
        <v>Aston Villa</v>
      </c>
      <c r="BA4" s="99"/>
      <c r="BB4" s="188"/>
      <c r="BC4" s="188"/>
      <c r="BD4" s="188"/>
      <c r="BE4" s="188"/>
      <c r="BF4" s="319" t="str">
        <f t="shared" si="0"/>
        <v>Pendiente</v>
      </c>
      <c r="BH4" s="321">
        <v>3</v>
      </c>
      <c r="BI4" s="319" t="str" cm="1">
        <f t="array" ref="BI4">IFERROR(INDEX(Equipo_visitante,MATCH($BH4&amp;BI$1,Jornada&amp;Equipo_local,0)),INDEX(Equipo_local,MATCH($BH4&amp;BI$1,Jornada&amp;Equipo_visitante,0)))</f>
        <v>Manchester City</v>
      </c>
      <c r="BJ4" s="319" t="str" cm="1">
        <f t="array" ref="BJ4">IFERROR(INDEX(Equipo_visitante,MATCH($BH4&amp;BJ$1,Jornada&amp;Equipo_local,0)),INDEX(Equipo_local,MATCH($BH4&amp;BJ$1,Jornada&amp;Equipo_visitante,0)))</f>
        <v>Bayern München</v>
      </c>
      <c r="BK4" s="319" t="str" cm="1">
        <f t="array" ref="BK4">IFERROR(INDEX(Equipo_visitante,MATCH($BH4&amp;BK$1,Jornada&amp;Equipo_local,0)),INDEX(Equipo_local,MATCH($BH4&amp;BK$1,Jornada&amp;Equipo_visitante,0)))</f>
        <v>Viking</v>
      </c>
      <c r="BL4" s="319" t="str" cm="1">
        <f t="array" ref="BL4">IFERROR(INDEX(Equipo_visitante,MATCH($BH4&amp;BL$1,Jornada&amp;Equipo_local,0)),INDEX(Equipo_local,MATCH($BH4&amp;BL$1,Jornada&amp;Equipo_visitante,0)))</f>
        <v>Stuttgart</v>
      </c>
      <c r="BM4" s="319" t="str" cm="1">
        <f t="array" ref="BM4">IFERROR(INDEX(Equipo_visitante,MATCH($BH4&amp;BM$1,Jornada&amp;Equipo_local,0)),INDEX(Equipo_local,MATCH($BH4&amp;BM$1,Jornada&amp;Equipo_visitante,0)))</f>
        <v>PSG</v>
      </c>
      <c r="BN4" s="319" t="str" cm="1">
        <f t="array" ref="BN4">IFERROR(INDEX(Equipo_visitante,MATCH($BH4&amp;BN$1,Jornada&amp;Equipo_local,0)),INDEX(Equipo_local,MATCH($BH4&amp;BN$1,Jornada&amp;Equipo_visitante,0)))</f>
        <v>Arsenal</v>
      </c>
      <c r="BO4" s="319" t="str" cm="1">
        <f t="array" ref="BO4">IFERROR(INDEX(Equipo_visitante,MATCH($BH4&amp;BO$1,Jornada&amp;Equipo_local,0)),INDEX(Equipo_local,MATCH($BH4&amp;BO$1,Jornada&amp;Equipo_visitante,0)))</f>
        <v>Feyenoord</v>
      </c>
      <c r="BP4" s="319" t="str" cm="1">
        <f t="array" ref="BP4">IFERROR(INDEX(Equipo_visitante,MATCH($BH4&amp;BP$1,Jornada&amp;Equipo_local,0)),INDEX(Equipo_local,MATCH($BH4&amp;BP$1,Jornada&amp;Equipo_visitante,0)))</f>
        <v>Napoli</v>
      </c>
      <c r="BQ4" s="319" t="str" cm="1">
        <f t="array" ref="BQ4">IFERROR(INDEX(Equipo_visitante,MATCH($BH4&amp;BQ$1,Jornada&amp;Equipo_local,0)),INDEX(Equipo_local,MATCH($BH4&amp;BQ$1,Jornada&amp;Equipo_visitante,0)))</f>
        <v>Sabah</v>
      </c>
      <c r="BR4" s="319" t="str" cm="1">
        <f t="array" ref="BR4">IFERROR(INDEX(Equipo_visitante,MATCH($BH4&amp;BR$1,Jornada&amp;Equipo_local,0)),INDEX(Equipo_local,MATCH($BH4&amp;BR$1,Jornada&amp;Equipo_visitante,0)))</f>
        <v>Lens</v>
      </c>
      <c r="BS4" s="319" t="str" cm="1">
        <f t="array" ref="BS4">IFERROR(INDEX(Equipo_visitante,MATCH($BH4&amp;BS$1,Jornada&amp;Equipo_local,0)),INDEX(Equipo_local,MATCH($BH4&amp;BS$1,Jornada&amp;Equipo_visitante,0)))</f>
        <v>Manchester United</v>
      </c>
      <c r="BT4" s="319" t="str" cm="1">
        <f t="array" ref="BT4">IFERROR(INDEX(Equipo_visitante,MATCH($BH4&amp;BT$1,Jornada&amp;Equipo_local,0)),INDEX(Equipo_local,MATCH($BH4&amp;BT$1,Jornada&amp;Equipo_visitante,0)))</f>
        <v>Slavia Praha</v>
      </c>
      <c r="BU4" s="319" t="str" cm="1">
        <f t="array" ref="BU4">IFERROR(INDEX(Equipo_visitante,MATCH($BH4&amp;BU$1,Jornada&amp;Equipo_local,0)),INDEX(Equipo_local,MATCH($BH4&amp;BU$1,Jornada&amp;Equipo_visitante,0)))</f>
        <v>Betis</v>
      </c>
      <c r="BV4" s="319" t="str" cm="1">
        <f t="array" ref="BV4">IFERROR(INDEX(Equipo_visitante,MATCH($BH4&amp;BV$1,Jornada&amp;Equipo_local,0)),INDEX(Equipo_local,MATCH($BH4&amp;BV$1,Jornada&amp;Equipo_visitante,0)))</f>
        <v>Lille</v>
      </c>
      <c r="BW4" s="319" t="str" cm="1">
        <f t="array" ref="BW4">IFERROR(INDEX(Equipo_visitante,MATCH($BH4&amp;BW$1,Jornada&amp;Equipo_local,0)),INDEX(Equipo_local,MATCH($BH4&amp;BW$1,Jornada&amp;Equipo_visitante,0)))</f>
        <v>Shakhtar Donetsk</v>
      </c>
      <c r="BX4" s="319" t="str" cm="1">
        <f t="array" ref="BX4">IFERROR(INDEX(Equipo_visitante,MATCH($BH4&amp;BX$1,Jornada&amp;Equipo_local,0)),INDEX(Equipo_local,MATCH($BH4&amp;BX$1,Jornada&amp;Equipo_visitante,0)))</f>
        <v>Sporting Portugal</v>
      </c>
      <c r="BY4" s="319" t="str" cm="1">
        <f t="array" ref="BY4">IFERROR(INDEX(Equipo_visitante,MATCH($BH4&amp;BY$1,Jornada&amp;Equipo_local,0)),INDEX(Equipo_local,MATCH($BH4&amp;BY$1,Jornada&amp;Equipo_visitante,0)))</f>
        <v>Real Madrid</v>
      </c>
      <c r="BZ4" s="319" t="str" cm="1">
        <f t="array" ref="BZ4">IFERROR(INDEX(Equipo_visitante,MATCH($BH4&amp;BZ$1,Jornada&amp;Equipo_local,0)),INDEX(Equipo_local,MATCH($BH4&amp;BZ$1,Jornada&amp;Equipo_visitante,0)))</f>
        <v>Brugge</v>
      </c>
      <c r="CA4" s="319" t="str" cm="1">
        <f t="array" ref="CA4">IFERROR(INDEX(Equipo_visitante,MATCH($BH4&amp;CA$1,Jornada&amp;Equipo_local,0)),INDEX(Equipo_local,MATCH($BH4&amp;CA$1,Jornada&amp;Equipo_visitante,0)))</f>
        <v>Galatasaray</v>
      </c>
      <c r="CB4" s="319" t="str" cm="1">
        <f t="array" ref="CB4">IFERROR(INDEX(Equipo_visitante,MATCH($BH4&amp;CB$1,Jornada&amp;Equipo_local,0)),INDEX(Equipo_local,MATCH($BH4&amp;CB$1,Jornada&amp;Equipo_visitante,0)))</f>
        <v>Villarreal</v>
      </c>
      <c r="CC4" s="319" t="str" cm="1">
        <f t="array" ref="CC4">IFERROR(INDEX(Equipo_visitante,MATCH($BH4&amp;CC$1,Jornada&amp;Equipo_local,0)),INDEX(Equipo_local,MATCH($BH4&amp;CC$1,Jornada&amp;Equipo_visitante,0)))</f>
        <v>AEK</v>
      </c>
      <c r="CD4" s="319" t="str" cm="1">
        <f t="array" ref="CD4">IFERROR(INDEX(Equipo_visitante,MATCH($BH4&amp;CD$1,Jornada&amp;Equipo_local,0)),INDEX(Equipo_local,MATCH($BH4&amp;CD$1,Jornada&amp;Equipo_visitante,0)))</f>
        <v>Como</v>
      </c>
      <c r="CE4" s="319" t="str" cm="1">
        <f t="array" ref="CE4">IFERROR(INDEX(Equipo_visitante,MATCH($BH4&amp;CE$1,Jornada&amp;Equipo_local,0)),INDEX(Equipo_local,MATCH($BH4&amp;CE$1,Jornada&amp;Equipo_visitante,0)))</f>
        <v>Bodø/Glimt</v>
      </c>
      <c r="CF4" s="319" t="str" cm="1">
        <f t="array" ref="CF4">IFERROR(INDEX(Equipo_visitante,MATCH($BH4&amp;CF$1,Jornada&amp;Equipo_local,0)),INDEX(Equipo_local,MATCH($BH4&amp;CF$1,Jornada&amp;Equipo_visitante,0)))</f>
        <v>PSV Eindhoven</v>
      </c>
      <c r="CG4" s="319" t="str" cm="1">
        <f t="array" ref="CG4">IFERROR(INDEX(Equipo_visitante,MATCH($BH4&amp;CG$1,Jornada&amp;Equipo_local,0)),INDEX(Equipo_local,MATCH($BH4&amp;CG$1,Jornada&amp;Equipo_visitante,0)))</f>
        <v>Barcelona</v>
      </c>
      <c r="CH4" s="319" t="str" cm="1">
        <f t="array" ref="CH4">IFERROR(INDEX(Equipo_visitante,MATCH($BH4&amp;CH$1,Jornada&amp;Equipo_local,0)),INDEX(Equipo_local,MATCH($BH4&amp;CH$1,Jornada&amp;Equipo_visitante,0)))</f>
        <v>Porto</v>
      </c>
      <c r="CI4" s="319" t="str" cm="1">
        <f t="array" ref="CI4">IFERROR(INDEX(Equipo_visitante,MATCH($BH4&amp;CI$1,Jornada&amp;Equipo_local,0)),INDEX(Equipo_local,MATCH($BH4&amp;CI$1,Jornada&amp;Equipo_visitante,0)))</f>
        <v>Leipzig</v>
      </c>
      <c r="CJ4" s="319" t="str" cm="1">
        <f t="array" ref="CJ4">IFERROR(INDEX(Equipo_visitante,MATCH($BH4&amp;CJ$1,Jornada&amp;Equipo_local,0)),INDEX(Equipo_local,MATCH($BH4&amp;CJ$1,Jornada&amp;Equipo_visitante,0)))</f>
        <v>Slovan Bratislava </v>
      </c>
      <c r="CK4" s="319" t="str" cm="1">
        <f t="array" ref="CK4">IFERROR(INDEX(Equipo_visitante,MATCH($BH4&amp;CK$1,Jornada&amp;Equipo_local,0)),INDEX(Equipo_local,MATCH($BH4&amp;CK$1,Jornada&amp;Equipo_visitante,0)))</f>
        <v>Borussia Dortmund</v>
      </c>
      <c r="CL4" s="319" t="str" cm="1">
        <f t="array" ref="CL4">IFERROR(INDEX(Equipo_visitante,MATCH($BH4&amp;CL$1,Jornada&amp;Equipo_local,0)),INDEX(Equipo_local,MATCH($BH4&amp;CL$1,Jornada&amp;Equipo_visitante,0)))</f>
        <v>Inter Milan</v>
      </c>
      <c r="CM4" s="319" t="str" cm="1">
        <f t="array" ref="CM4">IFERROR(INDEX(Equipo_visitante,MATCH($BH4&amp;CM$1,Jornada&amp;Equipo_local,0)),INDEX(Equipo_local,MATCH($BH4&amp;CM$1,Jornada&amp;Equipo_visitante,0)))</f>
        <v>Fenerbahçe </v>
      </c>
      <c r="CN4" s="319" t="str" cm="1">
        <f t="array" ref="CN4">IFERROR(INDEX(Equipo_visitante,MATCH($BH4&amp;CN$1,Jornada&amp;Equipo_local,0)),INDEX(Equipo_local,MATCH($BH4&amp;CN$1,Jornada&amp;Equipo_visitante,0)))</f>
        <v>Roma</v>
      </c>
      <c r="CO4" s="319" t="str" cm="1">
        <f t="array" ref="CO4">IFERROR(INDEX(Equipo_visitante,MATCH($BH4&amp;CO$1,Jornada&amp;Equipo_local,0)),INDEX(Equipo_local,MATCH($BH4&amp;CO$1,Jornada&amp;Equipo_visitante,0)))</f>
        <v>LASK</v>
      </c>
      <c r="CP4" s="319" t="str" cm="1">
        <f t="array" ref="CP4">IFERROR(INDEX(Equipo_visitante,MATCH($BH4&amp;CP$1,Jornada&amp;Equipo_local,0)),INDEX(Equipo_local,MATCH($BH4&amp;CP$1,Jornada&amp;Equipo_visitante,0)))</f>
        <v>Atlético Madrid</v>
      </c>
      <c r="CQ4" s="319" t="str" cm="1">
        <f t="array" ref="CQ4">IFERROR(INDEX(Equipo_visitante,MATCH($BH4&amp;CQ$1,Jornada&amp;Equipo_local,0)),INDEX(Equipo_local,MATCH($BH4&amp;CQ$1,Jornada&amp;Equipo_visitante,0)))</f>
        <v>Aston Villa</v>
      </c>
      <c r="CR4" s="319" t="str" cm="1">
        <f t="array" ref="CR4">IFERROR(INDEX(Equipo_visitante,MATCH($BH4&amp;CR$1,Jornada&amp;Equipo_local,0)),INDEX(Equipo_local,MATCH($BH4&amp;CR$1,Jornada&amp;Equipo_visitante,0)))</f>
        <v>Liverpool</v>
      </c>
      <c r="CS4" s="204"/>
      <c r="CT4" s="204"/>
      <c r="CU4" s="204"/>
      <c r="CV4" s="204"/>
    </row>
    <row r="5" spans="1:100" ht="17" customHeight="1">
      <c r="A5" s="206">
        <v>1</v>
      </c>
      <c r="B5" s="110">
        <f>Horarios!C5</f>
        <v>46273.875</v>
      </c>
      <c r="C5" s="111">
        <f>Horarios!C5</f>
        <v>46273.875</v>
      </c>
      <c r="D5" s="112" t="s">
        <v>1005</v>
      </c>
      <c r="E5" s="207" t="e" cm="1" vm="8">
        <f t="array" ref="E5">badge_home</f>
        <v>#VALUE!</v>
      </c>
      <c r="F5" s="208"/>
      <c r="G5" s="84"/>
      <c r="H5" s="85"/>
      <c r="I5" s="209"/>
      <c r="J5" s="210" t="e" cm="1" vm="9">
        <f t="array" ref="J5">badge_away</f>
        <v>#VALUE!</v>
      </c>
      <c r="K5" s="132" t="s">
        <v>740</v>
      </c>
      <c r="L5" s="129"/>
      <c r="M5" s="188"/>
      <c r="N5" s="51">
        <v>4</v>
      </c>
      <c r="O5" s="14" t="e" cm="1" vm="10">
        <f t="array" ref="O5">badge_away</f>
        <v>#VALUE!</v>
      </c>
      <c r="P5" s="15" t="str">
        <f>IFERROR(INDEX(Calcs!A$2:A$37,MATCH($N5,Calcs!$CJ$2:$CJ$37,0)),"")</f>
        <v>Atlético Madrid</v>
      </c>
      <c r="Q5" s="20">
        <f>IFERROR(INDEX(Calcs!$B$2:$AB$37,MATCH($N5,Calcs!$CJ$2:$CJ$37,0),MATCH(Q$1,Calcs!$B$1:$AB$1,0)),"")</f>
        <v>0</v>
      </c>
      <c r="R5" s="21">
        <f>IFERROR(INDEX(Calcs!$B$2:$AB$37,MATCH($N5,Calcs!$CJ$2:$CJ$37,0),MATCH(R$1,Calcs!$B$1:$AB$1,0)),"")</f>
        <v>0</v>
      </c>
      <c r="S5" s="21">
        <f>IFERROR(INDEX(Calcs!$B$2:$AB$37,MATCH($N5,Calcs!$CJ$2:$CJ$37,0),MATCH(S$1,Calcs!$B$1:$AB$1,0)),"")</f>
        <v>0</v>
      </c>
      <c r="T5" s="21">
        <f>IFERROR(INDEX(Calcs!$B$2:$AB$37,MATCH($N5,Calcs!$CJ$2:$CJ$37,0),MATCH(T$1,Calcs!$B$1:$AB$1,0)),"")</f>
        <v>0</v>
      </c>
      <c r="U5" s="21">
        <f>IFERROR(INDEX(Calcs!$B$2:$AB$37,MATCH($N5,Calcs!$CJ$2:$CJ$37,0),MATCH(U$1,Calcs!$B$1:$AB$1,0)),"")</f>
        <v>0</v>
      </c>
      <c r="V5" s="21">
        <f>IFERROR(INDEX(Calcs!$B$2:$AB$37,MATCH($N5,Calcs!$CJ$2:$CJ$37,0),MATCH(V$1,Calcs!$B$1:$AB$1,0)),"")</f>
        <v>0</v>
      </c>
      <c r="W5" s="21">
        <f>IFERROR(INDEX(Calcs!$B$2:$AB$37,MATCH($N5,Calcs!$CJ$2:$CJ$37,0),MATCH(W$1,Calcs!$B$1:$AB$1,0)),"")</f>
        <v>0</v>
      </c>
      <c r="X5" s="18">
        <f>IFERROR(INDEX(Calcs!$B$2:$AB$37,MATCH($N5,Calcs!$CJ$2:$CJ$37,0),MATCH(X$1,Calcs!$B$1:$AB$1,0)),"")</f>
        <v>0</v>
      </c>
      <c r="Y5" s="20">
        <f>IFERROR(INDEX(Calcs!$B$2:$AB$37,MATCH($N5,Calcs!$CJ$2:$CJ$37,0),MATCH(Y$1,Calcs!$B$1:$AB$1,0)),"")</f>
        <v>0</v>
      </c>
      <c r="Z5" s="21">
        <f>IFERROR(INDEX(Calcs!$B$2:$AB$37,MATCH($N5,Calcs!$CJ$2:$CJ$37,0),MATCH(Z$1,Calcs!$B$1:$AB$1,0)),"")</f>
        <v>0</v>
      </c>
      <c r="AA5" s="21">
        <f>IFERROR(INDEX(Calcs!$B$2:$AB$37,MATCH($N5,Calcs!$CJ$2:$CJ$37,0),MATCH(AA$1,Calcs!$B$1:$AB$1,0)),"")</f>
        <v>0</v>
      </c>
      <c r="AB5" s="21">
        <f>IFERROR(INDEX(Calcs!$B$2:$AB$37,MATCH($N5,Calcs!$CJ$2:$CJ$37,0),MATCH(AB$1,Calcs!$B$1:$AB$1,0)),"")</f>
        <v>0</v>
      </c>
      <c r="AC5" s="21">
        <f>IFERROR(INDEX(Calcs!$B$2:$AB$37,MATCH($N5,Calcs!$CJ$2:$CJ$37,0),MATCH(AC$1,Calcs!$B$1:$AB$1,0)),"")</f>
        <v>0</v>
      </c>
      <c r="AD5" s="21">
        <f>IFERROR(INDEX(Calcs!$B$2:$AB$37,MATCH($N5,Calcs!$CJ$2:$CJ$37,0),MATCH(AD$1,Calcs!$B$1:$AB$1,0)),"")</f>
        <v>0</v>
      </c>
      <c r="AE5" s="21">
        <f>IFERROR(INDEX(Calcs!$B$2:$AB$37,MATCH($N5,Calcs!$CJ$2:$CJ$37,0),MATCH(AE$1,Calcs!$B$1:$AB$1,0)),"")</f>
        <v>0</v>
      </c>
      <c r="AF5" s="18">
        <f>IFERROR(INDEX(Calcs!$B$2:$AB$37,MATCH($N5,Calcs!$CJ$2:$CJ$37,0),MATCH(AF$1,Calcs!$B$1:$AB$1,0)),"")</f>
        <v>0</v>
      </c>
      <c r="AG5" s="20">
        <f>IFERROR(INDEX(Calcs!$B$2:$AB$37,MATCH($N5,Calcs!$CJ$2:$CJ$37,0),MATCH(AG$1,Calcs!$B$1:$AB$1,0)),"")</f>
        <v>0</v>
      </c>
      <c r="AH5" s="21">
        <f>IFERROR(INDEX(Calcs!$B$2:$AB$37,MATCH($N5,Calcs!$CJ$2:$CJ$37,0),MATCH(AH$1,Calcs!$B$1:$AB$1,0)),"")</f>
        <v>0</v>
      </c>
      <c r="AI5" s="21">
        <f>IFERROR(INDEX(Calcs!$B$2:$AB$37,MATCH($N5,Calcs!$CJ$2:$CJ$37,0),MATCH(AI$1,Calcs!$B$1:$AB$1,0)),"")</f>
        <v>0</v>
      </c>
      <c r="AJ5" s="21">
        <f>IFERROR(INDEX(Calcs!$B$2:$AB$37,MATCH($N5,Calcs!$CJ$2:$CJ$37,0),MATCH(AJ$1,Calcs!$B$1:$AB$1,0)),"")</f>
        <v>0</v>
      </c>
      <c r="AK5" s="21">
        <f>IFERROR(INDEX(Calcs!$B$2:$AB$37,MATCH($N5,Calcs!$CJ$2:$CJ$37,0),MATCH(AK$1,Calcs!$B$1:$AB$1,0)),"")</f>
        <v>0</v>
      </c>
      <c r="AL5" s="21">
        <f>IFERROR(INDEX(Calcs!$B$2:$AB$37,MATCH($N5,Calcs!$CJ$2:$CJ$37,0),MATCH(AL$1,Calcs!$B$1:$AB$1,0)),"")</f>
        <v>0</v>
      </c>
      <c r="AM5" s="21">
        <f>IFERROR(INDEX(Calcs!$B$2:$AB$37,MATCH($N5,Calcs!$CJ$2:$CJ$37,0),MATCH(AM$1,Calcs!$B$1:$AB$1,0)),"")</f>
        <v>0</v>
      </c>
      <c r="AN5" s="22">
        <f>IFERROR(INDEX(Calcs!$B$2:$AB$37,MATCH($N5,Calcs!$CJ$2:$CJ$37,0),MATCH(AN$1,Calcs!$B$1:$AB$1,0)),"")</f>
        <v>0</v>
      </c>
      <c r="AO5" s="21">
        <f>IFERROR(INDEX(Calcs!$B$2:$AB$37,MATCH($N5,Calcs!$CJ$2:$CJ$37,0),MATCH(AO$1,Calcs!$B$1:$AB$1,0)),"")</f>
        <v>0</v>
      </c>
      <c r="AP5" s="21">
        <f>IFERROR(INDEX(Calcs!$B$2:$AB$37,MATCH($N5,Calcs!$CJ$2:$CJ$37,0),MATCH(AP$1,Calcs!$B$1:$AB$1,0)),"")</f>
        <v>0</v>
      </c>
      <c r="AQ5" s="22">
        <f>IFERROR(INDEX(Calcs!$B$2:$AB$37,MATCH($N5,Calcs!$CJ$2:$CJ$37,0),MATCH(AQ$1,Calcs!$B$1:$AB$1,0)),"")</f>
        <v>0</v>
      </c>
      <c r="AR5" s="188"/>
      <c r="AS5" s="202" t="str">
        <f>INDEX(Calcs!A$2:A$37,MATCH($N5,Calcs!$CF$2:$CF$37,0))</f>
        <v>Atlético Madrid</v>
      </c>
      <c r="AT5" s="98"/>
      <c r="AU5" s="191">
        <f>INDEX(Calcs!$BZ$2:$BZ$37,MATCH($AS5,Calcs!$A$2:$A$37,0))</f>
        <v>1</v>
      </c>
      <c r="AV5" s="191">
        <f t="shared" si="1"/>
        <v>36</v>
      </c>
      <c r="AW5" s="191" t="str">
        <f t="shared" si="2"/>
        <v>1.36</v>
      </c>
      <c r="AX5" s="191">
        <f ca="1"/>
        <v>4</v>
      </c>
      <c r="AY5" s="188"/>
      <c r="AZ5" s="212" t="str">
        <f>TablaEquipos[[#This Row],[Team]]</f>
        <v>Atlético Madrid</v>
      </c>
      <c r="BA5" s="100"/>
      <c r="BB5" s="188"/>
      <c r="BC5" s="188"/>
      <c r="BD5" s="188"/>
      <c r="BE5" s="188"/>
      <c r="BF5" s="319" t="str">
        <f t="shared" si="0"/>
        <v>Pendiente</v>
      </c>
      <c r="BH5" s="321">
        <v>4</v>
      </c>
      <c r="BI5" s="319" t="str" cm="1">
        <f t="array" ref="BI5">IFERROR(INDEX(Equipo_visitante,MATCH($BH5&amp;BI$1,Jornada&amp;Equipo_local,0)),INDEX(Equipo_local,MATCH($BH5&amp;BI$1,Jornada&amp;Equipo_visitante,0)))</f>
        <v>Real Madrid</v>
      </c>
      <c r="BJ5" s="319" t="str" cm="1">
        <f t="array" ref="BJ5">IFERROR(INDEX(Equipo_visitante,MATCH($BH5&amp;BJ$1,Jornada&amp;Equipo_local,0)),INDEX(Equipo_local,MATCH($BH5&amp;BJ$1,Jornada&amp;Equipo_visitante,0)))</f>
        <v>Slavia Praha</v>
      </c>
      <c r="BK5" s="319" t="str" cm="1">
        <f t="array" ref="BK5">IFERROR(INDEX(Equipo_visitante,MATCH($BH5&amp;BK$1,Jornada&amp;Equipo_local,0)),INDEX(Equipo_local,MATCH($BH5&amp;BK$1,Jornada&amp;Equipo_visitante,0)))</f>
        <v>Barcelona</v>
      </c>
      <c r="BL5" s="319" t="str" cm="1">
        <f t="array" ref="BL5">IFERROR(INDEX(Equipo_visitante,MATCH($BH5&amp;BL$1,Jornada&amp;Equipo_local,0)),INDEX(Equipo_local,MATCH($BH5&amp;BL$1,Jornada&amp;Equipo_visitante,0)))</f>
        <v>Bayern München</v>
      </c>
      <c r="BM5" s="319" t="str" cm="1">
        <f t="array" ref="BM5">IFERROR(INDEX(Equipo_visitante,MATCH($BH5&amp;BM$1,Jornada&amp;Equipo_local,0)),INDEX(Equipo_local,MATCH($BH5&amp;BM$1,Jornada&amp;Equipo_visitante,0)))</f>
        <v>Aston Villa</v>
      </c>
      <c r="BN5" s="319" t="str" cm="1">
        <f t="array" ref="BN5">IFERROR(INDEX(Equipo_visitante,MATCH($BH5&amp;BN$1,Jornada&amp;Equipo_local,0)),INDEX(Equipo_local,MATCH($BH5&amp;BN$1,Jornada&amp;Equipo_visitante,0)))</f>
        <v>Atlético Madrid</v>
      </c>
      <c r="BO5" s="319" t="str" cm="1">
        <f t="array" ref="BO5">IFERROR(INDEX(Equipo_visitante,MATCH($BH5&amp;BO$1,Jornada&amp;Equipo_local,0)),INDEX(Equipo_local,MATCH($BH5&amp;BO$1,Jornada&amp;Equipo_visitante,0)))</f>
        <v>Borussia Dortmund</v>
      </c>
      <c r="BP5" s="319" t="str" cm="1">
        <f t="array" ref="BP5">IFERROR(INDEX(Equipo_visitante,MATCH($BH5&amp;BP$1,Jornada&amp;Equipo_local,0)),INDEX(Equipo_local,MATCH($BH5&amp;BP$1,Jornada&amp;Equipo_visitante,0)))</f>
        <v>Lille</v>
      </c>
      <c r="BQ5" s="319" t="str" cm="1">
        <f t="array" ref="BQ5">IFERROR(INDEX(Equipo_visitante,MATCH($BH5&amp;BQ$1,Jornada&amp;Equipo_local,0)),INDEX(Equipo_local,MATCH($BH5&amp;BQ$1,Jornada&amp;Equipo_visitante,0)))</f>
        <v>Betis</v>
      </c>
      <c r="BR5" s="319" t="str" cm="1">
        <f t="array" ref="BR5">IFERROR(INDEX(Equipo_visitante,MATCH($BH5&amp;BR$1,Jornada&amp;Equipo_local,0)),INDEX(Equipo_local,MATCH($BH5&amp;BR$1,Jornada&amp;Equipo_visitante,0)))</f>
        <v>PSV Eindhoven</v>
      </c>
      <c r="BS5" s="319" t="str" cm="1">
        <f t="array" ref="BS5">IFERROR(INDEX(Equipo_visitante,MATCH($BH5&amp;BS$1,Jornada&amp;Equipo_local,0)),INDEX(Equipo_local,MATCH($BH5&amp;BS$1,Jornada&amp;Equipo_visitante,0)))</f>
        <v>Lens</v>
      </c>
      <c r="BT5" s="319" t="str" cm="1">
        <f t="array" ref="BT5">IFERROR(INDEX(Equipo_visitante,MATCH($BH5&amp;BT$1,Jornada&amp;Equipo_local,0)),INDEX(Equipo_local,MATCH($BH5&amp;BT$1,Jornada&amp;Equipo_visitante,0)))</f>
        <v>Liverpool</v>
      </c>
      <c r="BU5" s="319" t="str" cm="1">
        <f t="array" ref="BU5">IFERROR(INDEX(Equipo_visitante,MATCH($BH5&amp;BU$1,Jornada&amp;Equipo_local,0)),INDEX(Equipo_local,MATCH($BH5&amp;BU$1,Jornada&amp;Equipo_visitante,0)))</f>
        <v>Inter Milan</v>
      </c>
      <c r="BV5" s="319" t="str" cm="1">
        <f t="array" ref="BV5">IFERROR(INDEX(Equipo_visitante,MATCH($BH5&amp;BV$1,Jornada&amp;Equipo_local,0)),INDEX(Equipo_local,MATCH($BH5&amp;BV$1,Jornada&amp;Equipo_visitante,0)))</f>
        <v>Stuttgart</v>
      </c>
      <c r="BW5" s="319" t="str" cm="1">
        <f t="array" ref="BW5">IFERROR(INDEX(Equipo_visitante,MATCH($BH5&amp;BW$1,Jornada&amp;Equipo_local,0)),INDEX(Equipo_local,MATCH($BH5&amp;BW$1,Jornada&amp;Equipo_visitante,0)))</f>
        <v>Feyenoord</v>
      </c>
      <c r="BX5" s="319" t="str" cm="1">
        <f t="array" ref="BX5">IFERROR(INDEX(Equipo_visitante,MATCH($BH5&amp;BX$1,Jornada&amp;Equipo_local,0)),INDEX(Equipo_local,MATCH($BH5&amp;BX$1,Jornada&amp;Equipo_visitante,0)))</f>
        <v>Slovan Bratislava </v>
      </c>
      <c r="BY5" s="319" t="str" cm="1">
        <f t="array" ref="BY5">IFERROR(INDEX(Equipo_visitante,MATCH($BH5&amp;BY$1,Jornada&amp;Equipo_local,0)),INDEX(Equipo_local,MATCH($BH5&amp;BY$1,Jornada&amp;Equipo_visitante,0)))</f>
        <v>Manchester City</v>
      </c>
      <c r="BZ5" s="319" t="str" cm="1">
        <f t="array" ref="BZ5">IFERROR(INDEX(Equipo_visitante,MATCH($BH5&amp;BZ$1,Jornada&amp;Equipo_local,0)),INDEX(Equipo_local,MATCH($BH5&amp;BZ$1,Jornada&amp;Equipo_visitante,0)))</f>
        <v>Como</v>
      </c>
      <c r="CA5" s="319" t="str" cm="1">
        <f t="array" ref="CA5">IFERROR(INDEX(Equipo_visitante,MATCH($BH5&amp;CA$1,Jornada&amp;Equipo_local,0)),INDEX(Equipo_local,MATCH($BH5&amp;CA$1,Jornada&amp;Equipo_visitante,0)))</f>
        <v>Bodø/Glimt</v>
      </c>
      <c r="CB5" s="319" t="str" cm="1">
        <f t="array" ref="CB5">IFERROR(INDEX(Equipo_visitante,MATCH($BH5&amp;CB$1,Jornada&amp;Equipo_local,0)),INDEX(Equipo_local,MATCH($BH5&amp;CB$1,Jornada&amp;Equipo_visitante,0)))</f>
        <v>Fenerbahçe </v>
      </c>
      <c r="CC5" s="319" t="str" cm="1">
        <f t="array" ref="CC5">IFERROR(INDEX(Equipo_visitante,MATCH($BH5&amp;CC$1,Jornada&amp;Equipo_local,0)),INDEX(Equipo_local,MATCH($BH5&amp;CC$1,Jornada&amp;Equipo_visitante,0)))</f>
        <v>Leipzig</v>
      </c>
      <c r="CD5" s="319" t="str" cm="1">
        <f t="array" ref="CD5">IFERROR(INDEX(Equipo_visitante,MATCH($BH5&amp;CD$1,Jornada&amp;Equipo_local,0)),INDEX(Equipo_local,MATCH($BH5&amp;CD$1,Jornada&amp;Equipo_visitante,0)))</f>
        <v>Roma</v>
      </c>
      <c r="CE5" s="319" t="str" cm="1">
        <f t="array" ref="CE5">IFERROR(INDEX(Equipo_visitante,MATCH($BH5&amp;CE$1,Jornada&amp;Equipo_local,0)),INDEX(Equipo_local,MATCH($BH5&amp;CE$1,Jornada&amp;Equipo_visitante,0)))</f>
        <v>Porto</v>
      </c>
      <c r="CF5" s="319" t="str" cm="1">
        <f t="array" ref="CF5">IFERROR(INDEX(Equipo_visitante,MATCH($BH5&amp;CF$1,Jornada&amp;Equipo_local,0)),INDEX(Equipo_local,MATCH($BH5&amp;CF$1,Jornada&amp;Equipo_visitante,0)))</f>
        <v>Napoli</v>
      </c>
      <c r="CG5" s="319" t="str" cm="1">
        <f t="array" ref="CG5">IFERROR(INDEX(Equipo_visitante,MATCH($BH5&amp;CG$1,Jornada&amp;Equipo_local,0)),INDEX(Equipo_local,MATCH($BH5&amp;CG$1,Jornada&amp;Equipo_visitante,0)))</f>
        <v>Villarreal</v>
      </c>
      <c r="CH5" s="319" t="str" cm="1">
        <f t="array" ref="CH5">IFERROR(INDEX(Equipo_visitante,MATCH($BH5&amp;CH$1,Jornada&amp;Equipo_local,0)),INDEX(Equipo_local,MATCH($BH5&amp;CH$1,Jornada&amp;Equipo_visitante,0)))</f>
        <v>Brugge</v>
      </c>
      <c r="CI5" s="319" t="str" cm="1">
        <f t="array" ref="CI5">IFERROR(INDEX(Equipo_visitante,MATCH($BH5&amp;CI$1,Jornada&amp;Equipo_local,0)),INDEX(Equipo_local,MATCH($BH5&amp;CI$1,Jornada&amp;Equipo_visitante,0)))</f>
        <v>AEK</v>
      </c>
      <c r="CJ5" s="319" t="str" cm="1">
        <f t="array" ref="CJ5">IFERROR(INDEX(Equipo_visitante,MATCH($BH5&amp;CJ$1,Jornada&amp;Equipo_local,0)),INDEX(Equipo_local,MATCH($BH5&amp;CJ$1,Jornada&amp;Equipo_visitante,0)))</f>
        <v>Manchester United</v>
      </c>
      <c r="CK5" s="319" t="str" cm="1">
        <f t="array" ref="CK5">IFERROR(INDEX(Equipo_visitante,MATCH($BH5&amp;CK$1,Jornada&amp;Equipo_local,0)),INDEX(Equipo_local,MATCH($BH5&amp;CK$1,Jornada&amp;Equipo_visitante,0)))</f>
        <v>Viking</v>
      </c>
      <c r="CL5" s="319" t="str" cm="1">
        <f t="array" ref="CL5">IFERROR(INDEX(Equipo_visitante,MATCH($BH5&amp;CL$1,Jornada&amp;Equipo_local,0)),INDEX(Equipo_local,MATCH($BH5&amp;CL$1,Jornada&amp;Equipo_visitante,0)))</f>
        <v>Sporting Portugal</v>
      </c>
      <c r="CM5" s="319" t="str" cm="1">
        <f t="array" ref="CM5">IFERROR(INDEX(Equipo_visitante,MATCH($BH5&amp;CM$1,Jornada&amp;Equipo_local,0)),INDEX(Equipo_local,MATCH($BH5&amp;CM$1,Jornada&amp;Equipo_visitante,0)))</f>
        <v>Arsenal</v>
      </c>
      <c r="CN5" s="319" t="str" cm="1">
        <f t="array" ref="CN5">IFERROR(INDEX(Equipo_visitante,MATCH($BH5&amp;CN$1,Jornada&amp;Equipo_local,0)),INDEX(Equipo_local,MATCH($BH5&amp;CN$1,Jornada&amp;Equipo_visitante,0)))</f>
        <v>LASK</v>
      </c>
      <c r="CO5" s="319" t="str" cm="1">
        <f t="array" ref="CO5">IFERROR(INDEX(Equipo_visitante,MATCH($BH5&amp;CO$1,Jornada&amp;Equipo_local,0)),INDEX(Equipo_local,MATCH($BH5&amp;CO$1,Jornada&amp;Equipo_visitante,0)))</f>
        <v>Shakhtar Donetsk</v>
      </c>
      <c r="CP5" s="319" t="str" cm="1">
        <f t="array" ref="CP5">IFERROR(INDEX(Equipo_visitante,MATCH($BH5&amp;CP$1,Jornada&amp;Equipo_local,0)),INDEX(Equipo_local,MATCH($BH5&amp;CP$1,Jornada&amp;Equipo_visitante,0)))</f>
        <v>Galatasaray</v>
      </c>
      <c r="CQ5" s="319" t="str" cm="1">
        <f t="array" ref="CQ5">IFERROR(INDEX(Equipo_visitante,MATCH($BH5&amp;CQ$1,Jornada&amp;Equipo_local,0)),INDEX(Equipo_local,MATCH($BH5&amp;CQ$1,Jornada&amp;Equipo_visitante,0)))</f>
        <v>Sabah</v>
      </c>
      <c r="CR5" s="319" t="str" cm="1">
        <f t="array" ref="CR5">IFERROR(INDEX(Equipo_visitante,MATCH($BH5&amp;CR$1,Jornada&amp;Equipo_local,0)),INDEX(Equipo_local,MATCH($BH5&amp;CR$1,Jornada&amp;Equipo_visitante,0)))</f>
        <v>PSG</v>
      </c>
      <c r="CS5" s="204"/>
      <c r="CT5" s="204"/>
      <c r="CU5" s="204"/>
      <c r="CV5" s="204"/>
    </row>
    <row r="6" spans="1:100" ht="17" customHeight="1">
      <c r="A6" s="213">
        <v>1</v>
      </c>
      <c r="B6" s="113">
        <f>Horarios!C6</f>
        <v>46273.875</v>
      </c>
      <c r="C6" s="114">
        <f>Horarios!C6</f>
        <v>46273.875</v>
      </c>
      <c r="D6" s="115" t="s">
        <v>699</v>
      </c>
      <c r="E6" s="214" t="e" cm="1" vm="11">
        <f t="array" ref="E6">badge_home</f>
        <v>#VALUE!</v>
      </c>
      <c r="F6" s="215"/>
      <c r="G6" s="86"/>
      <c r="H6" s="87"/>
      <c r="I6" s="216"/>
      <c r="J6" s="217" t="e" cm="1" vm="12">
        <f t="array" ref="J6">badge_away</f>
        <v>#VALUE!</v>
      </c>
      <c r="K6" s="211" t="s">
        <v>1009</v>
      </c>
      <c r="L6" s="129"/>
      <c r="M6" s="188"/>
      <c r="N6" s="51">
        <v>5</v>
      </c>
      <c r="O6" s="14" t="e" cm="1" vm="13">
        <f t="array" ref="O6">badge_away</f>
        <v>#VALUE!</v>
      </c>
      <c r="P6" s="23" t="str">
        <f>IFERROR(INDEX(Calcs!A$2:A$37,MATCH($N6,Calcs!$CJ$2:$CJ$37,0)),"")</f>
        <v>Barcelona</v>
      </c>
      <c r="Q6" s="16">
        <f>IFERROR(INDEX(Calcs!$B$2:$AB$37,MATCH($N6,Calcs!$CJ$2:$CJ$37,0),MATCH(Q$1,Calcs!$B$1:$AB$1,0)),"")</f>
        <v>0</v>
      </c>
      <c r="R6" s="17">
        <f>IFERROR(INDEX(Calcs!$B$2:$AB$37,MATCH($N6,Calcs!$CJ$2:$CJ$37,0),MATCH(R$1,Calcs!$B$1:$AB$1,0)),"")</f>
        <v>0</v>
      </c>
      <c r="S6" s="17">
        <f>IFERROR(INDEX(Calcs!$B$2:$AB$37,MATCH($N6,Calcs!$CJ$2:$CJ$37,0),MATCH(S$1,Calcs!$B$1:$AB$1,0)),"")</f>
        <v>0</v>
      </c>
      <c r="T6" s="17">
        <f>IFERROR(INDEX(Calcs!$B$2:$AB$37,MATCH($N6,Calcs!$CJ$2:$CJ$37,0),MATCH(T$1,Calcs!$B$1:$AB$1,0)),"")</f>
        <v>0</v>
      </c>
      <c r="U6" s="17">
        <f>IFERROR(INDEX(Calcs!$B$2:$AB$37,MATCH($N6,Calcs!$CJ$2:$CJ$37,0),MATCH(U$1,Calcs!$B$1:$AB$1,0)),"")</f>
        <v>0</v>
      </c>
      <c r="V6" s="17">
        <f>IFERROR(INDEX(Calcs!$B$2:$AB$37,MATCH($N6,Calcs!$CJ$2:$CJ$37,0),MATCH(V$1,Calcs!$B$1:$AB$1,0)),"")</f>
        <v>0</v>
      </c>
      <c r="W6" s="17">
        <f>IFERROR(INDEX(Calcs!$B$2:$AB$37,MATCH($N6,Calcs!$CJ$2:$CJ$37,0),MATCH(W$1,Calcs!$B$1:$AB$1,0)),"")</f>
        <v>0</v>
      </c>
      <c r="X6" s="24">
        <f>IFERROR(INDEX(Calcs!$B$2:$AB$37,MATCH($N6,Calcs!$CJ$2:$CJ$37,0),MATCH(X$1,Calcs!$B$1:$AB$1,0)),"")</f>
        <v>0</v>
      </c>
      <c r="Y6" s="16">
        <f>IFERROR(INDEX(Calcs!$B$2:$AB$37,MATCH($N6,Calcs!$CJ$2:$CJ$37,0),MATCH(Y$1,Calcs!$B$1:$AB$1,0)),"")</f>
        <v>0</v>
      </c>
      <c r="Z6" s="17">
        <f>IFERROR(INDEX(Calcs!$B$2:$AB$37,MATCH($N6,Calcs!$CJ$2:$CJ$37,0),MATCH(Z$1,Calcs!$B$1:$AB$1,0)),"")</f>
        <v>0</v>
      </c>
      <c r="AA6" s="17">
        <f>IFERROR(INDEX(Calcs!$B$2:$AB$37,MATCH($N6,Calcs!$CJ$2:$CJ$37,0),MATCH(AA$1,Calcs!$B$1:$AB$1,0)),"")</f>
        <v>0</v>
      </c>
      <c r="AB6" s="17">
        <f>IFERROR(INDEX(Calcs!$B$2:$AB$37,MATCH($N6,Calcs!$CJ$2:$CJ$37,0),MATCH(AB$1,Calcs!$B$1:$AB$1,0)),"")</f>
        <v>0</v>
      </c>
      <c r="AC6" s="17">
        <f>IFERROR(INDEX(Calcs!$B$2:$AB$37,MATCH($N6,Calcs!$CJ$2:$CJ$37,0),MATCH(AC$1,Calcs!$B$1:$AB$1,0)),"")</f>
        <v>0</v>
      </c>
      <c r="AD6" s="17">
        <f>IFERROR(INDEX(Calcs!$B$2:$AB$37,MATCH($N6,Calcs!$CJ$2:$CJ$37,0),MATCH(AD$1,Calcs!$B$1:$AB$1,0)),"")</f>
        <v>0</v>
      </c>
      <c r="AE6" s="17">
        <f>IFERROR(INDEX(Calcs!$B$2:$AB$37,MATCH($N6,Calcs!$CJ$2:$CJ$37,0),MATCH(AE$1,Calcs!$B$1:$AB$1,0)),"")</f>
        <v>0</v>
      </c>
      <c r="AF6" s="24">
        <f>IFERROR(INDEX(Calcs!$B$2:$AB$37,MATCH($N6,Calcs!$CJ$2:$CJ$37,0),MATCH(AF$1,Calcs!$B$1:$AB$1,0)),"")</f>
        <v>0</v>
      </c>
      <c r="AG6" s="16">
        <f>IFERROR(INDEX(Calcs!$B$2:$AB$37,MATCH($N6,Calcs!$CJ$2:$CJ$37,0),MATCH(AG$1,Calcs!$B$1:$AB$1,0)),"")</f>
        <v>0</v>
      </c>
      <c r="AH6" s="17">
        <f>IFERROR(INDEX(Calcs!$B$2:$AB$37,MATCH($N6,Calcs!$CJ$2:$CJ$37,0),MATCH(AH$1,Calcs!$B$1:$AB$1,0)),"")</f>
        <v>0</v>
      </c>
      <c r="AI6" s="17">
        <f>IFERROR(INDEX(Calcs!$B$2:$AB$37,MATCH($N6,Calcs!$CJ$2:$CJ$37,0),MATCH(AI$1,Calcs!$B$1:$AB$1,0)),"")</f>
        <v>0</v>
      </c>
      <c r="AJ6" s="17">
        <f>IFERROR(INDEX(Calcs!$B$2:$AB$37,MATCH($N6,Calcs!$CJ$2:$CJ$37,0),MATCH(AJ$1,Calcs!$B$1:$AB$1,0)),"")</f>
        <v>0</v>
      </c>
      <c r="AK6" s="17">
        <f>IFERROR(INDEX(Calcs!$B$2:$AB$37,MATCH($N6,Calcs!$CJ$2:$CJ$37,0),MATCH(AK$1,Calcs!$B$1:$AB$1,0)),"")</f>
        <v>0</v>
      </c>
      <c r="AL6" s="17">
        <f>IFERROR(INDEX(Calcs!$B$2:$AB$37,MATCH($N6,Calcs!$CJ$2:$CJ$37,0),MATCH(AL$1,Calcs!$B$1:$AB$1,0)),"")</f>
        <v>0</v>
      </c>
      <c r="AM6" s="17">
        <f>IFERROR(INDEX(Calcs!$B$2:$AB$37,MATCH($N6,Calcs!$CJ$2:$CJ$37,0),MATCH(AM$1,Calcs!$B$1:$AB$1,0)),"")</f>
        <v>0</v>
      </c>
      <c r="AN6" s="19">
        <f>IFERROR(INDEX(Calcs!$B$2:$AB$37,MATCH($N6,Calcs!$CJ$2:$CJ$37,0),MATCH(AN$1,Calcs!$B$1:$AB$1,0)),"")</f>
        <v>0</v>
      </c>
      <c r="AO6" s="17">
        <f>IFERROR(INDEX(Calcs!$B$2:$AB$37,MATCH($N6,Calcs!$CJ$2:$CJ$37,0),MATCH(AO$1,Calcs!$B$1:$AB$1,0)),"")</f>
        <v>0</v>
      </c>
      <c r="AP6" s="17">
        <f>IFERROR(INDEX(Calcs!$B$2:$AB$37,MATCH($N6,Calcs!$CJ$2:$CJ$37,0),MATCH(AP$1,Calcs!$B$1:$AB$1,0)),"")</f>
        <v>0</v>
      </c>
      <c r="AQ6" s="19">
        <f>IFERROR(INDEX(Calcs!$B$2:$AB$37,MATCH($N6,Calcs!$CJ$2:$CJ$37,0),MATCH(AQ$1,Calcs!$B$1:$AB$1,0)),"")</f>
        <v>0</v>
      </c>
      <c r="AR6" s="188"/>
      <c r="AS6" s="202" t="str">
        <f>INDEX(Calcs!A$2:A$37,MATCH($N6,Calcs!$CF$2:$CF$37,0))</f>
        <v>Barcelona</v>
      </c>
      <c r="AT6" s="98"/>
      <c r="AU6" s="191">
        <f>INDEX(Calcs!$BZ$2:$BZ$37,MATCH($AS6,Calcs!$A$2:$A$37,0))</f>
        <v>1</v>
      </c>
      <c r="AV6" s="191">
        <f t="shared" si="1"/>
        <v>36</v>
      </c>
      <c r="AW6" s="191" t="str">
        <f t="shared" si="2"/>
        <v>1.36</v>
      </c>
      <c r="AX6" s="191">
        <f ca="1"/>
        <v>5</v>
      </c>
      <c r="AY6" s="188"/>
      <c r="AZ6" s="203" t="str">
        <f>TablaEquipos[[#This Row],[Team]]</f>
        <v>Barcelona</v>
      </c>
      <c r="BA6" s="99"/>
      <c r="BB6" s="188"/>
      <c r="BC6" s="188"/>
      <c r="BD6" s="188"/>
      <c r="BE6" s="188"/>
      <c r="BF6" s="319" t="str">
        <f t="shared" si="0"/>
        <v>Pendiente</v>
      </c>
      <c r="BG6" s="320" t="str" cm="1">
        <f t="array" ref="BG6">IFERROR(INDEX(Equipo_visitante,SMALL(IF(BI$1=Equipo_local,ROW(Equipo_visitante)-MIN(ROW(Equipo_local))+1,""),ROW()-5)),"")</f>
        <v>LASK</v>
      </c>
      <c r="BH6" s="321">
        <v>5</v>
      </c>
      <c r="BI6" s="319" t="str" cm="1">
        <f t="array" ref="BI6">IFERROR(INDEX(Equipo_visitante,MATCH($BH6&amp;BI$1,Jornada&amp;Equipo_local,0)),INDEX(Equipo_local,MATCH($BH6&amp;BI$1,Jornada&amp;Equipo_visitante,0)))</f>
        <v>Como</v>
      </c>
      <c r="BJ6" s="319" t="str" cm="1">
        <f t="array" ref="BJ6">IFERROR(INDEX(Equipo_visitante,MATCH($BH6&amp;BJ$1,Jornada&amp;Equipo_local,0)),INDEX(Equipo_local,MATCH($BH6&amp;BJ$1,Jornada&amp;Equipo_visitante,0)))</f>
        <v>Borussia Dortmund</v>
      </c>
      <c r="BK6" s="319" t="str" cm="1">
        <f t="array" ref="BK6">IFERROR(INDEX(Equipo_visitante,MATCH($BH6&amp;BK$1,Jornada&amp;Equipo_local,0)),INDEX(Equipo_local,MATCH($BH6&amp;BK$1,Jornada&amp;Equipo_visitante,0)))</f>
        <v>Galatasaray</v>
      </c>
      <c r="BL6" s="319" t="str" cm="1">
        <f t="array" ref="BL6">IFERROR(INDEX(Equipo_visitante,MATCH($BH6&amp;BL$1,Jornada&amp;Equipo_local,0)),INDEX(Equipo_local,MATCH($BH6&amp;BL$1,Jornada&amp;Equipo_visitante,0)))</f>
        <v>Viking</v>
      </c>
      <c r="BM6" s="319" t="str" cm="1">
        <f t="array" ref="BM6">IFERROR(INDEX(Equipo_visitante,MATCH($BH6&amp;BM$1,Jornada&amp;Equipo_local,0)),INDEX(Equipo_local,MATCH($BH6&amp;BM$1,Jornada&amp;Equipo_visitante,0)))</f>
        <v>Sabah</v>
      </c>
      <c r="BN6" s="319" t="str" cm="1">
        <f t="array" ref="BN6">IFERROR(INDEX(Equipo_visitante,MATCH($BH6&amp;BN$1,Jornada&amp;Equipo_local,0)),INDEX(Equipo_local,MATCH($BH6&amp;BN$1,Jornada&amp;Equipo_visitante,0)))</f>
        <v>Lille</v>
      </c>
      <c r="BO6" s="319" t="str" cm="1">
        <f t="array" ref="BO6">IFERROR(INDEX(Equipo_visitante,MATCH($BH6&amp;BO$1,Jornada&amp;Equipo_local,0)),INDEX(Equipo_local,MATCH($BH6&amp;BO$1,Jornada&amp;Equipo_visitante,0)))</f>
        <v>Slovan Bratislava </v>
      </c>
      <c r="BP6" s="319" t="str" cm="1">
        <f t="array" ref="BP6">IFERROR(INDEX(Equipo_visitante,MATCH($BH6&amp;BP$1,Jornada&amp;Equipo_local,0)),INDEX(Equipo_local,MATCH($BH6&amp;BP$1,Jornada&amp;Equipo_visitante,0)))</f>
        <v>LASK</v>
      </c>
      <c r="BQ6" s="319" t="str" cm="1">
        <f t="array" ref="BQ6">IFERROR(INDEX(Equipo_visitante,MATCH($BH6&amp;BQ$1,Jornada&amp;Equipo_local,0)),INDEX(Equipo_local,MATCH($BH6&amp;BQ$1,Jornada&amp;Equipo_visitante,0)))</f>
        <v>Arsenal</v>
      </c>
      <c r="BR6" s="319" t="str" cm="1">
        <f t="array" ref="BR6">IFERROR(INDEX(Equipo_visitante,MATCH($BH6&amp;BR$1,Jornada&amp;Equipo_local,0)),INDEX(Equipo_local,MATCH($BH6&amp;BR$1,Jornada&amp;Equipo_visitante,0)))</f>
        <v>Liverpool</v>
      </c>
      <c r="BS6" s="319" t="str" cm="1">
        <f t="array" ref="BS6">IFERROR(INDEX(Equipo_visitante,MATCH($BH6&amp;BS$1,Jornada&amp;Equipo_local,0)),INDEX(Equipo_local,MATCH($BH6&amp;BS$1,Jornada&amp;Equipo_visitante,0)))</f>
        <v>AEK</v>
      </c>
      <c r="BT6" s="319" t="str" cm="1">
        <f t="array" ref="BT6">IFERROR(INDEX(Equipo_visitante,MATCH($BH6&amp;BT$1,Jornada&amp;Equipo_local,0)),INDEX(Equipo_local,MATCH($BH6&amp;BT$1,Jornada&amp;Equipo_visitante,0)))</f>
        <v>Shakhtar Donetsk</v>
      </c>
      <c r="BU6" s="319" t="str" cm="1">
        <f t="array" ref="BU6">IFERROR(INDEX(Equipo_visitante,MATCH($BH6&amp;BU$1,Jornada&amp;Equipo_local,0)),INDEX(Equipo_local,MATCH($BH6&amp;BU$1,Jornada&amp;Equipo_visitante,0)))</f>
        <v>Porto</v>
      </c>
      <c r="BV6" s="319" t="str" cm="1">
        <f t="array" ref="BV6">IFERROR(INDEX(Equipo_visitante,MATCH($BH6&amp;BV$1,Jornada&amp;Equipo_local,0)),INDEX(Equipo_local,MATCH($BH6&amp;BV$1,Jornada&amp;Equipo_visitante,0)))</f>
        <v>Aston Villa</v>
      </c>
      <c r="BW6" s="319" t="str" cm="1">
        <f t="array" ref="BW6">IFERROR(INDEX(Equipo_visitante,MATCH($BH6&amp;BW$1,Jornada&amp;Equipo_local,0)),INDEX(Equipo_local,MATCH($BH6&amp;BW$1,Jornada&amp;Equipo_visitante,0)))</f>
        <v>Stuttgart</v>
      </c>
      <c r="BX6" s="319" t="str" cm="1">
        <f t="array" ref="BX6">IFERROR(INDEX(Equipo_visitante,MATCH($BH6&amp;BX$1,Jornada&amp;Equipo_local,0)),INDEX(Equipo_local,MATCH($BH6&amp;BX$1,Jornada&amp;Equipo_visitante,0)))</f>
        <v>Bodø/Glimt</v>
      </c>
      <c r="BY6" s="319" t="str" cm="1">
        <f t="array" ref="BY6">IFERROR(INDEX(Equipo_visitante,MATCH($BH6&amp;BY$1,Jornada&amp;Equipo_local,0)),INDEX(Equipo_local,MATCH($BH6&amp;BY$1,Jornada&amp;Equipo_visitante,0)))</f>
        <v>Lens</v>
      </c>
      <c r="BZ6" s="319" t="str" cm="1">
        <f t="array" ref="BZ6">IFERROR(INDEX(Equipo_visitante,MATCH($BH6&amp;BZ$1,Jornada&amp;Equipo_local,0)),INDEX(Equipo_local,MATCH($BH6&amp;BZ$1,Jornada&amp;Equipo_visitante,0)))</f>
        <v>Leipzig</v>
      </c>
      <c r="CA6" s="319" t="str" cm="1">
        <f t="array" ref="CA6">IFERROR(INDEX(Equipo_visitante,MATCH($BH6&amp;CA$1,Jornada&amp;Equipo_local,0)),INDEX(Equipo_local,MATCH($BH6&amp;CA$1,Jornada&amp;Equipo_visitante,0)))</f>
        <v>Bayern München</v>
      </c>
      <c r="CB6" s="319" t="str" cm="1">
        <f t="array" ref="CB6">IFERROR(INDEX(Equipo_visitante,MATCH($BH6&amp;CB$1,Jornada&amp;Equipo_local,0)),INDEX(Equipo_local,MATCH($BH6&amp;CB$1,Jornada&amp;Equipo_visitante,0)))</f>
        <v>Brugge</v>
      </c>
      <c r="CC6" s="319" t="str" cm="1">
        <f t="array" ref="CC6">IFERROR(INDEX(Equipo_visitante,MATCH($BH6&amp;CC$1,Jornada&amp;Equipo_local,0)),INDEX(Equipo_local,MATCH($BH6&amp;CC$1,Jornada&amp;Equipo_visitante,0)))</f>
        <v>Napoli</v>
      </c>
      <c r="CD6" s="319" t="str" cm="1">
        <f t="array" ref="CD6">IFERROR(INDEX(Equipo_visitante,MATCH($BH6&amp;CD$1,Jornada&amp;Equipo_local,0)),INDEX(Equipo_local,MATCH($BH6&amp;CD$1,Jornada&amp;Equipo_visitante,0)))</f>
        <v>Sporting Portugal</v>
      </c>
      <c r="CE6" s="319" t="str" cm="1">
        <f t="array" ref="CE6">IFERROR(INDEX(Equipo_visitante,MATCH($BH6&amp;CE$1,Jornada&amp;Equipo_local,0)),INDEX(Equipo_local,MATCH($BH6&amp;CE$1,Jornada&amp;Equipo_visitante,0)))</f>
        <v>Manchester City</v>
      </c>
      <c r="CF6" s="319" t="str" cm="1">
        <f t="array" ref="CF6">IFERROR(INDEX(Equipo_visitante,MATCH($BH6&amp;CF$1,Jornada&amp;Equipo_local,0)),INDEX(Equipo_local,MATCH($BH6&amp;CF$1,Jornada&amp;Equipo_visitante,0)))</f>
        <v>Feyenoord</v>
      </c>
      <c r="CG6" s="319" t="str" cm="1">
        <f t="array" ref="CG6">IFERROR(INDEX(Equipo_visitante,MATCH($BH6&amp;CG$1,Jornada&amp;Equipo_local,0)),INDEX(Equipo_local,MATCH($BH6&amp;CG$1,Jornada&amp;Equipo_visitante,0)))</f>
        <v>Roma</v>
      </c>
      <c r="CH6" s="319" t="str" cm="1">
        <f t="array" ref="CH6">IFERROR(INDEX(Equipo_visitante,MATCH($BH6&amp;CH$1,Jornada&amp;Equipo_local,0)),INDEX(Equipo_local,MATCH($BH6&amp;CH$1,Jornada&amp;Equipo_visitante,0)))</f>
        <v>Real Madrid</v>
      </c>
      <c r="CI6" s="319" t="str" cm="1">
        <f t="array" ref="CI6">IFERROR(INDEX(Equipo_visitante,MATCH($BH6&amp;CI$1,Jornada&amp;Equipo_local,0)),INDEX(Equipo_local,MATCH($BH6&amp;CI$1,Jornada&amp;Equipo_visitante,0)))</f>
        <v>PSV Eindhoven</v>
      </c>
      <c r="CJ6" s="319" t="str" cm="1">
        <f t="array" ref="CJ6">IFERROR(INDEX(Equipo_visitante,MATCH($BH6&amp;CJ$1,Jornada&amp;Equipo_local,0)),INDEX(Equipo_local,MATCH($BH6&amp;CJ$1,Jornada&amp;Equipo_visitante,0)))</f>
        <v>PSG</v>
      </c>
      <c r="CK6" s="319" t="str" cm="1">
        <f t="array" ref="CK6">IFERROR(INDEX(Equipo_visitante,MATCH($BH6&amp;CK$1,Jornada&amp;Equipo_local,0)),INDEX(Equipo_local,MATCH($BH6&amp;CK$1,Jornada&amp;Equipo_visitante,0)))</f>
        <v>Barcelona</v>
      </c>
      <c r="CL6" s="319" t="str" cm="1">
        <f t="array" ref="CL6">IFERROR(INDEX(Equipo_visitante,MATCH($BH6&amp;CL$1,Jornada&amp;Equipo_local,0)),INDEX(Equipo_local,MATCH($BH6&amp;CL$1,Jornada&amp;Equipo_visitante,0)))</f>
        <v>Fenerbahçe </v>
      </c>
      <c r="CM6" s="319" t="str" cm="1">
        <f t="array" ref="CM6">IFERROR(INDEX(Equipo_visitante,MATCH($BH6&amp;CM$1,Jornada&amp;Equipo_local,0)),INDEX(Equipo_local,MATCH($BH6&amp;CM$1,Jornada&amp;Equipo_visitante,0)))</f>
        <v>Villarreal</v>
      </c>
      <c r="CN6" s="319" t="str" cm="1">
        <f t="array" ref="CN6">IFERROR(INDEX(Equipo_visitante,MATCH($BH6&amp;CN$1,Jornada&amp;Equipo_local,0)),INDEX(Equipo_local,MATCH($BH6&amp;CN$1,Jornada&amp;Equipo_visitante,0)))</f>
        <v>Betis</v>
      </c>
      <c r="CO6" s="319" t="str" cm="1">
        <f t="array" ref="CO6">IFERROR(INDEX(Equipo_visitante,MATCH($BH6&amp;CO$1,Jornada&amp;Equipo_local,0)),INDEX(Equipo_local,MATCH($BH6&amp;CO$1,Jornada&amp;Equipo_visitante,0)))</f>
        <v>Manchester United</v>
      </c>
      <c r="CP6" s="319" t="str" cm="1">
        <f t="array" ref="CP6">IFERROR(INDEX(Equipo_visitante,MATCH($BH6&amp;CP$1,Jornada&amp;Equipo_local,0)),INDEX(Equipo_local,MATCH($BH6&amp;CP$1,Jornada&amp;Equipo_visitante,0)))</f>
        <v>Inter Milan</v>
      </c>
      <c r="CQ6" s="319" t="str" cm="1">
        <f t="array" ref="CQ6">IFERROR(INDEX(Equipo_visitante,MATCH($BH6&amp;CQ$1,Jornada&amp;Equipo_local,0)),INDEX(Equipo_local,MATCH($BH6&amp;CQ$1,Jornada&amp;Equipo_visitante,0)))</f>
        <v>Atlético Madrid</v>
      </c>
      <c r="CR6" s="319" t="str" cm="1">
        <f t="array" ref="CR6">IFERROR(INDEX(Equipo_visitante,MATCH($BH6&amp;CR$1,Jornada&amp;Equipo_local,0)),INDEX(Equipo_local,MATCH($BH6&amp;CR$1,Jornada&amp;Equipo_visitante,0)))</f>
        <v>Slavia Praha</v>
      </c>
      <c r="CS6" s="204"/>
      <c r="CT6" s="204"/>
      <c r="CU6" s="204"/>
      <c r="CV6" s="204"/>
    </row>
    <row r="7" spans="1:100" ht="17" customHeight="1">
      <c r="A7" s="206">
        <v>1</v>
      </c>
      <c r="B7" s="110">
        <f>Horarios!C7</f>
        <v>46273.875</v>
      </c>
      <c r="C7" s="111">
        <f>Horarios!C7</f>
        <v>46273.875</v>
      </c>
      <c r="D7" s="112" t="s">
        <v>2</v>
      </c>
      <c r="E7" s="207" t="e" cm="1" vm="14">
        <f t="array" ref="E7">badge_home</f>
        <v>#VALUE!</v>
      </c>
      <c r="F7" s="208"/>
      <c r="G7" s="84"/>
      <c r="H7" s="85"/>
      <c r="I7" s="209"/>
      <c r="J7" s="210" t="e" cm="1" vm="15">
        <f t="array" ref="J7">badge_away</f>
        <v>#VALUE!</v>
      </c>
      <c r="K7" s="132" t="s">
        <v>695</v>
      </c>
      <c r="L7" s="129"/>
      <c r="M7" s="218"/>
      <c r="N7" s="51">
        <v>6</v>
      </c>
      <c r="O7" s="14" t="e" cm="1" vm="16">
        <f t="array" ref="O7">badge_away</f>
        <v>#VALUE!</v>
      </c>
      <c r="P7" s="15" t="str">
        <f>IFERROR(INDEX(Calcs!A$2:A$37,MATCH($N7,Calcs!$CJ$2:$CJ$37,0)),"")</f>
        <v>Bayern München</v>
      </c>
      <c r="Q7" s="20">
        <f>IFERROR(INDEX(Calcs!$B$2:$AB$37,MATCH($N7,Calcs!$CJ$2:$CJ$37,0),MATCH(Q$1,Calcs!$B$1:$AB$1,0)),"")</f>
        <v>0</v>
      </c>
      <c r="R7" s="21">
        <f>IFERROR(INDEX(Calcs!$B$2:$AB$37,MATCH($N7,Calcs!$CJ$2:$CJ$37,0),MATCH(R$1,Calcs!$B$1:$AB$1,0)),"")</f>
        <v>0</v>
      </c>
      <c r="S7" s="21">
        <f>IFERROR(INDEX(Calcs!$B$2:$AB$37,MATCH($N7,Calcs!$CJ$2:$CJ$37,0),MATCH(S$1,Calcs!$B$1:$AB$1,0)),"")</f>
        <v>0</v>
      </c>
      <c r="T7" s="21">
        <f>IFERROR(INDEX(Calcs!$B$2:$AB$37,MATCH($N7,Calcs!$CJ$2:$CJ$37,0),MATCH(T$1,Calcs!$B$1:$AB$1,0)),"")</f>
        <v>0</v>
      </c>
      <c r="U7" s="21">
        <f>IFERROR(INDEX(Calcs!$B$2:$AB$37,MATCH($N7,Calcs!$CJ$2:$CJ$37,0),MATCH(U$1,Calcs!$B$1:$AB$1,0)),"")</f>
        <v>0</v>
      </c>
      <c r="V7" s="21">
        <f>IFERROR(INDEX(Calcs!$B$2:$AB$37,MATCH($N7,Calcs!$CJ$2:$CJ$37,0),MATCH(V$1,Calcs!$B$1:$AB$1,0)),"")</f>
        <v>0</v>
      </c>
      <c r="W7" s="21">
        <f>IFERROR(INDEX(Calcs!$B$2:$AB$37,MATCH($N7,Calcs!$CJ$2:$CJ$37,0),MATCH(W$1,Calcs!$B$1:$AB$1,0)),"")</f>
        <v>0</v>
      </c>
      <c r="X7" s="18">
        <f>IFERROR(INDEX(Calcs!$B$2:$AB$37,MATCH($N7,Calcs!$CJ$2:$CJ$37,0),MATCH(X$1,Calcs!$B$1:$AB$1,0)),"")</f>
        <v>0</v>
      </c>
      <c r="Y7" s="20">
        <f>IFERROR(INDEX(Calcs!$B$2:$AB$37,MATCH($N7,Calcs!$CJ$2:$CJ$37,0),MATCH(Y$1,Calcs!$B$1:$AB$1,0)),"")</f>
        <v>0</v>
      </c>
      <c r="Z7" s="21">
        <f>IFERROR(INDEX(Calcs!$B$2:$AB$37,MATCH($N7,Calcs!$CJ$2:$CJ$37,0),MATCH(Z$1,Calcs!$B$1:$AB$1,0)),"")</f>
        <v>0</v>
      </c>
      <c r="AA7" s="21">
        <f>IFERROR(INDEX(Calcs!$B$2:$AB$37,MATCH($N7,Calcs!$CJ$2:$CJ$37,0),MATCH(AA$1,Calcs!$B$1:$AB$1,0)),"")</f>
        <v>0</v>
      </c>
      <c r="AB7" s="21">
        <f>IFERROR(INDEX(Calcs!$B$2:$AB$37,MATCH($N7,Calcs!$CJ$2:$CJ$37,0),MATCH(AB$1,Calcs!$B$1:$AB$1,0)),"")</f>
        <v>0</v>
      </c>
      <c r="AC7" s="21">
        <f>IFERROR(INDEX(Calcs!$B$2:$AB$37,MATCH($N7,Calcs!$CJ$2:$CJ$37,0),MATCH(AC$1,Calcs!$B$1:$AB$1,0)),"")</f>
        <v>0</v>
      </c>
      <c r="AD7" s="21">
        <f>IFERROR(INDEX(Calcs!$B$2:$AB$37,MATCH($N7,Calcs!$CJ$2:$CJ$37,0),MATCH(AD$1,Calcs!$B$1:$AB$1,0)),"")</f>
        <v>0</v>
      </c>
      <c r="AE7" s="21">
        <f>IFERROR(INDEX(Calcs!$B$2:$AB$37,MATCH($N7,Calcs!$CJ$2:$CJ$37,0),MATCH(AE$1,Calcs!$B$1:$AB$1,0)),"")</f>
        <v>0</v>
      </c>
      <c r="AF7" s="18">
        <f>IFERROR(INDEX(Calcs!$B$2:$AB$37,MATCH($N7,Calcs!$CJ$2:$CJ$37,0),MATCH(AF$1,Calcs!$B$1:$AB$1,0)),"")</f>
        <v>0</v>
      </c>
      <c r="AG7" s="20">
        <f>IFERROR(INDEX(Calcs!$B$2:$AB$37,MATCH($N7,Calcs!$CJ$2:$CJ$37,0),MATCH(AG$1,Calcs!$B$1:$AB$1,0)),"")</f>
        <v>0</v>
      </c>
      <c r="AH7" s="21">
        <f>IFERROR(INDEX(Calcs!$B$2:$AB$37,MATCH($N7,Calcs!$CJ$2:$CJ$37,0),MATCH(AH$1,Calcs!$B$1:$AB$1,0)),"")</f>
        <v>0</v>
      </c>
      <c r="AI7" s="21">
        <f>IFERROR(INDEX(Calcs!$B$2:$AB$37,MATCH($N7,Calcs!$CJ$2:$CJ$37,0),MATCH(AI$1,Calcs!$B$1:$AB$1,0)),"")</f>
        <v>0</v>
      </c>
      <c r="AJ7" s="21">
        <f>IFERROR(INDEX(Calcs!$B$2:$AB$37,MATCH($N7,Calcs!$CJ$2:$CJ$37,0),MATCH(AJ$1,Calcs!$B$1:$AB$1,0)),"")</f>
        <v>0</v>
      </c>
      <c r="AK7" s="21">
        <f>IFERROR(INDEX(Calcs!$B$2:$AB$37,MATCH($N7,Calcs!$CJ$2:$CJ$37,0),MATCH(AK$1,Calcs!$B$1:$AB$1,0)),"")</f>
        <v>0</v>
      </c>
      <c r="AL7" s="21">
        <f>IFERROR(INDEX(Calcs!$B$2:$AB$37,MATCH($N7,Calcs!$CJ$2:$CJ$37,0),MATCH(AL$1,Calcs!$B$1:$AB$1,0)),"")</f>
        <v>0</v>
      </c>
      <c r="AM7" s="21">
        <f>IFERROR(INDEX(Calcs!$B$2:$AB$37,MATCH($N7,Calcs!$CJ$2:$CJ$37,0),MATCH(AM$1,Calcs!$B$1:$AB$1,0)),"")</f>
        <v>0</v>
      </c>
      <c r="AN7" s="22">
        <f>IFERROR(INDEX(Calcs!$B$2:$AB$37,MATCH($N7,Calcs!$CJ$2:$CJ$37,0),MATCH(AN$1,Calcs!$B$1:$AB$1,0)),"")</f>
        <v>0</v>
      </c>
      <c r="AO7" s="21">
        <f>IFERROR(INDEX(Calcs!$B$2:$AB$37,MATCH($N7,Calcs!$CJ$2:$CJ$37,0),MATCH(AO$1,Calcs!$B$1:$AB$1,0)),"")</f>
        <v>0</v>
      </c>
      <c r="AP7" s="21">
        <f>IFERROR(INDEX(Calcs!$B$2:$AB$37,MATCH($N7,Calcs!$CJ$2:$CJ$37,0),MATCH(AP$1,Calcs!$B$1:$AB$1,0)),"")</f>
        <v>0</v>
      </c>
      <c r="AQ7" s="22">
        <f>IFERROR(INDEX(Calcs!$B$2:$AB$37,MATCH($N7,Calcs!$CJ$2:$CJ$37,0),MATCH(AQ$1,Calcs!$B$1:$AB$1,0)),"")</f>
        <v>0</v>
      </c>
      <c r="AR7" s="188"/>
      <c r="AS7" s="202" t="str">
        <f>INDEX(Calcs!A$2:A$37,MATCH($N7,Calcs!$CF$2:$CF$37,0))</f>
        <v>Bayern München</v>
      </c>
      <c r="AT7" s="98"/>
      <c r="AU7" s="191">
        <f>INDEX(Calcs!$BZ$2:$BZ$37,MATCH($AS7,Calcs!$A$2:$A$37,0))</f>
        <v>1</v>
      </c>
      <c r="AV7" s="191">
        <f t="shared" si="1"/>
        <v>36</v>
      </c>
      <c r="AW7" s="191" t="str">
        <f t="shared" si="2"/>
        <v>1.36</v>
      </c>
      <c r="AX7" s="191">
        <f ca="1"/>
        <v>6</v>
      </c>
      <c r="AY7" s="188"/>
      <c r="AZ7" s="212" t="str">
        <f>TablaEquipos[[#This Row],[Team]]</f>
        <v>Bayern München</v>
      </c>
      <c r="BA7" s="100"/>
      <c r="BB7" s="188" t="s">
        <v>1100</v>
      </c>
      <c r="BC7" s="188"/>
      <c r="BD7" s="188"/>
      <c r="BE7" s="188"/>
      <c r="BF7" s="319" t="str">
        <f t="shared" si="0"/>
        <v>Pendiente</v>
      </c>
      <c r="BH7" s="321">
        <v>6</v>
      </c>
      <c r="BI7" s="319" t="str" cm="1">
        <f t="array" ref="BI7">IFERROR(INDEX(Equipo_visitante,MATCH($BH7&amp;BI$1,Jornada&amp;Equipo_local,0)),INDEX(Equipo_local,MATCH($BH7&amp;BI$1,Jornada&amp;Equipo_visitante,0)))</f>
        <v>Galatasaray</v>
      </c>
      <c r="BJ7" s="319" t="str" cm="1">
        <f t="array" ref="BJ7">IFERROR(INDEX(Equipo_visitante,MATCH($BH7&amp;BJ$1,Jornada&amp;Equipo_local,0)),INDEX(Equipo_local,MATCH($BH7&amp;BJ$1,Jornada&amp;Equipo_visitante,0)))</f>
        <v>Real Madrid</v>
      </c>
      <c r="BK7" s="319" t="str" cm="1">
        <f t="array" ref="BK7">IFERROR(INDEX(Equipo_visitante,MATCH($BH7&amp;BK$1,Jornada&amp;Equipo_local,0)),INDEX(Equipo_local,MATCH($BH7&amp;BK$1,Jornada&amp;Equipo_visitante,0)))</f>
        <v>PSG</v>
      </c>
      <c r="BL7" s="319" t="str" cm="1">
        <f t="array" ref="BL7">IFERROR(INDEX(Equipo_visitante,MATCH($BH7&amp;BL$1,Jornada&amp;Equipo_local,0)),INDEX(Equipo_local,MATCH($BH7&amp;BL$1,Jornada&amp;Equipo_visitante,0)))</f>
        <v>PSV Eindhoven</v>
      </c>
      <c r="BM7" s="319" t="str" cm="1">
        <f t="array" ref="BM7">IFERROR(INDEX(Equipo_visitante,MATCH($BH7&amp;BM$1,Jornada&amp;Equipo_local,0)),INDEX(Equipo_local,MATCH($BH7&amp;BM$1,Jornada&amp;Equipo_visitante,0)))</f>
        <v>Manchester City</v>
      </c>
      <c r="BN7" s="319" t="str" cm="1">
        <f t="array" ref="BN7">IFERROR(INDEX(Equipo_visitante,MATCH($BH7&amp;BN$1,Jornada&amp;Equipo_local,0)),INDEX(Equipo_local,MATCH($BH7&amp;BN$1,Jornada&amp;Equipo_visitante,0)))</f>
        <v>Slavia Praha</v>
      </c>
      <c r="BO7" s="319" t="str" cm="1">
        <f t="array" ref="BO7">IFERROR(INDEX(Equipo_visitante,MATCH($BH7&amp;BO$1,Jornada&amp;Equipo_local,0)),INDEX(Equipo_local,MATCH($BH7&amp;BO$1,Jornada&amp;Equipo_visitante,0)))</f>
        <v>Como</v>
      </c>
      <c r="BP7" s="319" t="str" cm="1">
        <f t="array" ref="BP7">IFERROR(INDEX(Equipo_visitante,MATCH($BH7&amp;BP$1,Jornada&amp;Equipo_local,0)),INDEX(Equipo_local,MATCH($BH7&amp;BP$1,Jornada&amp;Equipo_visitante,0)))</f>
        <v>Lens</v>
      </c>
      <c r="BQ7" s="319" t="str" cm="1">
        <f t="array" ref="BQ7">IFERROR(INDEX(Equipo_visitante,MATCH($BH7&amp;BQ$1,Jornada&amp;Equipo_local,0)),INDEX(Equipo_local,MATCH($BH7&amp;BQ$1,Jornada&amp;Equipo_visitante,0)))</f>
        <v>Inter Milan</v>
      </c>
      <c r="BR7" s="319" t="str" cm="1">
        <f t="array" ref="BR7">IFERROR(INDEX(Equipo_visitante,MATCH($BH7&amp;BR$1,Jornada&amp;Equipo_local,0)),INDEX(Equipo_local,MATCH($BH7&amp;BR$1,Jornada&amp;Equipo_visitante,0)))</f>
        <v>Napoli</v>
      </c>
      <c r="BS7" s="319" t="str" cm="1">
        <f t="array" ref="BS7">IFERROR(INDEX(Equipo_visitante,MATCH($BH7&amp;BS$1,Jornada&amp;Equipo_local,0)),INDEX(Equipo_local,MATCH($BH7&amp;BS$1,Jornada&amp;Equipo_visitante,0)))</f>
        <v>Betis</v>
      </c>
      <c r="BT7" s="319" t="str" cm="1">
        <f t="array" ref="BT7">IFERROR(INDEX(Equipo_visitante,MATCH($BH7&amp;BT$1,Jornada&amp;Equipo_local,0)),INDEX(Equipo_local,MATCH($BH7&amp;BT$1,Jornada&amp;Equipo_visitante,0)))</f>
        <v>LASK</v>
      </c>
      <c r="BU7" s="319" t="str" cm="1">
        <f t="array" ref="BU7">IFERROR(INDEX(Equipo_visitante,MATCH($BH7&amp;BU$1,Jornada&amp;Equipo_local,0)),INDEX(Equipo_local,MATCH($BH7&amp;BU$1,Jornada&amp;Equipo_visitante,0)))</f>
        <v>Viking</v>
      </c>
      <c r="BV7" s="319" t="str" cm="1">
        <f t="array" ref="BV7">IFERROR(INDEX(Equipo_visitante,MATCH($BH7&amp;BV$1,Jornada&amp;Equipo_local,0)),INDEX(Equipo_local,MATCH($BH7&amp;BV$1,Jornada&amp;Equipo_visitante,0)))</f>
        <v>AEK</v>
      </c>
      <c r="BW7" s="319" t="str" cm="1">
        <f t="array" ref="BW7">IFERROR(INDEX(Equipo_visitante,MATCH($BH7&amp;BW$1,Jornada&amp;Equipo_local,0)),INDEX(Equipo_local,MATCH($BH7&amp;BW$1,Jornada&amp;Equipo_visitante,0)))</f>
        <v>Borussia Dortmund</v>
      </c>
      <c r="BX7" s="319" t="str" cm="1">
        <f t="array" ref="BX7">IFERROR(INDEX(Equipo_visitante,MATCH($BH7&amp;BX$1,Jornada&amp;Equipo_local,0)),INDEX(Equipo_local,MATCH($BH7&amp;BX$1,Jornada&amp;Equipo_visitante,0)))</f>
        <v>Fenerbahçe </v>
      </c>
      <c r="BY7" s="319" t="str" cm="1">
        <f t="array" ref="BY7">IFERROR(INDEX(Equipo_visitante,MATCH($BH7&amp;BY$1,Jornada&amp;Equipo_local,0)),INDEX(Equipo_local,MATCH($BH7&amp;BY$1,Jornada&amp;Equipo_visitante,0)))</f>
        <v>Manchester United</v>
      </c>
      <c r="BZ7" s="319" t="str" cm="1">
        <f t="array" ref="BZ7">IFERROR(INDEX(Equipo_visitante,MATCH($BH7&amp;BZ$1,Jornada&amp;Equipo_local,0)),INDEX(Equipo_local,MATCH($BH7&amp;BZ$1,Jornada&amp;Equipo_visitante,0)))</f>
        <v>Bodø/Glimt</v>
      </c>
      <c r="CA7" s="319" t="str" cm="1">
        <f t="array" ref="CA7">IFERROR(INDEX(Equipo_visitante,MATCH($BH7&amp;CA$1,Jornada&amp;Equipo_local,0)),INDEX(Equipo_local,MATCH($BH7&amp;CA$1,Jornada&amp;Equipo_visitante,0)))</f>
        <v>Stuttgart</v>
      </c>
      <c r="CB7" s="319" t="str" cm="1">
        <f t="array" ref="CB7">IFERROR(INDEX(Equipo_visitante,MATCH($BH7&amp;CB$1,Jornada&amp;Equipo_local,0)),INDEX(Equipo_local,MATCH($BH7&amp;CB$1,Jornada&amp;Equipo_visitante,0)))</f>
        <v>Porto</v>
      </c>
      <c r="CC7" s="319" t="str" cm="1">
        <f t="array" ref="CC7">IFERROR(INDEX(Equipo_visitante,MATCH($BH7&amp;CC$1,Jornada&amp;Equipo_local,0)),INDEX(Equipo_local,MATCH($BH7&amp;CC$1,Jornada&amp;Equipo_visitante,0)))</f>
        <v>Barcelona</v>
      </c>
      <c r="CD7" s="319" t="str" cm="1">
        <f t="array" ref="CD7">IFERROR(INDEX(Equipo_visitante,MATCH($BH7&amp;CD$1,Jornada&amp;Equipo_local,0)),INDEX(Equipo_local,MATCH($BH7&amp;CD$1,Jornada&amp;Equipo_visitante,0)))</f>
        <v>Leipzig</v>
      </c>
      <c r="CE7" s="319" t="str" cm="1">
        <f t="array" ref="CE7">IFERROR(INDEX(Equipo_visitante,MATCH($BH7&amp;CE$1,Jornada&amp;Equipo_local,0)),INDEX(Equipo_local,MATCH($BH7&amp;CE$1,Jornada&amp;Equipo_visitante,0)))</f>
        <v>Brugge</v>
      </c>
      <c r="CF7" s="319" t="str" cm="1">
        <f t="array" ref="CF7">IFERROR(INDEX(Equipo_visitante,MATCH($BH7&amp;CF$1,Jornada&amp;Equipo_local,0)),INDEX(Equipo_local,MATCH($BH7&amp;CF$1,Jornada&amp;Equipo_visitante,0)))</f>
        <v>Liverpool</v>
      </c>
      <c r="CG7" s="319" t="str" cm="1">
        <f t="array" ref="CG7">IFERROR(INDEX(Equipo_visitante,MATCH($BH7&amp;CG$1,Jornada&amp;Equipo_local,0)),INDEX(Equipo_local,MATCH($BH7&amp;CG$1,Jornada&amp;Equipo_visitante,0)))</f>
        <v>Aston Villa</v>
      </c>
      <c r="CH7" s="319" t="str" cm="1">
        <f t="array" ref="CH7">IFERROR(INDEX(Equipo_visitante,MATCH($BH7&amp;CH$1,Jornada&amp;Equipo_local,0)),INDEX(Equipo_local,MATCH($BH7&amp;CH$1,Jornada&amp;Equipo_visitante,0)))</f>
        <v>Atlético Madrid</v>
      </c>
      <c r="CI7" s="319" t="str" cm="1">
        <f t="array" ref="CI7">IFERROR(INDEX(Equipo_visitante,MATCH($BH7&amp;CI$1,Jornada&amp;Equipo_local,0)),INDEX(Equipo_local,MATCH($BH7&amp;CI$1,Jornada&amp;Equipo_visitante,0)))</f>
        <v>Arsenal</v>
      </c>
      <c r="CJ7" s="319" t="str" cm="1">
        <f t="array" ref="CJ7">IFERROR(INDEX(Equipo_visitante,MATCH($BH7&amp;CJ$1,Jornada&amp;Equipo_local,0)),INDEX(Equipo_local,MATCH($BH7&amp;CJ$1,Jornada&amp;Equipo_visitante,0)))</f>
        <v>Sporting Portugal</v>
      </c>
      <c r="CK7" s="319" t="str" cm="1">
        <f t="array" ref="CK7">IFERROR(INDEX(Equipo_visitante,MATCH($BH7&amp;CK$1,Jornada&amp;Equipo_local,0)),INDEX(Equipo_local,MATCH($BH7&amp;CK$1,Jornada&amp;Equipo_visitante,0)))</f>
        <v>Villarreal</v>
      </c>
      <c r="CL7" s="319" t="str" cm="1">
        <f t="array" ref="CL7">IFERROR(INDEX(Equipo_visitante,MATCH($BH7&amp;CL$1,Jornada&amp;Equipo_local,0)),INDEX(Equipo_local,MATCH($BH7&amp;CL$1,Jornada&amp;Equipo_visitante,0)))</f>
        <v>Slovan Bratislava </v>
      </c>
      <c r="CM7" s="319" t="str" cm="1">
        <f t="array" ref="CM7">IFERROR(INDEX(Equipo_visitante,MATCH($BH7&amp;CM$1,Jornada&amp;Equipo_local,0)),INDEX(Equipo_local,MATCH($BH7&amp;CM$1,Jornada&amp;Equipo_visitante,0)))</f>
        <v>Bayern München</v>
      </c>
      <c r="CN7" s="319" t="str" cm="1">
        <f t="array" ref="CN7">IFERROR(INDEX(Equipo_visitante,MATCH($BH7&amp;CN$1,Jornada&amp;Equipo_local,0)),INDEX(Equipo_local,MATCH($BH7&amp;CN$1,Jornada&amp;Equipo_visitante,0)))</f>
        <v>Shakhtar Donetsk</v>
      </c>
      <c r="CO7" s="319" t="str" cm="1">
        <f t="array" ref="CO7">IFERROR(INDEX(Equipo_visitante,MATCH($BH7&amp;CO$1,Jornada&amp;Equipo_local,0)),INDEX(Equipo_local,MATCH($BH7&amp;CO$1,Jornada&amp;Equipo_visitante,0)))</f>
        <v>Roma</v>
      </c>
      <c r="CP7" s="319" t="str" cm="1">
        <f t="array" ref="CP7">IFERROR(INDEX(Equipo_visitante,MATCH($BH7&amp;CP$1,Jornada&amp;Equipo_local,0)),INDEX(Equipo_local,MATCH($BH7&amp;CP$1,Jornada&amp;Equipo_visitante,0)))</f>
        <v>Lille</v>
      </c>
      <c r="CQ7" s="319" t="str" cm="1">
        <f t="array" ref="CQ7">IFERROR(INDEX(Equipo_visitante,MATCH($BH7&amp;CQ$1,Jornada&amp;Equipo_local,0)),INDEX(Equipo_local,MATCH($BH7&amp;CQ$1,Jornada&amp;Equipo_visitante,0)))</f>
        <v>Feyenoord</v>
      </c>
      <c r="CR7" s="319" t="str" cm="1">
        <f t="array" ref="CR7">IFERROR(INDEX(Equipo_visitante,MATCH($BH7&amp;CR$1,Jornada&amp;Equipo_local,0)),INDEX(Equipo_local,MATCH($BH7&amp;CR$1,Jornada&amp;Equipo_visitante,0)))</f>
        <v>Sabah</v>
      </c>
      <c r="CS7" s="204"/>
      <c r="CT7" s="204"/>
      <c r="CU7" s="204"/>
      <c r="CV7" s="204"/>
    </row>
    <row r="8" spans="1:100" ht="17" customHeight="1">
      <c r="A8" s="213">
        <v>1</v>
      </c>
      <c r="B8" s="113">
        <f>Horarios!C8</f>
        <v>46274.78125</v>
      </c>
      <c r="C8" s="114">
        <f>Horarios!C8</f>
        <v>46274.78125</v>
      </c>
      <c r="D8" s="115" t="s">
        <v>692</v>
      </c>
      <c r="E8" s="214" t="e" cm="1" vm="13">
        <f t="array" ref="E8">badge_home</f>
        <v>#VALUE!</v>
      </c>
      <c r="F8" s="215"/>
      <c r="G8" s="86"/>
      <c r="H8" s="87"/>
      <c r="I8" s="216"/>
      <c r="J8" s="217" t="e" cm="1" vm="17">
        <f t="array" ref="J8">badge_away</f>
        <v>#VALUE!</v>
      </c>
      <c r="K8" s="132" t="s">
        <v>737</v>
      </c>
      <c r="L8" s="129"/>
      <c r="M8" s="188"/>
      <c r="N8" s="51">
        <v>7</v>
      </c>
      <c r="O8" s="14" t="e" cm="1" vm="12">
        <f t="array" ref="O8">badge_away</f>
        <v>#VALUE!</v>
      </c>
      <c r="P8" s="15" t="str">
        <f>IFERROR(INDEX(Calcs!A$2:A$37,MATCH($N8,Calcs!$CJ$2:$CJ$37,0)),"")</f>
        <v>Betis</v>
      </c>
      <c r="Q8" s="20">
        <f>IFERROR(INDEX(Calcs!$B$2:$AB$37,MATCH($N8,Calcs!$CJ$2:$CJ$37,0),MATCH(Q$1,Calcs!$B$1:$AB$1,0)),"")</f>
        <v>0</v>
      </c>
      <c r="R8" s="21">
        <f>IFERROR(INDEX(Calcs!$B$2:$AB$37,MATCH($N8,Calcs!$CJ$2:$CJ$37,0),MATCH(R$1,Calcs!$B$1:$AB$1,0)),"")</f>
        <v>0</v>
      </c>
      <c r="S8" s="21">
        <f>IFERROR(INDEX(Calcs!$B$2:$AB$37,MATCH($N8,Calcs!$CJ$2:$CJ$37,0),MATCH(S$1,Calcs!$B$1:$AB$1,0)),"")</f>
        <v>0</v>
      </c>
      <c r="T8" s="21">
        <f>IFERROR(INDEX(Calcs!$B$2:$AB$37,MATCH($N8,Calcs!$CJ$2:$CJ$37,0),MATCH(T$1,Calcs!$B$1:$AB$1,0)),"")</f>
        <v>0</v>
      </c>
      <c r="U8" s="21">
        <f>IFERROR(INDEX(Calcs!$B$2:$AB$37,MATCH($N8,Calcs!$CJ$2:$CJ$37,0),MATCH(U$1,Calcs!$B$1:$AB$1,0)),"")</f>
        <v>0</v>
      </c>
      <c r="V8" s="21">
        <f>IFERROR(INDEX(Calcs!$B$2:$AB$37,MATCH($N8,Calcs!$CJ$2:$CJ$37,0),MATCH(V$1,Calcs!$B$1:$AB$1,0)),"")</f>
        <v>0</v>
      </c>
      <c r="W8" s="21">
        <f>IFERROR(INDEX(Calcs!$B$2:$AB$37,MATCH($N8,Calcs!$CJ$2:$CJ$37,0),MATCH(W$1,Calcs!$B$1:$AB$1,0)),"")</f>
        <v>0</v>
      </c>
      <c r="X8" s="18">
        <f>IFERROR(INDEX(Calcs!$B$2:$AB$37,MATCH($N8,Calcs!$CJ$2:$CJ$37,0),MATCH(X$1,Calcs!$B$1:$AB$1,0)),"")</f>
        <v>0</v>
      </c>
      <c r="Y8" s="20">
        <f>IFERROR(INDEX(Calcs!$B$2:$AB$37,MATCH($N8,Calcs!$CJ$2:$CJ$37,0),MATCH(Y$1,Calcs!$B$1:$AB$1,0)),"")</f>
        <v>0</v>
      </c>
      <c r="Z8" s="21">
        <f>IFERROR(INDEX(Calcs!$B$2:$AB$37,MATCH($N8,Calcs!$CJ$2:$CJ$37,0),MATCH(Z$1,Calcs!$B$1:$AB$1,0)),"")</f>
        <v>0</v>
      </c>
      <c r="AA8" s="21">
        <f>IFERROR(INDEX(Calcs!$B$2:$AB$37,MATCH($N8,Calcs!$CJ$2:$CJ$37,0),MATCH(AA$1,Calcs!$B$1:$AB$1,0)),"")</f>
        <v>0</v>
      </c>
      <c r="AB8" s="21">
        <f>IFERROR(INDEX(Calcs!$B$2:$AB$37,MATCH($N8,Calcs!$CJ$2:$CJ$37,0),MATCH(AB$1,Calcs!$B$1:$AB$1,0)),"")</f>
        <v>0</v>
      </c>
      <c r="AC8" s="21">
        <f>IFERROR(INDEX(Calcs!$B$2:$AB$37,MATCH($N8,Calcs!$CJ$2:$CJ$37,0),MATCH(AC$1,Calcs!$B$1:$AB$1,0)),"")</f>
        <v>0</v>
      </c>
      <c r="AD8" s="21">
        <f>IFERROR(INDEX(Calcs!$B$2:$AB$37,MATCH($N8,Calcs!$CJ$2:$CJ$37,0),MATCH(AD$1,Calcs!$B$1:$AB$1,0)),"")</f>
        <v>0</v>
      </c>
      <c r="AE8" s="21">
        <f>IFERROR(INDEX(Calcs!$B$2:$AB$37,MATCH($N8,Calcs!$CJ$2:$CJ$37,0),MATCH(AE$1,Calcs!$B$1:$AB$1,0)),"")</f>
        <v>0</v>
      </c>
      <c r="AF8" s="18">
        <f>IFERROR(INDEX(Calcs!$B$2:$AB$37,MATCH($N8,Calcs!$CJ$2:$CJ$37,0),MATCH(AF$1,Calcs!$B$1:$AB$1,0)),"")</f>
        <v>0</v>
      </c>
      <c r="AG8" s="20">
        <f>IFERROR(INDEX(Calcs!$B$2:$AB$37,MATCH($N8,Calcs!$CJ$2:$CJ$37,0),MATCH(AG$1,Calcs!$B$1:$AB$1,0)),"")</f>
        <v>0</v>
      </c>
      <c r="AH8" s="21">
        <f>IFERROR(INDEX(Calcs!$B$2:$AB$37,MATCH($N8,Calcs!$CJ$2:$CJ$37,0),MATCH(AH$1,Calcs!$B$1:$AB$1,0)),"")</f>
        <v>0</v>
      </c>
      <c r="AI8" s="21">
        <f>IFERROR(INDEX(Calcs!$B$2:$AB$37,MATCH($N8,Calcs!$CJ$2:$CJ$37,0),MATCH(AI$1,Calcs!$B$1:$AB$1,0)),"")</f>
        <v>0</v>
      </c>
      <c r="AJ8" s="21">
        <f>IFERROR(INDEX(Calcs!$B$2:$AB$37,MATCH($N8,Calcs!$CJ$2:$CJ$37,0),MATCH(AJ$1,Calcs!$B$1:$AB$1,0)),"")</f>
        <v>0</v>
      </c>
      <c r="AK8" s="21">
        <f>IFERROR(INDEX(Calcs!$B$2:$AB$37,MATCH($N8,Calcs!$CJ$2:$CJ$37,0),MATCH(AK$1,Calcs!$B$1:$AB$1,0)),"")</f>
        <v>0</v>
      </c>
      <c r="AL8" s="21">
        <f>IFERROR(INDEX(Calcs!$B$2:$AB$37,MATCH($N8,Calcs!$CJ$2:$CJ$37,0),MATCH(AL$1,Calcs!$B$1:$AB$1,0)),"")</f>
        <v>0</v>
      </c>
      <c r="AM8" s="21">
        <f>IFERROR(INDEX(Calcs!$B$2:$AB$37,MATCH($N8,Calcs!$CJ$2:$CJ$37,0),MATCH(AM$1,Calcs!$B$1:$AB$1,0)),"")</f>
        <v>0</v>
      </c>
      <c r="AN8" s="22">
        <f>IFERROR(INDEX(Calcs!$B$2:$AB$37,MATCH($N8,Calcs!$CJ$2:$CJ$37,0),MATCH(AN$1,Calcs!$B$1:$AB$1,0)),"")</f>
        <v>0</v>
      </c>
      <c r="AO8" s="21">
        <f>IFERROR(INDEX(Calcs!$B$2:$AB$37,MATCH($N8,Calcs!$CJ$2:$CJ$37,0),MATCH(AO$1,Calcs!$B$1:$AB$1,0)),"")</f>
        <v>0</v>
      </c>
      <c r="AP8" s="21">
        <f>IFERROR(INDEX(Calcs!$B$2:$AB$37,MATCH($N8,Calcs!$CJ$2:$CJ$37,0),MATCH(AP$1,Calcs!$B$1:$AB$1,0)),"")</f>
        <v>0</v>
      </c>
      <c r="AQ8" s="22">
        <f>IFERROR(INDEX(Calcs!$B$2:$AB$37,MATCH($N8,Calcs!$CJ$2:$CJ$37,0),MATCH(AQ$1,Calcs!$B$1:$AB$1,0)),"")</f>
        <v>0</v>
      </c>
      <c r="AR8" s="188"/>
      <c r="AS8" s="202" t="str">
        <f>INDEX(Calcs!A$2:A$37,MATCH($N8,Calcs!$CF$2:$CF$37,0))</f>
        <v>Betis</v>
      </c>
      <c r="AT8" s="98"/>
      <c r="AU8" s="191">
        <f>INDEX(Calcs!$BZ$2:$BZ$37,MATCH($AS8,Calcs!$A$2:$A$37,0))</f>
        <v>1</v>
      </c>
      <c r="AV8" s="191">
        <f t="shared" si="1"/>
        <v>36</v>
      </c>
      <c r="AW8" s="191" t="str">
        <f t="shared" si="2"/>
        <v>1.36</v>
      </c>
      <c r="AX8" s="191">
        <f ca="1"/>
        <v>7</v>
      </c>
      <c r="AY8" s="188"/>
      <c r="AZ8" s="203" t="str">
        <f>TablaEquipos[[#This Row],[Team]]</f>
        <v>Betis</v>
      </c>
      <c r="BA8" s="99"/>
      <c r="BB8" s="188"/>
      <c r="BC8" s="188"/>
      <c r="BD8" s="188"/>
      <c r="BE8" s="188"/>
      <c r="BF8" s="319" t="str">
        <f t="shared" si="0"/>
        <v>Pendiente</v>
      </c>
      <c r="BH8" s="321">
        <v>7</v>
      </c>
      <c r="BI8" s="319" t="str" cm="1">
        <f t="array" ref="BI8">IFERROR(INDEX(Equipo_visitante,MATCH($BH8&amp;BI$1,Jornada&amp;Equipo_local,0)),INDEX(Equipo_local,MATCH($BH8&amp;BI$1,Jornada&amp;Equipo_visitante,0)))</f>
        <v>Roma</v>
      </c>
      <c r="BJ8" s="319" t="str" cm="1">
        <f t="array" ref="BJ8">IFERROR(INDEX(Equipo_visitante,MATCH($BH8&amp;BJ$1,Jornada&amp;Equipo_local,0)),INDEX(Equipo_local,MATCH($BH8&amp;BJ$1,Jornada&amp;Equipo_visitante,0)))</f>
        <v>Betis</v>
      </c>
      <c r="BK8" s="319" t="str" cm="1">
        <f t="array" ref="BK8">IFERROR(INDEX(Equipo_visitante,MATCH($BH8&amp;BK$1,Jornada&amp;Equipo_local,0)),INDEX(Equipo_local,MATCH($BH8&amp;BK$1,Jornada&amp;Equipo_visitante,0)))</f>
        <v>Borussia Dortmund</v>
      </c>
      <c r="BL8" s="319" t="str" cm="1">
        <f t="array" ref="BL8">IFERROR(INDEX(Equipo_visitante,MATCH($BH8&amp;BL$1,Jornada&amp;Equipo_local,0)),INDEX(Equipo_local,MATCH($BH8&amp;BL$1,Jornada&amp;Equipo_visitante,0)))</f>
        <v>Bodø/Glimt</v>
      </c>
      <c r="BM8" s="319" t="str" cm="1">
        <f t="array" ref="BM8">IFERROR(INDEX(Equipo_visitante,MATCH($BH8&amp;BM$1,Jornada&amp;Equipo_local,0)),INDEX(Equipo_local,MATCH($BH8&amp;BM$1,Jornada&amp;Equipo_visitante,0)))</f>
        <v>Sporting Portugal</v>
      </c>
      <c r="BN8" s="319" t="str" cm="1">
        <f t="array" ref="BN8">IFERROR(INDEX(Equipo_visitante,MATCH($BH8&amp;BN$1,Jornada&amp;Equipo_local,0)),INDEX(Equipo_local,MATCH($BH8&amp;BN$1,Jornada&amp;Equipo_visitante,0)))</f>
        <v>Manchester United</v>
      </c>
      <c r="BO8" s="319" t="str" cm="1">
        <f t="array" ref="BO8">IFERROR(INDEX(Equipo_visitante,MATCH($BH8&amp;BO$1,Jornada&amp;Equipo_local,0)),INDEX(Equipo_local,MATCH($BH8&amp;BO$1,Jornada&amp;Equipo_visitante,0)))</f>
        <v>Arsenal</v>
      </c>
      <c r="BP8" s="319" t="str" cm="1">
        <f t="array" ref="BP8">IFERROR(INDEX(Equipo_visitante,MATCH($BH8&amp;BP$1,Jornada&amp;Equipo_local,0)),INDEX(Equipo_local,MATCH($BH8&amp;BP$1,Jornada&amp;Equipo_visitante,0)))</f>
        <v>Atlético Madrid</v>
      </c>
      <c r="BQ8" s="319" t="str" cm="1">
        <f t="array" ref="BQ8">IFERROR(INDEX(Equipo_visitante,MATCH($BH8&amp;BQ$1,Jornada&amp;Equipo_local,0)),INDEX(Equipo_local,MATCH($BH8&amp;BQ$1,Jornada&amp;Equipo_visitante,0)))</f>
        <v>Aston Villa</v>
      </c>
      <c r="BR8" s="319" t="str" cm="1">
        <f t="array" ref="BR8">IFERROR(INDEX(Equipo_visitante,MATCH($BH8&amp;BR$1,Jornada&amp;Equipo_local,0)),INDEX(Equipo_local,MATCH($BH8&amp;BR$1,Jornada&amp;Equipo_visitante,0)))</f>
        <v>Stuttgart</v>
      </c>
      <c r="BS8" s="319" t="str" cm="1">
        <f t="array" ref="BS8">IFERROR(INDEX(Equipo_visitante,MATCH($BH8&amp;BS$1,Jornada&amp;Equipo_local,0)),INDEX(Equipo_local,MATCH($BH8&amp;BS$1,Jornada&amp;Equipo_visitante,0)))</f>
        <v>PSG</v>
      </c>
      <c r="BT8" s="319" t="str" cm="1">
        <f t="array" ref="BT8">IFERROR(INDEX(Equipo_visitante,MATCH($BH8&amp;BT$1,Jornada&amp;Equipo_local,0)),INDEX(Equipo_local,MATCH($BH8&amp;BT$1,Jornada&amp;Equipo_visitante,0)))</f>
        <v>Villarreal</v>
      </c>
      <c r="BU8" s="319" t="str" cm="1">
        <f t="array" ref="BU8">IFERROR(INDEX(Equipo_visitante,MATCH($BH8&amp;BU$1,Jornada&amp;Equipo_local,0)),INDEX(Equipo_local,MATCH($BH8&amp;BU$1,Jornada&amp;Equipo_visitante,0)))</f>
        <v>Galatasaray</v>
      </c>
      <c r="BV8" s="319" t="str" cm="1">
        <f t="array" ref="BV8">IFERROR(INDEX(Equipo_visitante,MATCH($BH8&amp;BV$1,Jornada&amp;Equipo_local,0)),INDEX(Equipo_local,MATCH($BH8&amp;BV$1,Jornada&amp;Equipo_visitante,0)))</f>
        <v>Feyenoord</v>
      </c>
      <c r="BW8" s="319" t="str" cm="1">
        <f t="array" ref="BW8">IFERROR(INDEX(Equipo_visitante,MATCH($BH8&amp;BW$1,Jornada&amp;Equipo_local,0)),INDEX(Equipo_local,MATCH($BH8&amp;BW$1,Jornada&amp;Equipo_visitante,0)))</f>
        <v>Liverpool</v>
      </c>
      <c r="BX8" s="319" t="str" cm="1">
        <f t="array" ref="BX8">IFERROR(INDEX(Equipo_visitante,MATCH($BH8&amp;BX$1,Jornada&amp;Equipo_local,0)),INDEX(Equipo_local,MATCH($BH8&amp;BX$1,Jornada&amp;Equipo_visitante,0)))</f>
        <v>Real Madrid</v>
      </c>
      <c r="BY8" s="319" t="str" cm="1">
        <f t="array" ref="BY8">IFERROR(INDEX(Equipo_visitante,MATCH($BH8&amp;BY$1,Jornada&amp;Equipo_local,0)),INDEX(Equipo_local,MATCH($BH8&amp;BY$1,Jornada&amp;Equipo_visitante,0)))</f>
        <v>Shakhtar Donetsk</v>
      </c>
      <c r="BZ8" s="319" t="str" cm="1">
        <f t="array" ref="BZ8">IFERROR(INDEX(Equipo_visitante,MATCH($BH8&amp;BZ$1,Jornada&amp;Equipo_local,0)),INDEX(Equipo_local,MATCH($BH8&amp;BZ$1,Jornada&amp;Equipo_visitante,0)))</f>
        <v>Manchester City</v>
      </c>
      <c r="CA8" s="319" t="str" cm="1">
        <f t="array" ref="CA8">IFERROR(INDEX(Equipo_visitante,MATCH($BH8&amp;CA$1,Jornada&amp;Equipo_local,0)),INDEX(Equipo_local,MATCH($BH8&amp;CA$1,Jornada&amp;Equipo_visitante,0)))</f>
        <v>Slovan Bratislava </v>
      </c>
      <c r="CB8" s="319" t="str" cm="1">
        <f t="array" ref="CB8">IFERROR(INDEX(Equipo_visitante,MATCH($BH8&amp;CB$1,Jornada&amp;Equipo_local,0)),INDEX(Equipo_local,MATCH($BH8&amp;CB$1,Jornada&amp;Equipo_visitante,0)))</f>
        <v>Inter Milan</v>
      </c>
      <c r="CC8" s="319" t="str" cm="1">
        <f t="array" ref="CC8">IFERROR(INDEX(Equipo_visitante,MATCH($BH8&amp;CC$1,Jornada&amp;Equipo_local,0)),INDEX(Equipo_local,MATCH($BH8&amp;CC$1,Jornada&amp;Equipo_visitante,0)))</f>
        <v>Lens</v>
      </c>
      <c r="CD8" s="319" t="str" cm="1">
        <f t="array" ref="CD8">IFERROR(INDEX(Equipo_visitante,MATCH($BH8&amp;CD$1,Jornada&amp;Equipo_local,0)),INDEX(Equipo_local,MATCH($BH8&amp;CD$1,Jornada&amp;Equipo_visitante,0)))</f>
        <v>Bayern München</v>
      </c>
      <c r="CE8" s="319" t="str" cm="1">
        <f t="array" ref="CE8">IFERROR(INDEX(Equipo_visitante,MATCH($BH8&amp;CE$1,Jornada&amp;Equipo_local,0)),INDEX(Equipo_local,MATCH($BH8&amp;CE$1,Jornada&amp;Equipo_visitante,0)))</f>
        <v>Sabah</v>
      </c>
      <c r="CF8" s="319" t="str" cm="1">
        <f t="array" ref="CF8">IFERROR(INDEX(Equipo_visitante,MATCH($BH8&amp;CF$1,Jornada&amp;Equipo_local,0)),INDEX(Equipo_local,MATCH($BH8&amp;CF$1,Jornada&amp;Equipo_visitante,0)))</f>
        <v>Slavia Praha</v>
      </c>
      <c r="CG8" s="319" t="str" cm="1">
        <f t="array" ref="CG8">IFERROR(INDEX(Equipo_visitante,MATCH($BH8&amp;CG$1,Jornada&amp;Equipo_local,0)),INDEX(Equipo_local,MATCH($BH8&amp;CG$1,Jornada&amp;Equipo_visitante,0)))</f>
        <v>Como</v>
      </c>
      <c r="CH8" s="319" t="str" cm="1">
        <f t="array" ref="CH8">IFERROR(INDEX(Equipo_visitante,MATCH($BH8&amp;CH$1,Jornada&amp;Equipo_local,0)),INDEX(Equipo_local,MATCH($BH8&amp;CH$1,Jornada&amp;Equipo_visitante,0)))</f>
        <v>Viking</v>
      </c>
      <c r="CI8" s="319" t="str" cm="1">
        <f t="array" ref="CI8">IFERROR(INDEX(Equipo_visitante,MATCH($BH8&amp;CI$1,Jornada&amp;Equipo_local,0)),INDEX(Equipo_local,MATCH($BH8&amp;CI$1,Jornada&amp;Equipo_visitante,0)))</f>
        <v>LASK</v>
      </c>
      <c r="CJ8" s="319" t="str" cm="1">
        <f t="array" ref="CJ8">IFERROR(INDEX(Equipo_visitante,MATCH($BH8&amp;CJ$1,Jornada&amp;Equipo_local,0)),INDEX(Equipo_local,MATCH($BH8&amp;CJ$1,Jornada&amp;Equipo_visitante,0)))</f>
        <v>AEK</v>
      </c>
      <c r="CK8" s="319" t="str" cm="1">
        <f t="array" ref="CK8">IFERROR(INDEX(Equipo_visitante,MATCH($BH8&amp;CK$1,Jornada&amp;Equipo_local,0)),INDEX(Equipo_local,MATCH($BH8&amp;CK$1,Jornada&amp;Equipo_visitante,0)))</f>
        <v>Napoli</v>
      </c>
      <c r="CL8" s="319" t="str" cm="1">
        <f t="array" ref="CL8">IFERROR(INDEX(Equipo_visitante,MATCH($BH8&amp;CL$1,Jornada&amp;Equipo_local,0)),INDEX(Equipo_local,MATCH($BH8&amp;CL$1,Jornada&amp;Equipo_visitante,0)))</f>
        <v>Leipzig</v>
      </c>
      <c r="CM8" s="319" t="str" cm="1">
        <f t="array" ref="CM8">IFERROR(INDEX(Equipo_visitante,MATCH($BH8&amp;CM$1,Jornada&amp;Equipo_local,0)),INDEX(Equipo_local,MATCH($BH8&amp;CM$1,Jornada&amp;Equipo_visitante,0)))</f>
        <v>Porto</v>
      </c>
      <c r="CN8" s="319" t="str" cm="1">
        <f t="array" ref="CN8">IFERROR(INDEX(Equipo_visitante,MATCH($BH8&amp;CN$1,Jornada&amp;Equipo_local,0)),INDEX(Equipo_local,MATCH($BH8&amp;CN$1,Jornada&amp;Equipo_visitante,0)))</f>
        <v>Lille</v>
      </c>
      <c r="CO8" s="319" t="str" cm="1">
        <f t="array" ref="CO8">IFERROR(INDEX(Equipo_visitante,MATCH($BH8&amp;CO$1,Jornada&amp;Equipo_local,0)),INDEX(Equipo_local,MATCH($BH8&amp;CO$1,Jornada&amp;Equipo_visitante,0)))</f>
        <v>Barcelona</v>
      </c>
      <c r="CP8" s="319" t="str" cm="1">
        <f t="array" ref="CP8">IFERROR(INDEX(Equipo_visitante,MATCH($BH8&amp;CP$1,Jornada&amp;Equipo_local,0)),INDEX(Equipo_local,MATCH($BH8&amp;CP$1,Jornada&amp;Equipo_visitante,0)))</f>
        <v>Brugge</v>
      </c>
      <c r="CQ8" s="319" t="str" cm="1">
        <f t="array" ref="CQ8">IFERROR(INDEX(Equipo_visitante,MATCH($BH8&amp;CQ$1,Jornada&amp;Equipo_local,0)),INDEX(Equipo_local,MATCH($BH8&amp;CQ$1,Jornada&amp;Equipo_visitante,0)))</f>
        <v>PSV Eindhoven</v>
      </c>
      <c r="CR8" s="319" t="str" cm="1">
        <f t="array" ref="CR8">IFERROR(INDEX(Equipo_visitante,MATCH($BH8&amp;CR$1,Jornada&amp;Equipo_local,0)),INDEX(Equipo_local,MATCH($BH8&amp;CR$1,Jornada&amp;Equipo_visitante,0)))</f>
        <v>Fenerbahçe </v>
      </c>
      <c r="CS8" s="204"/>
      <c r="CT8" s="204"/>
      <c r="CU8" s="204"/>
      <c r="CV8" s="204"/>
    </row>
    <row r="9" spans="1:100" ht="17" customHeight="1">
      <c r="A9" s="206">
        <v>1</v>
      </c>
      <c r="B9" s="110">
        <f>Horarios!C9</f>
        <v>46274.78125</v>
      </c>
      <c r="C9" s="111">
        <f>Horarios!C9</f>
        <v>46274.78125</v>
      </c>
      <c r="D9" s="112" t="s">
        <v>694</v>
      </c>
      <c r="E9" s="207" t="e" cm="1" vm="18">
        <f t="array" ref="E9">badge_home</f>
        <v>#VALUE!</v>
      </c>
      <c r="F9" s="208"/>
      <c r="G9" s="84"/>
      <c r="H9" s="85"/>
      <c r="I9" s="209"/>
      <c r="J9" s="210" t="e" cm="1" vm="19">
        <f t="array" ref="J9">badge_away</f>
        <v>#VALUE!</v>
      </c>
      <c r="K9" s="211" t="s">
        <v>1029</v>
      </c>
      <c r="L9" s="129"/>
      <c r="M9" s="219"/>
      <c r="N9" s="51">
        <v>8</v>
      </c>
      <c r="O9" s="14" t="e" cm="1" vm="20">
        <f t="array" ref="O9">badge_away</f>
        <v>#VALUE!</v>
      </c>
      <c r="P9" s="15" t="str">
        <f>IFERROR(INDEX(Calcs!A$2:A$37,MATCH($N9,Calcs!$CJ$2:$CJ$37,0)),"")</f>
        <v>Bodø/Glimt</v>
      </c>
      <c r="Q9" s="20">
        <f>IFERROR(INDEX(Calcs!$B$2:$AB$37,MATCH($N9,Calcs!$CJ$2:$CJ$37,0),MATCH(Q$1,Calcs!$B$1:$AB$1,0)),"")</f>
        <v>0</v>
      </c>
      <c r="R9" s="21">
        <f>IFERROR(INDEX(Calcs!$B$2:$AB$37,MATCH($N9,Calcs!$CJ$2:$CJ$37,0),MATCH(R$1,Calcs!$B$1:$AB$1,0)),"")</f>
        <v>0</v>
      </c>
      <c r="S9" s="21">
        <f>IFERROR(INDEX(Calcs!$B$2:$AB$37,MATCH($N9,Calcs!$CJ$2:$CJ$37,0),MATCH(S$1,Calcs!$B$1:$AB$1,0)),"")</f>
        <v>0</v>
      </c>
      <c r="T9" s="21">
        <f>IFERROR(INDEX(Calcs!$B$2:$AB$37,MATCH($N9,Calcs!$CJ$2:$CJ$37,0),MATCH(T$1,Calcs!$B$1:$AB$1,0)),"")</f>
        <v>0</v>
      </c>
      <c r="U9" s="21">
        <f>IFERROR(INDEX(Calcs!$B$2:$AB$37,MATCH($N9,Calcs!$CJ$2:$CJ$37,0),MATCH(U$1,Calcs!$B$1:$AB$1,0)),"")</f>
        <v>0</v>
      </c>
      <c r="V9" s="21">
        <f>IFERROR(INDEX(Calcs!$B$2:$AB$37,MATCH($N9,Calcs!$CJ$2:$CJ$37,0),MATCH(V$1,Calcs!$B$1:$AB$1,0)),"")</f>
        <v>0</v>
      </c>
      <c r="W9" s="21">
        <f>IFERROR(INDEX(Calcs!$B$2:$AB$37,MATCH($N9,Calcs!$CJ$2:$CJ$37,0),MATCH(W$1,Calcs!$B$1:$AB$1,0)),"")</f>
        <v>0</v>
      </c>
      <c r="X9" s="18">
        <f>IFERROR(INDEX(Calcs!$B$2:$AB$37,MATCH($N9,Calcs!$CJ$2:$CJ$37,0),MATCH(X$1,Calcs!$B$1:$AB$1,0)),"")</f>
        <v>0</v>
      </c>
      <c r="Y9" s="20">
        <f>IFERROR(INDEX(Calcs!$B$2:$AB$37,MATCH($N9,Calcs!$CJ$2:$CJ$37,0),MATCH(Y$1,Calcs!$B$1:$AB$1,0)),"")</f>
        <v>0</v>
      </c>
      <c r="Z9" s="21">
        <f>IFERROR(INDEX(Calcs!$B$2:$AB$37,MATCH($N9,Calcs!$CJ$2:$CJ$37,0),MATCH(Z$1,Calcs!$B$1:$AB$1,0)),"")</f>
        <v>0</v>
      </c>
      <c r="AA9" s="21">
        <f>IFERROR(INDEX(Calcs!$B$2:$AB$37,MATCH($N9,Calcs!$CJ$2:$CJ$37,0),MATCH(AA$1,Calcs!$B$1:$AB$1,0)),"")</f>
        <v>0</v>
      </c>
      <c r="AB9" s="21">
        <f>IFERROR(INDEX(Calcs!$B$2:$AB$37,MATCH($N9,Calcs!$CJ$2:$CJ$37,0),MATCH(AB$1,Calcs!$B$1:$AB$1,0)),"")</f>
        <v>0</v>
      </c>
      <c r="AC9" s="21">
        <f>IFERROR(INDEX(Calcs!$B$2:$AB$37,MATCH($N9,Calcs!$CJ$2:$CJ$37,0),MATCH(AC$1,Calcs!$B$1:$AB$1,0)),"")</f>
        <v>0</v>
      </c>
      <c r="AD9" s="21">
        <f>IFERROR(INDEX(Calcs!$B$2:$AB$37,MATCH($N9,Calcs!$CJ$2:$CJ$37,0),MATCH(AD$1,Calcs!$B$1:$AB$1,0)),"")</f>
        <v>0</v>
      </c>
      <c r="AE9" s="21">
        <f>IFERROR(INDEX(Calcs!$B$2:$AB$37,MATCH($N9,Calcs!$CJ$2:$CJ$37,0),MATCH(AE$1,Calcs!$B$1:$AB$1,0)),"")</f>
        <v>0</v>
      </c>
      <c r="AF9" s="18">
        <f>IFERROR(INDEX(Calcs!$B$2:$AB$37,MATCH($N9,Calcs!$CJ$2:$CJ$37,0),MATCH(AF$1,Calcs!$B$1:$AB$1,0)),"")</f>
        <v>0</v>
      </c>
      <c r="AG9" s="20">
        <f>IFERROR(INDEX(Calcs!$B$2:$AB$37,MATCH($N9,Calcs!$CJ$2:$CJ$37,0),MATCH(AG$1,Calcs!$B$1:$AB$1,0)),"")</f>
        <v>0</v>
      </c>
      <c r="AH9" s="21">
        <f>IFERROR(INDEX(Calcs!$B$2:$AB$37,MATCH($N9,Calcs!$CJ$2:$CJ$37,0),MATCH(AH$1,Calcs!$B$1:$AB$1,0)),"")</f>
        <v>0</v>
      </c>
      <c r="AI9" s="21">
        <f>IFERROR(INDEX(Calcs!$B$2:$AB$37,MATCH($N9,Calcs!$CJ$2:$CJ$37,0),MATCH(AI$1,Calcs!$B$1:$AB$1,0)),"")</f>
        <v>0</v>
      </c>
      <c r="AJ9" s="21">
        <f>IFERROR(INDEX(Calcs!$B$2:$AB$37,MATCH($N9,Calcs!$CJ$2:$CJ$37,0),MATCH(AJ$1,Calcs!$B$1:$AB$1,0)),"")</f>
        <v>0</v>
      </c>
      <c r="AK9" s="21">
        <f>IFERROR(INDEX(Calcs!$B$2:$AB$37,MATCH($N9,Calcs!$CJ$2:$CJ$37,0),MATCH(AK$1,Calcs!$B$1:$AB$1,0)),"")</f>
        <v>0</v>
      </c>
      <c r="AL9" s="21">
        <f>IFERROR(INDEX(Calcs!$B$2:$AB$37,MATCH($N9,Calcs!$CJ$2:$CJ$37,0),MATCH(AL$1,Calcs!$B$1:$AB$1,0)),"")</f>
        <v>0</v>
      </c>
      <c r="AM9" s="21">
        <f>IFERROR(INDEX(Calcs!$B$2:$AB$37,MATCH($N9,Calcs!$CJ$2:$CJ$37,0),MATCH(AM$1,Calcs!$B$1:$AB$1,0)),"")</f>
        <v>0</v>
      </c>
      <c r="AN9" s="22">
        <f>IFERROR(INDEX(Calcs!$B$2:$AB$37,MATCH($N9,Calcs!$CJ$2:$CJ$37,0),MATCH(AN$1,Calcs!$B$1:$AB$1,0)),"")</f>
        <v>0</v>
      </c>
      <c r="AO9" s="21">
        <f>IFERROR(INDEX(Calcs!$B$2:$AB$37,MATCH($N9,Calcs!$CJ$2:$CJ$37,0),MATCH(AO$1,Calcs!$B$1:$AB$1,0)),"")</f>
        <v>0</v>
      </c>
      <c r="AP9" s="21">
        <f>IFERROR(INDEX(Calcs!$B$2:$AB$37,MATCH($N9,Calcs!$CJ$2:$CJ$37,0),MATCH(AP$1,Calcs!$B$1:$AB$1,0)),"")</f>
        <v>0</v>
      </c>
      <c r="AQ9" s="22">
        <f>IFERROR(INDEX(Calcs!$B$2:$AB$37,MATCH($N9,Calcs!$CJ$2:$CJ$37,0),MATCH(AQ$1,Calcs!$B$1:$AB$1,0)),"")</f>
        <v>0</v>
      </c>
      <c r="AR9" s="188"/>
      <c r="AS9" s="202" t="str">
        <f>INDEX(Calcs!A$2:A$37,MATCH($N9,Calcs!$CF$2:$CF$37,0))</f>
        <v>Bodø/Glimt</v>
      </c>
      <c r="AT9" s="98"/>
      <c r="AU9" s="191">
        <f>INDEX(Calcs!$BZ$2:$BZ$37,MATCH($AS9,Calcs!$A$2:$A$37,0))</f>
        <v>1</v>
      </c>
      <c r="AV9" s="191">
        <f t="shared" si="1"/>
        <v>36</v>
      </c>
      <c r="AW9" s="191" t="str">
        <f t="shared" si="2"/>
        <v>1.36</v>
      </c>
      <c r="AX9" s="191">
        <f ca="1"/>
        <v>8</v>
      </c>
      <c r="AY9" s="188"/>
      <c r="AZ9" s="212" t="str">
        <f>TablaEquipos[[#This Row],[Team]]</f>
        <v>Bodø/Glimt</v>
      </c>
      <c r="BA9" s="100"/>
      <c r="BB9" s="188"/>
      <c r="BC9" s="188"/>
      <c r="BD9" s="188"/>
      <c r="BE9" s="188"/>
      <c r="BF9" s="319" t="str">
        <f t="shared" si="0"/>
        <v>Pendiente</v>
      </c>
      <c r="BH9" s="321">
        <v>8</v>
      </c>
      <c r="BI9" s="319" t="str" cm="1">
        <f t="array" ref="BI9">IFERROR(INDEX(Equipo_visitante,MATCH($BH9&amp;BI$1,Jornada&amp;Equipo_local,0)),INDEX(Equipo_local,MATCH($BH9&amp;BI$1,Jornada&amp;Equipo_visitante,0)))</f>
        <v>Borussia Dortmund</v>
      </c>
      <c r="BJ9" s="319" t="str" cm="1">
        <f t="array" ref="BJ9">IFERROR(INDEX(Equipo_visitante,MATCH($BH9&amp;BJ$1,Jornada&amp;Equipo_local,0)),INDEX(Equipo_local,MATCH($BH9&amp;BJ$1,Jornada&amp;Equipo_visitante,0)))</f>
        <v>Sabah</v>
      </c>
      <c r="BK9" s="319" t="str" cm="1">
        <f t="array" ref="BK9">IFERROR(INDEX(Equipo_visitante,MATCH($BH9&amp;BK$1,Jornada&amp;Equipo_local,0)),INDEX(Equipo_local,MATCH($BH9&amp;BK$1,Jornada&amp;Equipo_visitante,0)))</f>
        <v>Slavia Praha</v>
      </c>
      <c r="BL9" s="319" t="str" cm="1">
        <f t="array" ref="BL9">IFERROR(INDEX(Equipo_visitante,MATCH($BH9&amp;BL$1,Jornada&amp;Equipo_local,0)),INDEX(Equipo_local,MATCH($BH9&amp;BL$1,Jornada&amp;Equipo_visitante,0)))</f>
        <v>Fenerbahçe </v>
      </c>
      <c r="BM9" s="319" t="str" cm="1">
        <f t="array" ref="BM9">IFERROR(INDEX(Equipo_visitante,MATCH($BH9&amp;BM$1,Jornada&amp;Equipo_local,0)),INDEX(Equipo_local,MATCH($BH9&amp;BM$1,Jornada&amp;Equipo_visitante,0)))</f>
        <v>Como</v>
      </c>
      <c r="BN9" s="319" t="str" cm="1">
        <f t="array" ref="BN9">IFERROR(INDEX(Equipo_visitante,MATCH($BH9&amp;BN$1,Jornada&amp;Equipo_local,0)),INDEX(Equipo_local,MATCH($BH9&amp;BN$1,Jornada&amp;Equipo_visitante,0)))</f>
        <v>Betis</v>
      </c>
      <c r="BO9" s="319" t="str" cm="1">
        <f t="array" ref="BO9">IFERROR(INDEX(Equipo_visitante,MATCH($BH9&amp;BO$1,Jornada&amp;Equipo_local,0)),INDEX(Equipo_local,MATCH($BH9&amp;BO$1,Jornada&amp;Equipo_visitante,0)))</f>
        <v>Bayern München</v>
      </c>
      <c r="BP9" s="319" t="str" cm="1">
        <f t="array" ref="BP9">IFERROR(INDEX(Equipo_visitante,MATCH($BH9&amp;BP$1,Jornada&amp;Equipo_local,0)),INDEX(Equipo_local,MATCH($BH9&amp;BP$1,Jornada&amp;Equipo_visitante,0)))</f>
        <v>Brugge</v>
      </c>
      <c r="BQ9" s="319" t="str" cm="1">
        <f t="array" ref="BQ9">IFERROR(INDEX(Equipo_visitante,MATCH($BH9&amp;BQ$1,Jornada&amp;Equipo_local,0)),INDEX(Equipo_local,MATCH($BH9&amp;BQ$1,Jornada&amp;Equipo_visitante,0)))</f>
        <v>AEK</v>
      </c>
      <c r="BR9" s="319" t="str" cm="1">
        <f t="array" ref="BR9">IFERROR(INDEX(Equipo_visitante,MATCH($BH9&amp;BR$1,Jornada&amp;Equipo_local,0)),INDEX(Equipo_local,MATCH($BH9&amp;BR$1,Jornada&amp;Equipo_visitante,0)))</f>
        <v>Bodø/Glimt</v>
      </c>
      <c r="BS9" s="319" t="str" cm="1">
        <f t="array" ref="BS9">IFERROR(INDEX(Equipo_visitante,MATCH($BH9&amp;BS$1,Jornada&amp;Equipo_local,0)),INDEX(Equipo_local,MATCH($BH9&amp;BS$1,Jornada&amp;Equipo_visitante,0)))</f>
        <v>Barcelona</v>
      </c>
      <c r="BT9" s="319" t="str" cm="1">
        <f t="array" ref="BT9">IFERROR(INDEX(Equipo_visitante,MATCH($BH9&amp;BT$1,Jornada&amp;Equipo_local,0)),INDEX(Equipo_local,MATCH($BH9&amp;BT$1,Jornada&amp;Equipo_visitante,0)))</f>
        <v>Atlético Madrid</v>
      </c>
      <c r="BU9" s="319" t="str" cm="1">
        <f t="array" ref="BU9">IFERROR(INDEX(Equipo_visitante,MATCH($BH9&amp;BU$1,Jornada&amp;Equipo_local,0)),INDEX(Equipo_local,MATCH($BH9&amp;BU$1,Jornada&amp;Equipo_visitante,0)))</f>
        <v>Leipzig</v>
      </c>
      <c r="BV9" s="319" t="str" cm="1">
        <f t="array" ref="BV9">IFERROR(INDEX(Equipo_visitante,MATCH($BH9&amp;BV$1,Jornada&amp;Equipo_local,0)),INDEX(Equipo_local,MATCH($BH9&amp;BV$1,Jornada&amp;Equipo_visitante,0)))</f>
        <v>PSG</v>
      </c>
      <c r="BW9" s="319" t="str" cm="1">
        <f t="array" ref="BW9">IFERROR(INDEX(Equipo_visitante,MATCH($BH9&amp;BW$1,Jornada&amp;Equipo_local,0)),INDEX(Equipo_local,MATCH($BH9&amp;BW$1,Jornada&amp;Equipo_visitante,0)))</f>
        <v>Slovan Bratislava </v>
      </c>
      <c r="BX9" s="319" t="str" cm="1">
        <f t="array" ref="BX9">IFERROR(INDEX(Equipo_visitante,MATCH($BH9&amp;BX$1,Jornada&amp;Equipo_local,0)),INDEX(Equipo_local,MATCH($BH9&amp;BX$1,Jornada&amp;Equipo_visitante,0)))</f>
        <v>Porto</v>
      </c>
      <c r="BY9" s="319" t="str" cm="1">
        <f t="array" ref="BY9">IFERROR(INDEX(Equipo_visitante,MATCH($BH9&amp;BY$1,Jornada&amp;Equipo_local,0)),INDEX(Equipo_local,MATCH($BH9&amp;BY$1,Jornada&amp;Equipo_visitante,0)))</f>
        <v>Feyenoord</v>
      </c>
      <c r="BZ9" s="319" t="str" cm="1">
        <f t="array" ref="BZ9">IFERROR(INDEX(Equipo_visitante,MATCH($BH9&amp;BZ$1,Jornada&amp;Equipo_local,0)),INDEX(Equipo_local,MATCH($BH9&amp;BZ$1,Jornada&amp;Equipo_visitante,0)))</f>
        <v>Liverpool</v>
      </c>
      <c r="CA9" s="319" t="str" cm="1">
        <f t="array" ref="CA9">IFERROR(INDEX(Equipo_visitante,MATCH($BH9&amp;CA$1,Jornada&amp;Equipo_local,0)),INDEX(Equipo_local,MATCH($BH9&amp;CA$1,Jornada&amp;Equipo_visitante,0)))</f>
        <v>Roma</v>
      </c>
      <c r="CB9" s="319" t="str" cm="1">
        <f t="array" ref="CB9">IFERROR(INDEX(Equipo_visitante,MATCH($BH9&amp;CB$1,Jornada&amp;Equipo_local,0)),INDEX(Equipo_local,MATCH($BH9&amp;CB$1,Jornada&amp;Equipo_visitante,0)))</f>
        <v>Lens</v>
      </c>
      <c r="CC9" s="319" t="str" cm="1">
        <f t="array" ref="CC9">IFERROR(INDEX(Equipo_visitante,MATCH($BH9&amp;CC$1,Jornada&amp;Equipo_local,0)),INDEX(Equipo_local,MATCH($BH9&amp;CC$1,Jornada&amp;Equipo_visitante,0)))</f>
        <v>Sporting Portugal</v>
      </c>
      <c r="CD9" s="319" t="str" cm="1">
        <f t="array" ref="CD9">IFERROR(INDEX(Equipo_visitante,MATCH($BH9&amp;CD$1,Jornada&amp;Equipo_local,0)),INDEX(Equipo_local,MATCH($BH9&amp;CD$1,Jornada&amp;Equipo_visitante,0)))</f>
        <v>Villarreal</v>
      </c>
      <c r="CE9" s="319" t="str" cm="1">
        <f t="array" ref="CE9">IFERROR(INDEX(Equipo_visitante,MATCH($BH9&amp;CE$1,Jornada&amp;Equipo_local,0)),INDEX(Equipo_local,MATCH($BH9&amp;CE$1,Jornada&amp;Equipo_visitante,0)))</f>
        <v>Viking</v>
      </c>
      <c r="CF9" s="319" t="str" cm="1">
        <f t="array" ref="CF9">IFERROR(INDEX(Equipo_visitante,MATCH($BH9&amp;CF$1,Jornada&amp;Equipo_local,0)),INDEX(Equipo_local,MATCH($BH9&amp;CF$1,Jornada&amp;Equipo_visitante,0)))</f>
        <v>LASK</v>
      </c>
      <c r="CG9" s="319" t="str" cm="1">
        <f t="array" ref="CG9">IFERROR(INDEX(Equipo_visitante,MATCH($BH9&amp;CG$1,Jornada&amp;Equipo_local,0)),INDEX(Equipo_local,MATCH($BH9&amp;CG$1,Jornada&amp;Equipo_visitante,0)))</f>
        <v>Galatasaray</v>
      </c>
      <c r="CH9" s="319" t="str" cm="1">
        <f t="array" ref="CH9">IFERROR(INDEX(Equipo_visitante,MATCH($BH9&amp;CH$1,Jornada&amp;Equipo_local,0)),INDEX(Equipo_local,MATCH($BH9&amp;CH$1,Jornada&amp;Equipo_visitante,0)))</f>
        <v>Stuttgart</v>
      </c>
      <c r="CI9" s="319" t="str" cm="1">
        <f t="array" ref="CI9">IFERROR(INDEX(Equipo_visitante,MATCH($BH9&amp;CI$1,Jornada&amp;Equipo_local,0)),INDEX(Equipo_local,MATCH($BH9&amp;CI$1,Jornada&amp;Equipo_visitante,0)))</f>
        <v>Shakhtar Donetsk</v>
      </c>
      <c r="CJ9" s="319" t="str" cm="1">
        <f t="array" ref="CJ9">IFERROR(INDEX(Equipo_visitante,MATCH($BH9&amp;CJ$1,Jornada&amp;Equipo_local,0)),INDEX(Equipo_local,MATCH($BH9&amp;CJ$1,Jornada&amp;Equipo_visitante,0)))</f>
        <v>Lille</v>
      </c>
      <c r="CK9" s="319" t="str" cm="1">
        <f t="array" ref="CK9">IFERROR(INDEX(Equipo_visitante,MATCH($BH9&amp;CK$1,Jornada&amp;Equipo_local,0)),INDEX(Equipo_local,MATCH($BH9&amp;CK$1,Jornada&amp;Equipo_visitante,0)))</f>
        <v>Arsenal</v>
      </c>
      <c r="CL9" s="319" t="str" cm="1">
        <f t="array" ref="CL9">IFERROR(INDEX(Equipo_visitante,MATCH($BH9&amp;CL$1,Jornada&amp;Equipo_local,0)),INDEX(Equipo_local,MATCH($BH9&amp;CL$1,Jornada&amp;Equipo_visitante,0)))</f>
        <v>Real Madrid</v>
      </c>
      <c r="CM9" s="319" t="str" cm="1">
        <f t="array" ref="CM9">IFERROR(INDEX(Equipo_visitante,MATCH($BH9&amp;CM$1,Jornada&amp;Equipo_local,0)),INDEX(Equipo_local,MATCH($BH9&amp;CM$1,Jornada&amp;Equipo_visitante,0)))</f>
        <v>Aston Villa</v>
      </c>
      <c r="CN9" s="319" t="str" cm="1">
        <f t="array" ref="CN9">IFERROR(INDEX(Equipo_visitante,MATCH($BH9&amp;CN$1,Jornada&amp;Equipo_local,0)),INDEX(Equipo_local,MATCH($BH9&amp;CN$1,Jornada&amp;Equipo_visitante,0)))</f>
        <v>Inter Milan</v>
      </c>
      <c r="CO9" s="319" t="str" cm="1">
        <f t="array" ref="CO9">IFERROR(INDEX(Equipo_visitante,MATCH($BH9&amp;CO$1,Jornada&amp;Equipo_local,0)),INDEX(Equipo_local,MATCH($BH9&amp;CO$1,Jornada&amp;Equipo_visitante,0)))</f>
        <v>Manchester City</v>
      </c>
      <c r="CP9" s="319" t="str" cm="1">
        <f t="array" ref="CP9">IFERROR(INDEX(Equipo_visitante,MATCH($BH9&amp;CP$1,Jornada&amp;Equipo_local,0)),INDEX(Equipo_local,MATCH($BH9&amp;CP$1,Jornada&amp;Equipo_visitante,0)))</f>
        <v>PSV Eindhoven</v>
      </c>
      <c r="CQ9" s="319" t="str" cm="1">
        <f t="array" ref="CQ9">IFERROR(INDEX(Equipo_visitante,MATCH($BH9&amp;CQ$1,Jornada&amp;Equipo_local,0)),INDEX(Equipo_local,MATCH($BH9&amp;CQ$1,Jornada&amp;Equipo_visitante,0)))</f>
        <v>Napoli</v>
      </c>
      <c r="CR9" s="319" t="str" cm="1">
        <f t="array" ref="CR9">IFERROR(INDEX(Equipo_visitante,MATCH($BH9&amp;CR$1,Jornada&amp;Equipo_local,0)),INDEX(Equipo_local,MATCH($BH9&amp;CR$1,Jornada&amp;Equipo_visitante,0)))</f>
        <v>Manchester United</v>
      </c>
      <c r="CS9" s="204"/>
      <c r="CT9" s="204"/>
      <c r="CU9" s="204"/>
      <c r="CV9" s="204"/>
    </row>
    <row r="10" spans="1:100" ht="17" customHeight="1">
      <c r="A10" s="213">
        <v>1</v>
      </c>
      <c r="B10" s="113">
        <f>Horarios!C10</f>
        <v>46274.875</v>
      </c>
      <c r="C10" s="114">
        <f>Horarios!C10</f>
        <v>46274.875</v>
      </c>
      <c r="D10" s="115" t="s">
        <v>739</v>
      </c>
      <c r="E10" s="214" t="e" cm="1" vm="21">
        <f t="array" ref="E10">badge_home</f>
        <v>#VALUE!</v>
      </c>
      <c r="F10" s="215"/>
      <c r="G10" s="86"/>
      <c r="H10" s="87"/>
      <c r="I10" s="216"/>
      <c r="J10" s="217" t="e" cm="1" vm="10">
        <f t="array" ref="J10">badge_away</f>
        <v>#VALUE!</v>
      </c>
      <c r="K10" s="132" t="s">
        <v>992</v>
      </c>
      <c r="L10" s="129"/>
      <c r="M10" s="188"/>
      <c r="N10" s="52">
        <v>9</v>
      </c>
      <c r="O10" s="25" t="e" cm="1" vm="6">
        <f t="array" ref="O10">badge_away</f>
        <v>#VALUE!</v>
      </c>
      <c r="P10" s="26" t="str">
        <f>IFERROR(INDEX(Calcs!A$2:A$37,MATCH($N10,Calcs!$CJ$2:$CJ$37,0)),"")</f>
        <v>Borussia Dortmund</v>
      </c>
      <c r="Q10" s="27">
        <f>IFERROR(INDEX(Calcs!$B$2:$AB$37,MATCH($N10,Calcs!$CJ$2:$CJ$37,0),MATCH(Q$1,Calcs!$B$1:$AB$1,0)),"")</f>
        <v>0</v>
      </c>
      <c r="R10" s="28">
        <f>IFERROR(INDEX(Calcs!$B$2:$AB$37,MATCH($N10,Calcs!$CJ$2:$CJ$37,0),MATCH(R$1,Calcs!$B$1:$AB$1,0)),"")</f>
        <v>0</v>
      </c>
      <c r="S10" s="28">
        <f>IFERROR(INDEX(Calcs!$B$2:$AB$37,MATCH($N10,Calcs!$CJ$2:$CJ$37,0),MATCH(S$1,Calcs!$B$1:$AB$1,0)),"")</f>
        <v>0</v>
      </c>
      <c r="T10" s="28">
        <f>IFERROR(INDEX(Calcs!$B$2:$AB$37,MATCH($N10,Calcs!$CJ$2:$CJ$37,0),MATCH(T$1,Calcs!$B$1:$AB$1,0)),"")</f>
        <v>0</v>
      </c>
      <c r="U10" s="28">
        <f>IFERROR(INDEX(Calcs!$B$2:$AB$37,MATCH($N10,Calcs!$CJ$2:$CJ$37,0),MATCH(U$1,Calcs!$B$1:$AB$1,0)),"")</f>
        <v>0</v>
      </c>
      <c r="V10" s="28">
        <f>IFERROR(INDEX(Calcs!$B$2:$AB$37,MATCH($N10,Calcs!$CJ$2:$CJ$37,0),MATCH(V$1,Calcs!$B$1:$AB$1,0)),"")</f>
        <v>0</v>
      </c>
      <c r="W10" s="28">
        <f>IFERROR(INDEX(Calcs!$B$2:$AB$37,MATCH($N10,Calcs!$CJ$2:$CJ$37,0),MATCH(W$1,Calcs!$B$1:$AB$1,0)),"")</f>
        <v>0</v>
      </c>
      <c r="X10" s="29">
        <f>IFERROR(INDEX(Calcs!$B$2:$AB$37,MATCH($N10,Calcs!$CJ$2:$CJ$37,0),MATCH(X$1,Calcs!$B$1:$AB$1,0)),"")</f>
        <v>0</v>
      </c>
      <c r="Y10" s="27">
        <f>IFERROR(INDEX(Calcs!$B$2:$AB$37,MATCH($N10,Calcs!$CJ$2:$CJ$37,0),MATCH(Y$1,Calcs!$B$1:$AB$1,0)),"")</f>
        <v>0</v>
      </c>
      <c r="Z10" s="28">
        <f>IFERROR(INDEX(Calcs!$B$2:$AB$37,MATCH($N10,Calcs!$CJ$2:$CJ$37,0),MATCH(Z$1,Calcs!$B$1:$AB$1,0)),"")</f>
        <v>0</v>
      </c>
      <c r="AA10" s="28">
        <f>IFERROR(INDEX(Calcs!$B$2:$AB$37,MATCH($N10,Calcs!$CJ$2:$CJ$37,0),MATCH(AA$1,Calcs!$B$1:$AB$1,0)),"")</f>
        <v>0</v>
      </c>
      <c r="AB10" s="28">
        <f>IFERROR(INDEX(Calcs!$B$2:$AB$37,MATCH($N10,Calcs!$CJ$2:$CJ$37,0),MATCH(AB$1,Calcs!$B$1:$AB$1,0)),"")</f>
        <v>0</v>
      </c>
      <c r="AC10" s="28">
        <f>IFERROR(INDEX(Calcs!$B$2:$AB$37,MATCH($N10,Calcs!$CJ$2:$CJ$37,0),MATCH(AC$1,Calcs!$B$1:$AB$1,0)),"")</f>
        <v>0</v>
      </c>
      <c r="AD10" s="28">
        <f>IFERROR(INDEX(Calcs!$B$2:$AB$37,MATCH($N10,Calcs!$CJ$2:$CJ$37,0),MATCH(AD$1,Calcs!$B$1:$AB$1,0)),"")</f>
        <v>0</v>
      </c>
      <c r="AE10" s="28">
        <f>IFERROR(INDEX(Calcs!$B$2:$AB$37,MATCH($N10,Calcs!$CJ$2:$CJ$37,0),MATCH(AE$1,Calcs!$B$1:$AB$1,0)),"")</f>
        <v>0</v>
      </c>
      <c r="AF10" s="29">
        <f>IFERROR(INDEX(Calcs!$B$2:$AB$37,MATCH($N10,Calcs!$CJ$2:$CJ$37,0),MATCH(AF$1,Calcs!$B$1:$AB$1,0)),"")</f>
        <v>0</v>
      </c>
      <c r="AG10" s="27">
        <f>IFERROR(INDEX(Calcs!$B$2:$AB$37,MATCH($N10,Calcs!$CJ$2:$CJ$37,0),MATCH(AG$1,Calcs!$B$1:$AB$1,0)),"")</f>
        <v>0</v>
      </c>
      <c r="AH10" s="28">
        <f>IFERROR(INDEX(Calcs!$B$2:$AB$37,MATCH($N10,Calcs!$CJ$2:$CJ$37,0),MATCH(AH$1,Calcs!$B$1:$AB$1,0)),"")</f>
        <v>0</v>
      </c>
      <c r="AI10" s="28">
        <f>IFERROR(INDEX(Calcs!$B$2:$AB$37,MATCH($N10,Calcs!$CJ$2:$CJ$37,0),MATCH(AI$1,Calcs!$B$1:$AB$1,0)),"")</f>
        <v>0</v>
      </c>
      <c r="AJ10" s="28">
        <f>IFERROR(INDEX(Calcs!$B$2:$AB$37,MATCH($N10,Calcs!$CJ$2:$CJ$37,0),MATCH(AJ$1,Calcs!$B$1:$AB$1,0)),"")</f>
        <v>0</v>
      </c>
      <c r="AK10" s="28">
        <f>IFERROR(INDEX(Calcs!$B$2:$AB$37,MATCH($N10,Calcs!$CJ$2:$CJ$37,0),MATCH(AK$1,Calcs!$B$1:$AB$1,0)),"")</f>
        <v>0</v>
      </c>
      <c r="AL10" s="28">
        <f>IFERROR(INDEX(Calcs!$B$2:$AB$37,MATCH($N10,Calcs!$CJ$2:$CJ$37,0),MATCH(AL$1,Calcs!$B$1:$AB$1,0)),"")</f>
        <v>0</v>
      </c>
      <c r="AM10" s="28">
        <f>IFERROR(INDEX(Calcs!$B$2:$AB$37,MATCH($N10,Calcs!$CJ$2:$CJ$37,0),MATCH(AM$1,Calcs!$B$1:$AB$1,0)),"")</f>
        <v>0</v>
      </c>
      <c r="AN10" s="30">
        <f>IFERROR(INDEX(Calcs!$B$2:$AB$37,MATCH($N10,Calcs!$CJ$2:$CJ$37,0),MATCH(AN$1,Calcs!$B$1:$AB$1,0)),"")</f>
        <v>0</v>
      </c>
      <c r="AO10" s="28">
        <f>IFERROR(INDEX(Calcs!$B$2:$AB$37,MATCH($N10,Calcs!$CJ$2:$CJ$37,0),MATCH(AO$1,Calcs!$B$1:$AB$1,0)),"")</f>
        <v>0</v>
      </c>
      <c r="AP10" s="28">
        <f>IFERROR(INDEX(Calcs!$B$2:$AB$37,MATCH($N10,Calcs!$CJ$2:$CJ$37,0),MATCH(AP$1,Calcs!$B$1:$AB$1,0)),"")</f>
        <v>0</v>
      </c>
      <c r="AQ10" s="30">
        <f>IFERROR(INDEX(Calcs!$B$2:$AB$37,MATCH($N10,Calcs!$CJ$2:$CJ$37,0),MATCH(AQ$1,Calcs!$B$1:$AB$1,0)),"")</f>
        <v>0</v>
      </c>
      <c r="AR10" s="188"/>
      <c r="AS10" s="202" t="str">
        <f>INDEX(Calcs!A$2:A$37,MATCH($N10,Calcs!$CF$2:$CF$37,0))</f>
        <v>Borussia Dortmund</v>
      </c>
      <c r="AT10" s="98"/>
      <c r="AU10" s="191">
        <f>INDEX(Calcs!$BZ$2:$BZ$37,MATCH($AS10,Calcs!$A$2:$A$37,0))</f>
        <v>1</v>
      </c>
      <c r="AV10" s="191">
        <f t="shared" si="1"/>
        <v>36</v>
      </c>
      <c r="AW10" s="191" t="str">
        <f t="shared" si="2"/>
        <v>1.36</v>
      </c>
      <c r="AX10" s="191">
        <f ca="1"/>
        <v>9</v>
      </c>
      <c r="AY10" s="188"/>
      <c r="AZ10" s="203" t="str">
        <f>TablaEquipos[[#This Row],[Team]]</f>
        <v>Borussia Dortmund</v>
      </c>
      <c r="BA10" s="99"/>
      <c r="BB10" s="188"/>
      <c r="BC10" s="188"/>
      <c r="BD10" s="188"/>
      <c r="BE10" s="188"/>
      <c r="BF10" s="319" t="str">
        <f t="shared" si="0"/>
        <v>Pendiente</v>
      </c>
      <c r="BH10" s="321" t="s">
        <v>18</v>
      </c>
      <c r="BI10" s="319">
        <f>SUMIF(Calcs!$A$2:$A$37,League!BI2,Calcs!$I$2:$I$37)-INDEX($BA$2:$BA$37,MATCH(BI2,$AZ$2:$AZ$37,0))</f>
        <v>0</v>
      </c>
      <c r="BJ10" s="319">
        <f>SUMIF(Calcs!$A$2:$A$37,League!BJ2,Calcs!$I$2:$I$37)-INDEX($BA$2:$BA$37,MATCH(BJ2,$AZ$2:$AZ$37,0))</f>
        <v>0</v>
      </c>
      <c r="BK10" s="319">
        <f>SUMIF(Calcs!$A$2:$A$37,League!BK2,Calcs!$I$2:$I$37)-INDEX($BA$2:$BA$37,MATCH(BK2,$AZ$2:$AZ$37,0))</f>
        <v>0</v>
      </c>
      <c r="BL10" s="319">
        <f>SUMIF(Calcs!$A$2:$A$37,League!BL2,Calcs!$I$2:$I$37)-INDEX($BA$2:$BA$37,MATCH(BL2,$AZ$2:$AZ$37,0))</f>
        <v>0</v>
      </c>
      <c r="BM10" s="319">
        <f>SUMIF(Calcs!$A$2:$A$37,League!BM2,Calcs!$I$2:$I$37)-INDEX($BA$2:$BA$37,MATCH(BM2,$AZ$2:$AZ$37,0))</f>
        <v>0</v>
      </c>
      <c r="BN10" s="319">
        <f>SUMIF(Calcs!$A$2:$A$37,League!BN2,Calcs!$I$2:$I$37)-INDEX($BA$2:$BA$37,MATCH(BN2,$AZ$2:$AZ$37,0))</f>
        <v>0</v>
      </c>
      <c r="BO10" s="319">
        <f>SUMIF(Calcs!$A$2:$A$37,League!BO2,Calcs!$I$2:$I$37)-INDEX($BA$2:$BA$37,MATCH(BO2,$AZ$2:$AZ$37,0))</f>
        <v>0</v>
      </c>
      <c r="BP10" s="319">
        <f>SUMIF(Calcs!$A$2:$A$37,League!BP2,Calcs!$I$2:$I$37)-INDEX($BA$2:$BA$37,MATCH(BP2,$AZ$2:$AZ$37,0))</f>
        <v>0</v>
      </c>
      <c r="BQ10" s="319">
        <f>SUMIF(Calcs!$A$2:$A$37,League!BQ2,Calcs!$I$2:$I$37)-INDEX($BA$2:$BA$37,MATCH(BQ2,$AZ$2:$AZ$37,0))</f>
        <v>0</v>
      </c>
      <c r="BR10" s="319">
        <f>SUMIF(Calcs!$A$2:$A$37,League!BR2,Calcs!$I$2:$I$37)-INDEX($BA$2:$BA$37,MATCH(BR2,$AZ$2:$AZ$37,0))</f>
        <v>0</v>
      </c>
      <c r="BS10" s="319">
        <f>SUMIF(Calcs!$A$2:$A$37,League!BS2,Calcs!$I$2:$I$37)-INDEX($BA$2:$BA$37,MATCH(BS2,$AZ$2:$AZ$37,0))</f>
        <v>0</v>
      </c>
      <c r="BT10" s="319">
        <f>SUMIF(Calcs!$A$2:$A$37,League!BT2,Calcs!$I$2:$I$37)-INDEX($BA$2:$BA$37,MATCH(BT2,$AZ$2:$AZ$37,0))</f>
        <v>0</v>
      </c>
      <c r="BU10" s="319">
        <f>SUMIF(Calcs!$A$2:$A$37,League!BU2,Calcs!$I$2:$I$37)-INDEX($BA$2:$BA$37,MATCH(BU2,$AZ$2:$AZ$37,0))</f>
        <v>0</v>
      </c>
      <c r="BV10" s="319">
        <f>SUMIF(Calcs!$A$2:$A$37,League!BV2,Calcs!$I$2:$I$37)-INDEX($BA$2:$BA$37,MATCH(BV2,$AZ$2:$AZ$37,0))</f>
        <v>0</v>
      </c>
      <c r="BW10" s="319">
        <f>SUMIF(Calcs!$A$2:$A$37,League!BW2,Calcs!$I$2:$I$37)-INDEX($BA$2:$BA$37,MATCH(BW2,$AZ$2:$AZ$37,0))</f>
        <v>0</v>
      </c>
      <c r="BX10" s="319">
        <f>SUMIF(Calcs!$A$2:$A$37,League!BX2,Calcs!$I$2:$I$37)-INDEX($BA$2:$BA$37,MATCH(BX2,$AZ$2:$AZ$37,0))</f>
        <v>0</v>
      </c>
      <c r="BY10" s="319">
        <f>SUMIF(Calcs!$A$2:$A$37,League!BY2,Calcs!$I$2:$I$37)-INDEX($BA$2:$BA$37,MATCH(BY2,$AZ$2:$AZ$37,0))</f>
        <v>0</v>
      </c>
      <c r="BZ10" s="319">
        <f>SUMIF(Calcs!$A$2:$A$37,League!BZ2,Calcs!$I$2:$I$37)-INDEX($BA$2:$BA$37,MATCH(BZ2,$AZ$2:$AZ$37,0))</f>
        <v>0</v>
      </c>
      <c r="CA10" s="319">
        <f>SUMIF(Calcs!$A$2:$A$37,League!CA2,Calcs!$I$2:$I$37)-INDEX($BA$2:$BA$37,MATCH(CA2,$AZ$2:$AZ$37,0))</f>
        <v>0</v>
      </c>
      <c r="CB10" s="319">
        <f>SUMIF(Calcs!$A$2:$A$37,League!CB2,Calcs!$I$2:$I$37)-INDEX($BA$2:$BA$37,MATCH(CB2,$AZ$2:$AZ$37,0))</f>
        <v>0</v>
      </c>
      <c r="CC10" s="319">
        <f>SUMIF(Calcs!$A$2:$A$37,League!CC2,Calcs!$I$2:$I$37)-INDEX($BA$2:$BA$37,MATCH(CC2,$AZ$2:$AZ$37,0))</f>
        <v>0</v>
      </c>
      <c r="CD10" s="319">
        <f>SUMIF(Calcs!$A$2:$A$37,League!CD2,Calcs!$I$2:$I$37)-INDEX($BA$2:$BA$37,MATCH(CD2,$AZ$2:$AZ$37,0))</f>
        <v>0</v>
      </c>
      <c r="CE10" s="319">
        <f>SUMIF(Calcs!$A$2:$A$37,League!CE2,Calcs!$I$2:$I$37)-INDEX($BA$2:$BA$37,MATCH(CE2,$AZ$2:$AZ$37,0))</f>
        <v>0</v>
      </c>
      <c r="CF10" s="319">
        <f>SUMIF(Calcs!$A$2:$A$37,League!CF2,Calcs!$I$2:$I$37)-INDEX($BA$2:$BA$37,MATCH(CF2,$AZ$2:$AZ$37,0))</f>
        <v>0</v>
      </c>
      <c r="CG10" s="319">
        <f>SUMIF(Calcs!$A$2:$A$37,League!CG2,Calcs!$I$2:$I$37)-INDEX($BA$2:$BA$37,MATCH(CG2,$AZ$2:$AZ$37,0))</f>
        <v>0</v>
      </c>
      <c r="CH10" s="319">
        <f>SUMIF(Calcs!$A$2:$A$37,League!CH2,Calcs!$I$2:$I$37)-INDEX($BA$2:$BA$37,MATCH(CH2,$AZ$2:$AZ$37,0))</f>
        <v>0</v>
      </c>
      <c r="CI10" s="319">
        <f>SUMIF(Calcs!$A$2:$A$37,League!CI2,Calcs!$I$2:$I$37)-INDEX($BA$2:$BA$37,MATCH(CI2,$AZ$2:$AZ$37,0))</f>
        <v>0</v>
      </c>
      <c r="CJ10" s="319">
        <f>SUMIF(Calcs!$A$2:$A$37,League!CJ2,Calcs!$I$2:$I$37)-INDEX($BA$2:$BA$37,MATCH(CJ2,$AZ$2:$AZ$37,0))</f>
        <v>0</v>
      </c>
      <c r="CK10" s="319">
        <f>SUMIF(Calcs!$A$2:$A$37,League!CK2,Calcs!$I$2:$I$37)-INDEX($BA$2:$BA$37,MATCH(CK2,$AZ$2:$AZ$37,0))</f>
        <v>0</v>
      </c>
      <c r="CL10" s="319">
        <f>SUMIF(Calcs!$A$2:$A$37,League!CL2,Calcs!$I$2:$I$37)-INDEX($BA$2:$BA$37,MATCH(CL2,$AZ$2:$AZ$37,0))</f>
        <v>0</v>
      </c>
      <c r="CM10" s="319">
        <f>SUMIF(Calcs!$A$2:$A$37,League!CM2,Calcs!$I$2:$I$37)-INDEX($BA$2:$BA$37,MATCH(CM2,$AZ$2:$AZ$37,0))</f>
        <v>0</v>
      </c>
      <c r="CN10" s="319">
        <f>SUMIF(Calcs!$A$2:$A$37,League!CN2,Calcs!$I$2:$I$37)-INDEX($BA$2:$BA$37,MATCH(CN2,$AZ$2:$AZ$37,0))</f>
        <v>0</v>
      </c>
      <c r="CO10" s="319">
        <f>SUMIF(Calcs!$A$2:$A$37,League!CO2,Calcs!$I$2:$I$37)-INDEX($BA$2:$BA$37,MATCH(CO2,$AZ$2:$AZ$37,0))</f>
        <v>0</v>
      </c>
      <c r="CP10" s="319">
        <f>SUMIF(Calcs!$A$2:$A$37,League!CP2,Calcs!$I$2:$I$37)-INDEX($BA$2:$BA$37,MATCH(CP2,$AZ$2:$AZ$37,0))</f>
        <v>0</v>
      </c>
      <c r="CQ10" s="319">
        <f>SUMIF(Calcs!$A$2:$A$37,League!CQ2,Calcs!$I$2:$I$37)-INDEX($BA$2:$BA$37,MATCH(CQ2,$AZ$2:$AZ$37,0))</f>
        <v>0</v>
      </c>
      <c r="CR10" s="319">
        <f>SUMIF(Calcs!$A$2:$A$37,League!CR2,Calcs!$I$2:$I$37)-INDEX($BA$2:$BA$37,MATCH(CR2,$AZ$2:$AZ$37,0))</f>
        <v>0</v>
      </c>
      <c r="CS10" s="204"/>
      <c r="CT10" s="204"/>
      <c r="CU10" s="204"/>
      <c r="CV10" s="204"/>
    </row>
    <row r="11" spans="1:100" ht="17" customHeight="1">
      <c r="A11" s="206">
        <v>1</v>
      </c>
      <c r="B11" s="110">
        <f>Horarios!C11</f>
        <v>46274.875</v>
      </c>
      <c r="C11" s="111">
        <f>Horarios!C11</f>
        <v>46274.875</v>
      </c>
      <c r="D11" s="112" t="s">
        <v>698</v>
      </c>
      <c r="E11" s="207" t="e" cm="1" vm="22">
        <f t="array" ref="E11">badge_home</f>
        <v>#VALUE!</v>
      </c>
      <c r="F11" s="208"/>
      <c r="G11" s="84"/>
      <c r="H11" s="85"/>
      <c r="I11" s="209"/>
      <c r="J11" s="210" t="e" cm="1" vm="23">
        <f t="array" ref="J11">badge_away</f>
        <v>#VALUE!</v>
      </c>
      <c r="K11" s="211" t="s">
        <v>1027</v>
      </c>
      <c r="L11" s="129"/>
      <c r="M11" s="188"/>
      <c r="N11" s="52">
        <v>10</v>
      </c>
      <c r="O11" s="25" t="e" cm="1" vm="3">
        <f t="array" ref="O11">badge_away</f>
        <v>#VALUE!</v>
      </c>
      <c r="P11" s="26" t="str">
        <f>IFERROR(INDEX(Calcs!A$2:A$37,MATCH($N11,Calcs!$CJ$2:$CJ$37,0)),"")</f>
        <v>Brugge</v>
      </c>
      <c r="Q11" s="27">
        <f>IFERROR(INDEX(Calcs!$B$2:$AB$37,MATCH($N11,Calcs!$CJ$2:$CJ$37,0),MATCH(Q$1,Calcs!$B$1:$AB$1,0)),"")</f>
        <v>0</v>
      </c>
      <c r="R11" s="28">
        <f>IFERROR(INDEX(Calcs!$B$2:$AB$37,MATCH($N11,Calcs!$CJ$2:$CJ$37,0),MATCH(R$1,Calcs!$B$1:$AB$1,0)),"")</f>
        <v>0</v>
      </c>
      <c r="S11" s="28">
        <f>IFERROR(INDEX(Calcs!$B$2:$AB$37,MATCH($N11,Calcs!$CJ$2:$CJ$37,0),MATCH(S$1,Calcs!$B$1:$AB$1,0)),"")</f>
        <v>0</v>
      </c>
      <c r="T11" s="28">
        <f>IFERROR(INDEX(Calcs!$B$2:$AB$37,MATCH($N11,Calcs!$CJ$2:$CJ$37,0),MATCH(T$1,Calcs!$B$1:$AB$1,0)),"")</f>
        <v>0</v>
      </c>
      <c r="U11" s="28">
        <f>IFERROR(INDEX(Calcs!$B$2:$AB$37,MATCH($N11,Calcs!$CJ$2:$CJ$37,0),MATCH(U$1,Calcs!$B$1:$AB$1,0)),"")</f>
        <v>0</v>
      </c>
      <c r="V11" s="28">
        <f>IFERROR(INDEX(Calcs!$B$2:$AB$37,MATCH($N11,Calcs!$CJ$2:$CJ$37,0),MATCH(V$1,Calcs!$B$1:$AB$1,0)),"")</f>
        <v>0</v>
      </c>
      <c r="W11" s="28">
        <f>IFERROR(INDEX(Calcs!$B$2:$AB$37,MATCH($N11,Calcs!$CJ$2:$CJ$37,0),MATCH(W$1,Calcs!$B$1:$AB$1,0)),"")</f>
        <v>0</v>
      </c>
      <c r="X11" s="29">
        <f>IFERROR(INDEX(Calcs!$B$2:$AB$37,MATCH($N11,Calcs!$CJ$2:$CJ$37,0),MATCH(X$1,Calcs!$B$1:$AB$1,0)),"")</f>
        <v>0</v>
      </c>
      <c r="Y11" s="27">
        <f>IFERROR(INDEX(Calcs!$B$2:$AB$37,MATCH($N11,Calcs!$CJ$2:$CJ$37,0),MATCH(Y$1,Calcs!$B$1:$AB$1,0)),"")</f>
        <v>0</v>
      </c>
      <c r="Z11" s="28">
        <f>IFERROR(INDEX(Calcs!$B$2:$AB$37,MATCH($N11,Calcs!$CJ$2:$CJ$37,0),MATCH(Z$1,Calcs!$B$1:$AB$1,0)),"")</f>
        <v>0</v>
      </c>
      <c r="AA11" s="28">
        <f>IFERROR(INDEX(Calcs!$B$2:$AB$37,MATCH($N11,Calcs!$CJ$2:$CJ$37,0),MATCH(AA$1,Calcs!$B$1:$AB$1,0)),"")</f>
        <v>0</v>
      </c>
      <c r="AB11" s="28">
        <f>IFERROR(INDEX(Calcs!$B$2:$AB$37,MATCH($N11,Calcs!$CJ$2:$CJ$37,0),MATCH(AB$1,Calcs!$B$1:$AB$1,0)),"")</f>
        <v>0</v>
      </c>
      <c r="AC11" s="28">
        <f>IFERROR(INDEX(Calcs!$B$2:$AB$37,MATCH($N11,Calcs!$CJ$2:$CJ$37,0),MATCH(AC$1,Calcs!$B$1:$AB$1,0)),"")</f>
        <v>0</v>
      </c>
      <c r="AD11" s="28">
        <f>IFERROR(INDEX(Calcs!$B$2:$AB$37,MATCH($N11,Calcs!$CJ$2:$CJ$37,0),MATCH(AD$1,Calcs!$B$1:$AB$1,0)),"")</f>
        <v>0</v>
      </c>
      <c r="AE11" s="28">
        <f>IFERROR(INDEX(Calcs!$B$2:$AB$37,MATCH($N11,Calcs!$CJ$2:$CJ$37,0),MATCH(AE$1,Calcs!$B$1:$AB$1,0)),"")</f>
        <v>0</v>
      </c>
      <c r="AF11" s="29">
        <f>IFERROR(INDEX(Calcs!$B$2:$AB$37,MATCH($N11,Calcs!$CJ$2:$CJ$37,0),MATCH(AF$1,Calcs!$B$1:$AB$1,0)),"")</f>
        <v>0</v>
      </c>
      <c r="AG11" s="27">
        <f>IFERROR(INDEX(Calcs!$B$2:$AB$37,MATCH($N11,Calcs!$CJ$2:$CJ$37,0),MATCH(AG$1,Calcs!$B$1:$AB$1,0)),"")</f>
        <v>0</v>
      </c>
      <c r="AH11" s="28">
        <f>IFERROR(INDEX(Calcs!$B$2:$AB$37,MATCH($N11,Calcs!$CJ$2:$CJ$37,0),MATCH(AH$1,Calcs!$B$1:$AB$1,0)),"")</f>
        <v>0</v>
      </c>
      <c r="AI11" s="28">
        <f>IFERROR(INDEX(Calcs!$B$2:$AB$37,MATCH($N11,Calcs!$CJ$2:$CJ$37,0),MATCH(AI$1,Calcs!$B$1:$AB$1,0)),"")</f>
        <v>0</v>
      </c>
      <c r="AJ11" s="28">
        <f>IFERROR(INDEX(Calcs!$B$2:$AB$37,MATCH($N11,Calcs!$CJ$2:$CJ$37,0),MATCH(AJ$1,Calcs!$B$1:$AB$1,0)),"")</f>
        <v>0</v>
      </c>
      <c r="AK11" s="28">
        <f>IFERROR(INDEX(Calcs!$B$2:$AB$37,MATCH($N11,Calcs!$CJ$2:$CJ$37,0),MATCH(AK$1,Calcs!$B$1:$AB$1,0)),"")</f>
        <v>0</v>
      </c>
      <c r="AL11" s="28">
        <f>IFERROR(INDEX(Calcs!$B$2:$AB$37,MATCH($N11,Calcs!$CJ$2:$CJ$37,0),MATCH(AL$1,Calcs!$B$1:$AB$1,0)),"")</f>
        <v>0</v>
      </c>
      <c r="AM11" s="28">
        <f>IFERROR(INDEX(Calcs!$B$2:$AB$37,MATCH($N11,Calcs!$CJ$2:$CJ$37,0),MATCH(AM$1,Calcs!$B$1:$AB$1,0)),"")</f>
        <v>0</v>
      </c>
      <c r="AN11" s="30">
        <f>IFERROR(INDEX(Calcs!$B$2:$AB$37,MATCH($N11,Calcs!$CJ$2:$CJ$37,0),MATCH(AN$1,Calcs!$B$1:$AB$1,0)),"")</f>
        <v>0</v>
      </c>
      <c r="AO11" s="28">
        <f>IFERROR(INDEX(Calcs!$B$2:$AB$37,MATCH($N11,Calcs!$CJ$2:$CJ$37,0),MATCH(AO$1,Calcs!$B$1:$AB$1,0)),"")</f>
        <v>0</v>
      </c>
      <c r="AP11" s="28">
        <f>IFERROR(INDEX(Calcs!$B$2:$AB$37,MATCH($N11,Calcs!$CJ$2:$CJ$37,0),MATCH(AP$1,Calcs!$B$1:$AB$1,0)),"")</f>
        <v>0</v>
      </c>
      <c r="AQ11" s="30">
        <f>IFERROR(INDEX(Calcs!$B$2:$AB$37,MATCH($N11,Calcs!$CJ$2:$CJ$37,0),MATCH(AQ$1,Calcs!$B$1:$AB$1,0)),"")</f>
        <v>0</v>
      </c>
      <c r="AR11" s="188"/>
      <c r="AS11" s="202" t="str">
        <f>INDEX(Calcs!A$2:A$37,MATCH($N11,Calcs!$CF$2:$CF$37,0))</f>
        <v>Brugge</v>
      </c>
      <c r="AT11" s="98"/>
      <c r="AU11" s="191">
        <f>INDEX(Calcs!$BZ$2:$BZ$37,MATCH($AS11,Calcs!$A$2:$A$37,0))</f>
        <v>1</v>
      </c>
      <c r="AV11" s="191">
        <f t="shared" si="1"/>
        <v>36</v>
      </c>
      <c r="AW11" s="191" t="str">
        <f t="shared" si="2"/>
        <v>1.36</v>
      </c>
      <c r="AX11" s="191">
        <f ca="1"/>
        <v>10</v>
      </c>
      <c r="AY11" s="188"/>
      <c r="AZ11" s="212" t="str">
        <f>TablaEquipos[[#This Row],[Team]]</f>
        <v>Brugge</v>
      </c>
      <c r="BA11" s="100"/>
      <c r="BB11" s="188"/>
      <c r="BC11" s="188"/>
      <c r="BD11" s="188"/>
      <c r="BE11" s="188"/>
      <c r="BF11" s="319" t="str">
        <f t="shared" si="0"/>
        <v>Pendiente</v>
      </c>
      <c r="BI11" s="319">
        <f>SUMIF(Calcs!$A$2:$A$37,League!BI3,Calcs!$I$2:$I$37)-INDEX($BA$2:$BA$37,MATCH(BI3,$AZ$2:$AZ$37,0))</f>
        <v>0</v>
      </c>
      <c r="BJ11" s="319">
        <f>SUMIF(Calcs!$A$2:$A$37,League!BJ3,Calcs!$I$2:$I$37)-INDEX($BA$2:$BA$37,MATCH(BJ3,$AZ$2:$AZ$37,0))</f>
        <v>0</v>
      </c>
      <c r="BK11" s="319">
        <f>SUMIF(Calcs!$A$2:$A$37,League!BK3,Calcs!$I$2:$I$37)-INDEX($BA$2:$BA$37,MATCH(BK3,$AZ$2:$AZ$37,0))</f>
        <v>0</v>
      </c>
      <c r="BL11" s="319">
        <f>SUMIF(Calcs!$A$2:$A$37,League!BL3,Calcs!$I$2:$I$37)-INDEX($BA$2:$BA$37,MATCH(BL3,$AZ$2:$AZ$37,0))</f>
        <v>0</v>
      </c>
      <c r="BM11" s="319">
        <f>SUMIF(Calcs!$A$2:$A$37,League!BM3,Calcs!$I$2:$I$37)-INDEX($BA$2:$BA$37,MATCH(BM3,$AZ$2:$AZ$37,0))</f>
        <v>0</v>
      </c>
      <c r="BN11" s="319">
        <f>SUMIF(Calcs!$A$2:$A$37,League!BN3,Calcs!$I$2:$I$37)-INDEX($BA$2:$BA$37,MATCH(BN3,$AZ$2:$AZ$37,0))</f>
        <v>0</v>
      </c>
      <c r="BO11" s="319">
        <f>SUMIF(Calcs!$A$2:$A$37,League!BO3,Calcs!$I$2:$I$37)-INDEX($BA$2:$BA$37,MATCH(BO3,$AZ$2:$AZ$37,0))</f>
        <v>0</v>
      </c>
      <c r="BP11" s="319">
        <f>SUMIF(Calcs!$A$2:$A$37,League!BP3,Calcs!$I$2:$I$37)-INDEX($BA$2:$BA$37,MATCH(BP3,$AZ$2:$AZ$37,0))</f>
        <v>0</v>
      </c>
      <c r="BQ11" s="319">
        <f>SUMIF(Calcs!$A$2:$A$37,League!BQ3,Calcs!$I$2:$I$37)-INDEX($BA$2:$BA$37,MATCH(BQ3,$AZ$2:$AZ$37,0))</f>
        <v>0</v>
      </c>
      <c r="BR11" s="319">
        <f>SUMIF(Calcs!$A$2:$A$37,League!BR3,Calcs!$I$2:$I$37)-INDEX($BA$2:$BA$37,MATCH(BR3,$AZ$2:$AZ$37,0))</f>
        <v>0</v>
      </c>
      <c r="BS11" s="319">
        <f>SUMIF(Calcs!$A$2:$A$37,League!BS3,Calcs!$I$2:$I$37)-INDEX($BA$2:$BA$37,MATCH(BS3,$AZ$2:$AZ$37,0))</f>
        <v>0</v>
      </c>
      <c r="BT11" s="319">
        <f>SUMIF(Calcs!$A$2:$A$37,League!BT3,Calcs!$I$2:$I$37)-INDEX($BA$2:$BA$37,MATCH(BT3,$AZ$2:$AZ$37,0))</f>
        <v>0</v>
      </c>
      <c r="BU11" s="319">
        <f>SUMIF(Calcs!$A$2:$A$37,League!BU3,Calcs!$I$2:$I$37)-INDEX($BA$2:$BA$37,MATCH(BU3,$AZ$2:$AZ$37,0))</f>
        <v>0</v>
      </c>
      <c r="BV11" s="319">
        <f>SUMIF(Calcs!$A$2:$A$37,League!BV3,Calcs!$I$2:$I$37)-INDEX($BA$2:$BA$37,MATCH(BV3,$AZ$2:$AZ$37,0))</f>
        <v>0</v>
      </c>
      <c r="BW11" s="319">
        <f>SUMIF(Calcs!$A$2:$A$37,League!BW3,Calcs!$I$2:$I$37)-INDEX($BA$2:$BA$37,MATCH(BW3,$AZ$2:$AZ$37,0))</f>
        <v>0</v>
      </c>
      <c r="BX11" s="319">
        <f>SUMIF(Calcs!$A$2:$A$37,League!BX3,Calcs!$I$2:$I$37)-INDEX($BA$2:$BA$37,MATCH(BX3,$AZ$2:$AZ$37,0))</f>
        <v>0</v>
      </c>
      <c r="BY11" s="319">
        <f>SUMIF(Calcs!$A$2:$A$37,League!BY3,Calcs!$I$2:$I$37)-INDEX($BA$2:$BA$37,MATCH(BY3,$AZ$2:$AZ$37,0))</f>
        <v>0</v>
      </c>
      <c r="BZ11" s="319">
        <f>SUMIF(Calcs!$A$2:$A$37,League!BZ3,Calcs!$I$2:$I$37)-INDEX($BA$2:$BA$37,MATCH(BZ3,$AZ$2:$AZ$37,0))</f>
        <v>0</v>
      </c>
      <c r="CA11" s="319">
        <f>SUMIF(Calcs!$A$2:$A$37,League!CA3,Calcs!$I$2:$I$37)-INDEX($BA$2:$BA$37,MATCH(CA3,$AZ$2:$AZ$37,0))</f>
        <v>0</v>
      </c>
      <c r="CB11" s="319">
        <f>SUMIF(Calcs!$A$2:$A$37,League!CB3,Calcs!$I$2:$I$37)-INDEX($BA$2:$BA$37,MATCH(CB3,$AZ$2:$AZ$37,0))</f>
        <v>0</v>
      </c>
      <c r="CC11" s="319">
        <f>SUMIF(Calcs!$A$2:$A$37,League!CC3,Calcs!$I$2:$I$37)-INDEX($BA$2:$BA$37,MATCH(CC3,$AZ$2:$AZ$37,0))</f>
        <v>0</v>
      </c>
      <c r="CD11" s="319">
        <f>SUMIF(Calcs!$A$2:$A$37,League!CD3,Calcs!$I$2:$I$37)-INDEX($BA$2:$BA$37,MATCH(CD3,$AZ$2:$AZ$37,0))</f>
        <v>0</v>
      </c>
      <c r="CE11" s="319">
        <f>SUMIF(Calcs!$A$2:$A$37,League!CE3,Calcs!$I$2:$I$37)-INDEX($BA$2:$BA$37,MATCH(CE3,$AZ$2:$AZ$37,0))</f>
        <v>0</v>
      </c>
      <c r="CF11" s="319">
        <f>SUMIF(Calcs!$A$2:$A$37,League!CF3,Calcs!$I$2:$I$37)-INDEX($BA$2:$BA$37,MATCH(CF3,$AZ$2:$AZ$37,0))</f>
        <v>0</v>
      </c>
      <c r="CG11" s="319">
        <f>SUMIF(Calcs!$A$2:$A$37,League!CG3,Calcs!$I$2:$I$37)-INDEX($BA$2:$BA$37,MATCH(CG3,$AZ$2:$AZ$37,0))</f>
        <v>0</v>
      </c>
      <c r="CH11" s="319">
        <f>SUMIF(Calcs!$A$2:$A$37,League!CH3,Calcs!$I$2:$I$37)-INDEX($BA$2:$BA$37,MATCH(CH3,$AZ$2:$AZ$37,0))</f>
        <v>0</v>
      </c>
      <c r="CI11" s="319">
        <f>SUMIF(Calcs!$A$2:$A$37,League!CI3,Calcs!$I$2:$I$37)-INDEX($BA$2:$BA$37,MATCH(CI3,$AZ$2:$AZ$37,0))</f>
        <v>0</v>
      </c>
      <c r="CJ11" s="319">
        <f>SUMIF(Calcs!$A$2:$A$37,League!CJ3,Calcs!$I$2:$I$37)-INDEX($BA$2:$BA$37,MATCH(CJ3,$AZ$2:$AZ$37,0))</f>
        <v>0</v>
      </c>
      <c r="CK11" s="319">
        <f>SUMIF(Calcs!$A$2:$A$37,League!CK3,Calcs!$I$2:$I$37)-INDEX($BA$2:$BA$37,MATCH(CK3,$AZ$2:$AZ$37,0))</f>
        <v>0</v>
      </c>
      <c r="CL11" s="319">
        <f>SUMIF(Calcs!$A$2:$A$37,League!CL3,Calcs!$I$2:$I$37)-INDEX($BA$2:$BA$37,MATCH(CL3,$AZ$2:$AZ$37,0))</f>
        <v>0</v>
      </c>
      <c r="CM11" s="319">
        <f>SUMIF(Calcs!$A$2:$A$37,League!CM3,Calcs!$I$2:$I$37)-INDEX($BA$2:$BA$37,MATCH(CM3,$AZ$2:$AZ$37,0))</f>
        <v>0</v>
      </c>
      <c r="CN11" s="319">
        <f>SUMIF(Calcs!$A$2:$A$37,League!CN3,Calcs!$I$2:$I$37)-INDEX($BA$2:$BA$37,MATCH(CN3,$AZ$2:$AZ$37,0))</f>
        <v>0</v>
      </c>
      <c r="CO11" s="319">
        <f>SUMIF(Calcs!$A$2:$A$37,League!CO3,Calcs!$I$2:$I$37)-INDEX($BA$2:$BA$37,MATCH(CO3,$AZ$2:$AZ$37,0))</f>
        <v>0</v>
      </c>
      <c r="CP11" s="319">
        <f>SUMIF(Calcs!$A$2:$A$37,League!CP3,Calcs!$I$2:$I$37)-INDEX($BA$2:$BA$37,MATCH(CP3,$AZ$2:$AZ$37,0))</f>
        <v>0</v>
      </c>
      <c r="CQ11" s="319">
        <f>SUMIF(Calcs!$A$2:$A$37,League!CQ3,Calcs!$I$2:$I$37)-INDEX($BA$2:$BA$37,MATCH(CQ3,$AZ$2:$AZ$37,0))</f>
        <v>0</v>
      </c>
      <c r="CR11" s="319">
        <f>SUMIF(Calcs!$A$2:$A$37,League!CR3,Calcs!$I$2:$I$37)-INDEX($BA$2:$BA$37,MATCH(CR3,$AZ$2:$AZ$37,0))</f>
        <v>0</v>
      </c>
      <c r="CS11" s="204"/>
      <c r="CT11" s="204"/>
      <c r="CU11" s="204"/>
      <c r="CV11" s="204"/>
    </row>
    <row r="12" spans="1:100" ht="17" customHeight="1">
      <c r="A12" s="213">
        <v>1</v>
      </c>
      <c r="B12" s="113">
        <f>Horarios!C12</f>
        <v>46274.875</v>
      </c>
      <c r="C12" s="114">
        <f>Horarios!C12</f>
        <v>46274.875</v>
      </c>
      <c r="D12" s="115" t="s">
        <v>803</v>
      </c>
      <c r="E12" s="214" t="e" cm="1" vm="24">
        <f t="array" ref="E12">badge_home</f>
        <v>#VALUE!</v>
      </c>
      <c r="F12" s="215"/>
      <c r="G12" s="86"/>
      <c r="H12" s="87"/>
      <c r="I12" s="216"/>
      <c r="J12" s="217" t="e" cm="1" vm="25">
        <f t="array" ref="J12">badge_away</f>
        <v>#VALUE!</v>
      </c>
      <c r="K12" s="132" t="s">
        <v>986</v>
      </c>
      <c r="L12" s="129"/>
      <c r="M12" s="188"/>
      <c r="N12" s="52">
        <v>11</v>
      </c>
      <c r="O12" s="25" t="e" cm="1" vm="26">
        <f t="array" ref="O12">badge_away</f>
        <v>#VALUE!</v>
      </c>
      <c r="P12" s="26" t="str">
        <f>IFERROR(INDEX(Calcs!A$2:A$37,MATCH($N12,Calcs!$CJ$2:$CJ$37,0)),"")</f>
        <v>Como</v>
      </c>
      <c r="Q12" s="27">
        <f>IFERROR(INDEX(Calcs!$B$2:$AB$37,MATCH($N12,Calcs!$CJ$2:$CJ$37,0),MATCH(Q$1,Calcs!$B$1:$AB$1,0)),"")</f>
        <v>0</v>
      </c>
      <c r="R12" s="28">
        <f>IFERROR(INDEX(Calcs!$B$2:$AB$37,MATCH($N12,Calcs!$CJ$2:$CJ$37,0),MATCH(R$1,Calcs!$B$1:$AB$1,0)),"")</f>
        <v>0</v>
      </c>
      <c r="S12" s="28">
        <f>IFERROR(INDEX(Calcs!$B$2:$AB$37,MATCH($N12,Calcs!$CJ$2:$CJ$37,0),MATCH(S$1,Calcs!$B$1:$AB$1,0)),"")</f>
        <v>0</v>
      </c>
      <c r="T12" s="28">
        <f>IFERROR(INDEX(Calcs!$B$2:$AB$37,MATCH($N12,Calcs!$CJ$2:$CJ$37,0),MATCH(T$1,Calcs!$B$1:$AB$1,0)),"")</f>
        <v>0</v>
      </c>
      <c r="U12" s="28">
        <f>IFERROR(INDEX(Calcs!$B$2:$AB$37,MATCH($N12,Calcs!$CJ$2:$CJ$37,0),MATCH(U$1,Calcs!$B$1:$AB$1,0)),"")</f>
        <v>0</v>
      </c>
      <c r="V12" s="28">
        <f>IFERROR(INDEX(Calcs!$B$2:$AB$37,MATCH($N12,Calcs!$CJ$2:$CJ$37,0),MATCH(V$1,Calcs!$B$1:$AB$1,0)),"")</f>
        <v>0</v>
      </c>
      <c r="W12" s="28">
        <f>IFERROR(INDEX(Calcs!$B$2:$AB$37,MATCH($N12,Calcs!$CJ$2:$CJ$37,0),MATCH(W$1,Calcs!$B$1:$AB$1,0)),"")</f>
        <v>0</v>
      </c>
      <c r="X12" s="29">
        <f>IFERROR(INDEX(Calcs!$B$2:$AB$37,MATCH($N12,Calcs!$CJ$2:$CJ$37,0),MATCH(X$1,Calcs!$B$1:$AB$1,0)),"")</f>
        <v>0</v>
      </c>
      <c r="Y12" s="27">
        <f>IFERROR(INDEX(Calcs!$B$2:$AB$37,MATCH($N12,Calcs!$CJ$2:$CJ$37,0),MATCH(Y$1,Calcs!$B$1:$AB$1,0)),"")</f>
        <v>0</v>
      </c>
      <c r="Z12" s="28">
        <f>IFERROR(INDEX(Calcs!$B$2:$AB$37,MATCH($N12,Calcs!$CJ$2:$CJ$37,0),MATCH(Z$1,Calcs!$B$1:$AB$1,0)),"")</f>
        <v>0</v>
      </c>
      <c r="AA12" s="28">
        <f>IFERROR(INDEX(Calcs!$B$2:$AB$37,MATCH($N12,Calcs!$CJ$2:$CJ$37,0),MATCH(AA$1,Calcs!$B$1:$AB$1,0)),"")</f>
        <v>0</v>
      </c>
      <c r="AB12" s="28">
        <f>IFERROR(INDEX(Calcs!$B$2:$AB$37,MATCH($N12,Calcs!$CJ$2:$CJ$37,0),MATCH(AB$1,Calcs!$B$1:$AB$1,0)),"")</f>
        <v>0</v>
      </c>
      <c r="AC12" s="28">
        <f>IFERROR(INDEX(Calcs!$B$2:$AB$37,MATCH($N12,Calcs!$CJ$2:$CJ$37,0),MATCH(AC$1,Calcs!$B$1:$AB$1,0)),"")</f>
        <v>0</v>
      </c>
      <c r="AD12" s="28">
        <f>IFERROR(INDEX(Calcs!$B$2:$AB$37,MATCH($N12,Calcs!$CJ$2:$CJ$37,0),MATCH(AD$1,Calcs!$B$1:$AB$1,0)),"")</f>
        <v>0</v>
      </c>
      <c r="AE12" s="28">
        <f>IFERROR(INDEX(Calcs!$B$2:$AB$37,MATCH($N12,Calcs!$CJ$2:$CJ$37,0),MATCH(AE$1,Calcs!$B$1:$AB$1,0)),"")</f>
        <v>0</v>
      </c>
      <c r="AF12" s="29">
        <f>IFERROR(INDEX(Calcs!$B$2:$AB$37,MATCH($N12,Calcs!$CJ$2:$CJ$37,0),MATCH(AF$1,Calcs!$B$1:$AB$1,0)),"")</f>
        <v>0</v>
      </c>
      <c r="AG12" s="27">
        <f>IFERROR(INDEX(Calcs!$B$2:$AB$37,MATCH($N12,Calcs!$CJ$2:$CJ$37,0),MATCH(AG$1,Calcs!$B$1:$AB$1,0)),"")</f>
        <v>0</v>
      </c>
      <c r="AH12" s="28">
        <f>IFERROR(INDEX(Calcs!$B$2:$AB$37,MATCH($N12,Calcs!$CJ$2:$CJ$37,0),MATCH(AH$1,Calcs!$B$1:$AB$1,0)),"")</f>
        <v>0</v>
      </c>
      <c r="AI12" s="28">
        <f>IFERROR(INDEX(Calcs!$B$2:$AB$37,MATCH($N12,Calcs!$CJ$2:$CJ$37,0),MATCH(AI$1,Calcs!$B$1:$AB$1,0)),"")</f>
        <v>0</v>
      </c>
      <c r="AJ12" s="28">
        <f>IFERROR(INDEX(Calcs!$B$2:$AB$37,MATCH($N12,Calcs!$CJ$2:$CJ$37,0),MATCH(AJ$1,Calcs!$B$1:$AB$1,0)),"")</f>
        <v>0</v>
      </c>
      <c r="AK12" s="28">
        <f>IFERROR(INDEX(Calcs!$B$2:$AB$37,MATCH($N12,Calcs!$CJ$2:$CJ$37,0),MATCH(AK$1,Calcs!$B$1:$AB$1,0)),"")</f>
        <v>0</v>
      </c>
      <c r="AL12" s="28">
        <f>IFERROR(INDEX(Calcs!$B$2:$AB$37,MATCH($N12,Calcs!$CJ$2:$CJ$37,0),MATCH(AL$1,Calcs!$B$1:$AB$1,0)),"")</f>
        <v>0</v>
      </c>
      <c r="AM12" s="28">
        <f>IFERROR(INDEX(Calcs!$B$2:$AB$37,MATCH($N12,Calcs!$CJ$2:$CJ$37,0),MATCH(AM$1,Calcs!$B$1:$AB$1,0)),"")</f>
        <v>0</v>
      </c>
      <c r="AN12" s="30">
        <f>IFERROR(INDEX(Calcs!$B$2:$AB$37,MATCH($N12,Calcs!$CJ$2:$CJ$37,0),MATCH(AN$1,Calcs!$B$1:$AB$1,0)),"")</f>
        <v>0</v>
      </c>
      <c r="AO12" s="28">
        <f>IFERROR(INDEX(Calcs!$B$2:$AB$37,MATCH($N12,Calcs!$CJ$2:$CJ$37,0),MATCH(AO$1,Calcs!$B$1:$AB$1,0)),"")</f>
        <v>0</v>
      </c>
      <c r="AP12" s="28">
        <f>IFERROR(INDEX(Calcs!$B$2:$AB$37,MATCH($N12,Calcs!$CJ$2:$CJ$37,0),MATCH(AP$1,Calcs!$B$1:$AB$1,0)),"")</f>
        <v>0</v>
      </c>
      <c r="AQ12" s="30">
        <f>IFERROR(INDEX(Calcs!$B$2:$AB$37,MATCH($N12,Calcs!$CJ$2:$CJ$37,0),MATCH(AQ$1,Calcs!$B$1:$AB$1,0)),"")</f>
        <v>0</v>
      </c>
      <c r="AR12" s="188"/>
      <c r="AS12" s="202" t="str">
        <f>INDEX(Calcs!A$2:A$37,MATCH($N12,Calcs!$CF$2:$CF$37,0))</f>
        <v>Como</v>
      </c>
      <c r="AT12" s="98"/>
      <c r="AU12" s="191">
        <f>INDEX(Calcs!$BZ$2:$BZ$37,MATCH($AS12,Calcs!$A$2:$A$37,0))</f>
        <v>1</v>
      </c>
      <c r="AV12" s="191">
        <f t="shared" si="1"/>
        <v>36</v>
      </c>
      <c r="AW12" s="191" t="str">
        <f t="shared" si="2"/>
        <v>1.36</v>
      </c>
      <c r="AX12" s="191">
        <f ca="1"/>
        <v>11</v>
      </c>
      <c r="AY12" s="188"/>
      <c r="AZ12" s="203" t="str">
        <f>TablaEquipos[[#This Row],[Team]]</f>
        <v>Como</v>
      </c>
      <c r="BA12" s="99"/>
      <c r="BB12" s="188"/>
      <c r="BC12" s="188"/>
      <c r="BD12" s="188"/>
      <c r="BE12" s="188"/>
      <c r="BF12" s="319" t="str">
        <f t="shared" si="0"/>
        <v>Pendiente</v>
      </c>
      <c r="BI12" s="319">
        <f>SUMIF(Calcs!$A$2:$A$37,League!BI4,Calcs!$I$2:$I$37)-INDEX($BA$2:$BA$37,MATCH(BI4,$AZ$2:$AZ$37,0))</f>
        <v>0</v>
      </c>
      <c r="BJ12" s="319">
        <f>SUMIF(Calcs!$A$2:$A$37,League!BJ4,Calcs!$I$2:$I$37)-INDEX($BA$2:$BA$37,MATCH(BJ4,$AZ$2:$AZ$37,0))</f>
        <v>0</v>
      </c>
      <c r="BK12" s="319">
        <f>SUMIF(Calcs!$A$2:$A$37,League!BK4,Calcs!$I$2:$I$37)-INDEX($BA$2:$BA$37,MATCH(BK4,$AZ$2:$AZ$37,0))</f>
        <v>0</v>
      </c>
      <c r="BL12" s="319">
        <f>SUMIF(Calcs!$A$2:$A$37,League!BL4,Calcs!$I$2:$I$37)-INDEX($BA$2:$BA$37,MATCH(BL4,$AZ$2:$AZ$37,0))</f>
        <v>0</v>
      </c>
      <c r="BM12" s="319">
        <f>SUMIF(Calcs!$A$2:$A$37,League!BM4,Calcs!$I$2:$I$37)-INDEX($BA$2:$BA$37,MATCH(BM4,$AZ$2:$AZ$37,0))</f>
        <v>0</v>
      </c>
      <c r="BN12" s="319">
        <f>SUMIF(Calcs!$A$2:$A$37,League!BN4,Calcs!$I$2:$I$37)-INDEX($BA$2:$BA$37,MATCH(BN4,$AZ$2:$AZ$37,0))</f>
        <v>0</v>
      </c>
      <c r="BO12" s="319">
        <f>SUMIF(Calcs!$A$2:$A$37,League!BO4,Calcs!$I$2:$I$37)-INDEX($BA$2:$BA$37,MATCH(BO4,$AZ$2:$AZ$37,0))</f>
        <v>0</v>
      </c>
      <c r="BP12" s="319">
        <f>SUMIF(Calcs!$A$2:$A$37,League!BP4,Calcs!$I$2:$I$37)-INDEX($BA$2:$BA$37,MATCH(BP4,$AZ$2:$AZ$37,0))</f>
        <v>0</v>
      </c>
      <c r="BQ12" s="319">
        <f>SUMIF(Calcs!$A$2:$A$37,League!BQ4,Calcs!$I$2:$I$37)-INDEX($BA$2:$BA$37,MATCH(BQ4,$AZ$2:$AZ$37,0))</f>
        <v>0</v>
      </c>
      <c r="BR12" s="319">
        <f>SUMIF(Calcs!$A$2:$A$37,League!BR4,Calcs!$I$2:$I$37)-INDEX($BA$2:$BA$37,MATCH(BR4,$AZ$2:$AZ$37,0))</f>
        <v>0</v>
      </c>
      <c r="BS12" s="319">
        <f>SUMIF(Calcs!$A$2:$A$37,League!BS4,Calcs!$I$2:$I$37)-INDEX($BA$2:$BA$37,MATCH(BS4,$AZ$2:$AZ$37,0))</f>
        <v>0</v>
      </c>
      <c r="BT12" s="319">
        <f>SUMIF(Calcs!$A$2:$A$37,League!BT4,Calcs!$I$2:$I$37)-INDEX($BA$2:$BA$37,MATCH(BT4,$AZ$2:$AZ$37,0))</f>
        <v>0</v>
      </c>
      <c r="BU12" s="319">
        <f>SUMIF(Calcs!$A$2:$A$37,League!BU4,Calcs!$I$2:$I$37)-INDEX($BA$2:$BA$37,MATCH(BU4,$AZ$2:$AZ$37,0))</f>
        <v>0</v>
      </c>
      <c r="BV12" s="319">
        <f>SUMIF(Calcs!$A$2:$A$37,League!BV4,Calcs!$I$2:$I$37)-INDEX($BA$2:$BA$37,MATCH(BV4,$AZ$2:$AZ$37,0))</f>
        <v>0</v>
      </c>
      <c r="BW12" s="319">
        <f>SUMIF(Calcs!$A$2:$A$37,League!BW4,Calcs!$I$2:$I$37)-INDEX($BA$2:$BA$37,MATCH(BW4,$AZ$2:$AZ$37,0))</f>
        <v>0</v>
      </c>
      <c r="BX12" s="319">
        <f>SUMIF(Calcs!$A$2:$A$37,League!BX4,Calcs!$I$2:$I$37)-INDEX($BA$2:$BA$37,MATCH(BX4,$AZ$2:$AZ$37,0))</f>
        <v>0</v>
      </c>
      <c r="BY12" s="319">
        <f>SUMIF(Calcs!$A$2:$A$37,League!BY4,Calcs!$I$2:$I$37)-INDEX($BA$2:$BA$37,MATCH(BY4,$AZ$2:$AZ$37,0))</f>
        <v>0</v>
      </c>
      <c r="BZ12" s="319">
        <f>SUMIF(Calcs!$A$2:$A$37,League!BZ4,Calcs!$I$2:$I$37)-INDEX($BA$2:$BA$37,MATCH(BZ4,$AZ$2:$AZ$37,0))</f>
        <v>0</v>
      </c>
      <c r="CA12" s="319">
        <f>SUMIF(Calcs!$A$2:$A$37,League!CA4,Calcs!$I$2:$I$37)-INDEX($BA$2:$BA$37,MATCH(CA4,$AZ$2:$AZ$37,0))</f>
        <v>0</v>
      </c>
      <c r="CB12" s="319">
        <f>SUMIF(Calcs!$A$2:$A$37,League!CB4,Calcs!$I$2:$I$37)-INDEX($BA$2:$BA$37,MATCH(CB4,$AZ$2:$AZ$37,0))</f>
        <v>0</v>
      </c>
      <c r="CC12" s="319">
        <f>SUMIF(Calcs!$A$2:$A$37,League!CC4,Calcs!$I$2:$I$37)-INDEX($BA$2:$BA$37,MATCH(CC4,$AZ$2:$AZ$37,0))</f>
        <v>0</v>
      </c>
      <c r="CD12" s="319">
        <f>SUMIF(Calcs!$A$2:$A$37,League!CD4,Calcs!$I$2:$I$37)-INDEX($BA$2:$BA$37,MATCH(CD4,$AZ$2:$AZ$37,0))</f>
        <v>0</v>
      </c>
      <c r="CE12" s="319">
        <f>SUMIF(Calcs!$A$2:$A$37,League!CE4,Calcs!$I$2:$I$37)-INDEX($BA$2:$BA$37,MATCH(CE4,$AZ$2:$AZ$37,0))</f>
        <v>0</v>
      </c>
      <c r="CF12" s="319">
        <f>SUMIF(Calcs!$A$2:$A$37,League!CF4,Calcs!$I$2:$I$37)-INDEX($BA$2:$BA$37,MATCH(CF4,$AZ$2:$AZ$37,0))</f>
        <v>0</v>
      </c>
      <c r="CG12" s="319">
        <f>SUMIF(Calcs!$A$2:$A$37,League!CG4,Calcs!$I$2:$I$37)-INDEX($BA$2:$BA$37,MATCH(CG4,$AZ$2:$AZ$37,0))</f>
        <v>0</v>
      </c>
      <c r="CH12" s="319">
        <f>SUMIF(Calcs!$A$2:$A$37,League!CH4,Calcs!$I$2:$I$37)-INDEX($BA$2:$BA$37,MATCH(CH4,$AZ$2:$AZ$37,0))</f>
        <v>0</v>
      </c>
      <c r="CI12" s="319">
        <f>SUMIF(Calcs!$A$2:$A$37,League!CI4,Calcs!$I$2:$I$37)-INDEX($BA$2:$BA$37,MATCH(CI4,$AZ$2:$AZ$37,0))</f>
        <v>0</v>
      </c>
      <c r="CJ12" s="319">
        <f>SUMIF(Calcs!$A$2:$A$37,League!CJ4,Calcs!$I$2:$I$37)-INDEX($BA$2:$BA$37,MATCH(CJ4,$AZ$2:$AZ$37,0))</f>
        <v>0</v>
      </c>
      <c r="CK12" s="319">
        <f>SUMIF(Calcs!$A$2:$A$37,League!CK4,Calcs!$I$2:$I$37)-INDEX($BA$2:$BA$37,MATCH(CK4,$AZ$2:$AZ$37,0))</f>
        <v>0</v>
      </c>
      <c r="CL12" s="319">
        <f>SUMIF(Calcs!$A$2:$A$37,League!CL4,Calcs!$I$2:$I$37)-INDEX($BA$2:$BA$37,MATCH(CL4,$AZ$2:$AZ$37,0))</f>
        <v>0</v>
      </c>
      <c r="CM12" s="319">
        <f>SUMIF(Calcs!$A$2:$A$37,League!CM4,Calcs!$I$2:$I$37)-INDEX($BA$2:$BA$37,MATCH(CM4,$AZ$2:$AZ$37,0))</f>
        <v>0</v>
      </c>
      <c r="CN12" s="319">
        <f>SUMIF(Calcs!$A$2:$A$37,League!CN4,Calcs!$I$2:$I$37)-INDEX($BA$2:$BA$37,MATCH(CN4,$AZ$2:$AZ$37,0))</f>
        <v>0</v>
      </c>
      <c r="CO12" s="319">
        <f>SUMIF(Calcs!$A$2:$A$37,League!CO4,Calcs!$I$2:$I$37)-INDEX($BA$2:$BA$37,MATCH(CO4,$AZ$2:$AZ$37,0))</f>
        <v>0</v>
      </c>
      <c r="CP12" s="319">
        <f>SUMIF(Calcs!$A$2:$A$37,League!CP4,Calcs!$I$2:$I$37)-INDEX($BA$2:$BA$37,MATCH(CP4,$AZ$2:$AZ$37,0))</f>
        <v>0</v>
      </c>
      <c r="CQ12" s="319">
        <f>SUMIF(Calcs!$A$2:$A$37,League!CQ4,Calcs!$I$2:$I$37)-INDEX($BA$2:$BA$37,MATCH(CQ4,$AZ$2:$AZ$37,0))</f>
        <v>0</v>
      </c>
      <c r="CR12" s="319">
        <f>SUMIF(Calcs!$A$2:$A$37,League!CR4,Calcs!$I$2:$I$37)-INDEX($BA$2:$BA$37,MATCH(CR4,$AZ$2:$AZ$37,0))</f>
        <v>0</v>
      </c>
      <c r="CS12" s="204"/>
      <c r="CT12" s="204"/>
      <c r="CU12" s="204"/>
      <c r="CV12" s="204"/>
    </row>
    <row r="13" spans="1:100" ht="17" customHeight="1">
      <c r="A13" s="206">
        <v>1</v>
      </c>
      <c r="B13" s="110">
        <f>Horarios!C13</f>
        <v>46274.875</v>
      </c>
      <c r="C13" s="111">
        <f>Horarios!C13</f>
        <v>46274.875</v>
      </c>
      <c r="D13" s="112" t="s">
        <v>980</v>
      </c>
      <c r="E13" s="207" t="e" cm="1" vm="27">
        <f t="array" ref="E13">badge_home</f>
        <v>#VALUE!</v>
      </c>
      <c r="F13" s="208"/>
      <c r="G13" s="84"/>
      <c r="H13" s="85"/>
      <c r="I13" s="209"/>
      <c r="J13" s="210" t="e" cm="1" vm="5">
        <f t="array" ref="J13">badge_away</f>
        <v>#VALUE!</v>
      </c>
      <c r="K13" s="211" t="s">
        <v>735</v>
      </c>
      <c r="L13" s="129"/>
      <c r="M13" s="188"/>
      <c r="N13" s="52">
        <v>12</v>
      </c>
      <c r="O13" s="25" t="e" cm="1" vm="28">
        <f t="array" ref="O13">badge_away</f>
        <v>#VALUE!</v>
      </c>
      <c r="P13" s="26" t="str">
        <f>IFERROR(INDEX(Calcs!A$2:A$37,MATCH($N13,Calcs!$CJ$2:$CJ$37,0)),"")</f>
        <v>Fenerbahçe </v>
      </c>
      <c r="Q13" s="27">
        <f>IFERROR(INDEX(Calcs!$B$2:$AB$37,MATCH($N13,Calcs!$CJ$2:$CJ$37,0),MATCH(Q$1,Calcs!$B$1:$AB$1,0)),"")</f>
        <v>0</v>
      </c>
      <c r="R13" s="28">
        <f>IFERROR(INDEX(Calcs!$B$2:$AB$37,MATCH($N13,Calcs!$CJ$2:$CJ$37,0),MATCH(R$1,Calcs!$B$1:$AB$1,0)),"")</f>
        <v>0</v>
      </c>
      <c r="S13" s="28">
        <f>IFERROR(INDEX(Calcs!$B$2:$AB$37,MATCH($N13,Calcs!$CJ$2:$CJ$37,0),MATCH(S$1,Calcs!$B$1:$AB$1,0)),"")</f>
        <v>0</v>
      </c>
      <c r="T13" s="28">
        <f>IFERROR(INDEX(Calcs!$B$2:$AB$37,MATCH($N13,Calcs!$CJ$2:$CJ$37,0),MATCH(T$1,Calcs!$B$1:$AB$1,0)),"")</f>
        <v>0</v>
      </c>
      <c r="U13" s="28">
        <f>IFERROR(INDEX(Calcs!$B$2:$AB$37,MATCH($N13,Calcs!$CJ$2:$CJ$37,0),MATCH(U$1,Calcs!$B$1:$AB$1,0)),"")</f>
        <v>0</v>
      </c>
      <c r="V13" s="28">
        <f>IFERROR(INDEX(Calcs!$B$2:$AB$37,MATCH($N13,Calcs!$CJ$2:$CJ$37,0),MATCH(V$1,Calcs!$B$1:$AB$1,0)),"")</f>
        <v>0</v>
      </c>
      <c r="W13" s="28">
        <f>IFERROR(INDEX(Calcs!$B$2:$AB$37,MATCH($N13,Calcs!$CJ$2:$CJ$37,0),MATCH(W$1,Calcs!$B$1:$AB$1,0)),"")</f>
        <v>0</v>
      </c>
      <c r="X13" s="29">
        <f>IFERROR(INDEX(Calcs!$B$2:$AB$37,MATCH($N13,Calcs!$CJ$2:$CJ$37,0),MATCH(X$1,Calcs!$B$1:$AB$1,0)),"")</f>
        <v>0</v>
      </c>
      <c r="Y13" s="27">
        <f>IFERROR(INDEX(Calcs!$B$2:$AB$37,MATCH($N13,Calcs!$CJ$2:$CJ$37,0),MATCH(Y$1,Calcs!$B$1:$AB$1,0)),"")</f>
        <v>0</v>
      </c>
      <c r="Z13" s="28">
        <f>IFERROR(INDEX(Calcs!$B$2:$AB$37,MATCH($N13,Calcs!$CJ$2:$CJ$37,0),MATCH(Z$1,Calcs!$B$1:$AB$1,0)),"")</f>
        <v>0</v>
      </c>
      <c r="AA13" s="28">
        <f>IFERROR(INDEX(Calcs!$B$2:$AB$37,MATCH($N13,Calcs!$CJ$2:$CJ$37,0),MATCH(AA$1,Calcs!$B$1:$AB$1,0)),"")</f>
        <v>0</v>
      </c>
      <c r="AB13" s="28">
        <f>IFERROR(INDEX(Calcs!$B$2:$AB$37,MATCH($N13,Calcs!$CJ$2:$CJ$37,0),MATCH(AB$1,Calcs!$B$1:$AB$1,0)),"")</f>
        <v>0</v>
      </c>
      <c r="AC13" s="28">
        <f>IFERROR(INDEX(Calcs!$B$2:$AB$37,MATCH($N13,Calcs!$CJ$2:$CJ$37,0),MATCH(AC$1,Calcs!$B$1:$AB$1,0)),"")</f>
        <v>0</v>
      </c>
      <c r="AD13" s="28">
        <f>IFERROR(INDEX(Calcs!$B$2:$AB$37,MATCH($N13,Calcs!$CJ$2:$CJ$37,0),MATCH(AD$1,Calcs!$B$1:$AB$1,0)),"")</f>
        <v>0</v>
      </c>
      <c r="AE13" s="28">
        <f>IFERROR(INDEX(Calcs!$B$2:$AB$37,MATCH($N13,Calcs!$CJ$2:$CJ$37,0),MATCH(AE$1,Calcs!$B$1:$AB$1,0)),"")</f>
        <v>0</v>
      </c>
      <c r="AF13" s="29">
        <f>IFERROR(INDEX(Calcs!$B$2:$AB$37,MATCH($N13,Calcs!$CJ$2:$CJ$37,0),MATCH(AF$1,Calcs!$B$1:$AB$1,0)),"")</f>
        <v>0</v>
      </c>
      <c r="AG13" s="27">
        <f>IFERROR(INDEX(Calcs!$B$2:$AB$37,MATCH($N13,Calcs!$CJ$2:$CJ$37,0),MATCH(AG$1,Calcs!$B$1:$AB$1,0)),"")</f>
        <v>0</v>
      </c>
      <c r="AH13" s="28">
        <f>IFERROR(INDEX(Calcs!$B$2:$AB$37,MATCH($N13,Calcs!$CJ$2:$CJ$37,0),MATCH(AH$1,Calcs!$B$1:$AB$1,0)),"")</f>
        <v>0</v>
      </c>
      <c r="AI13" s="28">
        <f>IFERROR(INDEX(Calcs!$B$2:$AB$37,MATCH($N13,Calcs!$CJ$2:$CJ$37,0),MATCH(AI$1,Calcs!$B$1:$AB$1,0)),"")</f>
        <v>0</v>
      </c>
      <c r="AJ13" s="28">
        <f>IFERROR(INDEX(Calcs!$B$2:$AB$37,MATCH($N13,Calcs!$CJ$2:$CJ$37,0),MATCH(AJ$1,Calcs!$B$1:$AB$1,0)),"")</f>
        <v>0</v>
      </c>
      <c r="AK13" s="28">
        <f>IFERROR(INDEX(Calcs!$B$2:$AB$37,MATCH($N13,Calcs!$CJ$2:$CJ$37,0),MATCH(AK$1,Calcs!$B$1:$AB$1,0)),"")</f>
        <v>0</v>
      </c>
      <c r="AL13" s="28">
        <f>IFERROR(INDEX(Calcs!$B$2:$AB$37,MATCH($N13,Calcs!$CJ$2:$CJ$37,0),MATCH(AL$1,Calcs!$B$1:$AB$1,0)),"")</f>
        <v>0</v>
      </c>
      <c r="AM13" s="28">
        <f>IFERROR(INDEX(Calcs!$B$2:$AB$37,MATCH($N13,Calcs!$CJ$2:$CJ$37,0),MATCH(AM$1,Calcs!$B$1:$AB$1,0)),"")</f>
        <v>0</v>
      </c>
      <c r="AN13" s="30">
        <f>IFERROR(INDEX(Calcs!$B$2:$AB$37,MATCH($N13,Calcs!$CJ$2:$CJ$37,0),MATCH(AN$1,Calcs!$B$1:$AB$1,0)),"")</f>
        <v>0</v>
      </c>
      <c r="AO13" s="28">
        <f>IFERROR(INDEX(Calcs!$B$2:$AB$37,MATCH($N13,Calcs!$CJ$2:$CJ$37,0),MATCH(AO$1,Calcs!$B$1:$AB$1,0)),"")</f>
        <v>0</v>
      </c>
      <c r="AP13" s="28">
        <f>IFERROR(INDEX(Calcs!$B$2:$AB$37,MATCH($N13,Calcs!$CJ$2:$CJ$37,0),MATCH(AP$1,Calcs!$B$1:$AB$1,0)),"")</f>
        <v>0</v>
      </c>
      <c r="AQ13" s="30">
        <f>IFERROR(INDEX(Calcs!$B$2:$AB$37,MATCH($N13,Calcs!$CJ$2:$CJ$37,0),MATCH(AQ$1,Calcs!$B$1:$AB$1,0)),"")</f>
        <v>0</v>
      </c>
      <c r="AR13" s="188"/>
      <c r="AS13" s="202" t="str">
        <f>INDEX(Calcs!A$2:A$37,MATCH($N13,Calcs!$CF$2:$CF$37,0))</f>
        <v>Fenerbahçe </v>
      </c>
      <c r="AT13" s="98"/>
      <c r="AU13" s="191">
        <f>INDEX(Calcs!$BZ$2:$BZ$37,MATCH($AS13,Calcs!$A$2:$A$37,0))</f>
        <v>1</v>
      </c>
      <c r="AV13" s="191">
        <f t="shared" si="1"/>
        <v>36</v>
      </c>
      <c r="AW13" s="191" t="str">
        <f t="shared" si="2"/>
        <v>1.36</v>
      </c>
      <c r="AX13" s="191">
        <f ca="1"/>
        <v>12</v>
      </c>
      <c r="AY13" s="188"/>
      <c r="AZ13" s="212" t="str">
        <f>TablaEquipos[[#This Row],[Team]]</f>
        <v>Fenerbahçe </v>
      </c>
      <c r="BA13" s="100"/>
      <c r="BB13" s="188"/>
      <c r="BC13" s="188"/>
      <c r="BD13" s="188"/>
      <c r="BE13" s="188"/>
      <c r="BF13" s="319" t="str">
        <f t="shared" si="0"/>
        <v>Pendiente</v>
      </c>
      <c r="BI13" s="319">
        <f>SUMIF(Calcs!$A$2:$A$37,League!BI5,Calcs!$I$2:$I$37)-INDEX($BA$2:$BA$37,MATCH(BI5,$AZ$2:$AZ$37,0))</f>
        <v>0</v>
      </c>
      <c r="BJ13" s="319">
        <f>SUMIF(Calcs!$A$2:$A$37,League!BJ5,Calcs!$I$2:$I$37)-INDEX($BA$2:$BA$37,MATCH(BJ5,$AZ$2:$AZ$37,0))</f>
        <v>0</v>
      </c>
      <c r="BK13" s="319">
        <f>SUMIF(Calcs!$A$2:$A$37,League!BK5,Calcs!$I$2:$I$37)-INDEX($BA$2:$BA$37,MATCH(BK5,$AZ$2:$AZ$37,0))</f>
        <v>0</v>
      </c>
      <c r="BL13" s="319">
        <f>SUMIF(Calcs!$A$2:$A$37,League!BL5,Calcs!$I$2:$I$37)-INDEX($BA$2:$BA$37,MATCH(BL5,$AZ$2:$AZ$37,0))</f>
        <v>0</v>
      </c>
      <c r="BM13" s="319">
        <f>SUMIF(Calcs!$A$2:$A$37,League!BM5,Calcs!$I$2:$I$37)-INDEX($BA$2:$BA$37,MATCH(BM5,$AZ$2:$AZ$37,0))</f>
        <v>0</v>
      </c>
      <c r="BN13" s="319">
        <f>SUMIF(Calcs!$A$2:$A$37,League!BN5,Calcs!$I$2:$I$37)-INDEX($BA$2:$BA$37,MATCH(BN5,$AZ$2:$AZ$37,0))</f>
        <v>0</v>
      </c>
      <c r="BO13" s="319">
        <f>SUMIF(Calcs!$A$2:$A$37,League!BO5,Calcs!$I$2:$I$37)-INDEX($BA$2:$BA$37,MATCH(BO5,$AZ$2:$AZ$37,0))</f>
        <v>0</v>
      </c>
      <c r="BP13" s="319">
        <f>SUMIF(Calcs!$A$2:$A$37,League!BP5,Calcs!$I$2:$I$37)-INDEX($BA$2:$BA$37,MATCH(BP5,$AZ$2:$AZ$37,0))</f>
        <v>0</v>
      </c>
      <c r="BQ13" s="319">
        <f>SUMIF(Calcs!$A$2:$A$37,League!BQ5,Calcs!$I$2:$I$37)-INDEX($BA$2:$BA$37,MATCH(BQ5,$AZ$2:$AZ$37,0))</f>
        <v>0</v>
      </c>
      <c r="BR13" s="319">
        <f>SUMIF(Calcs!$A$2:$A$37,League!BR5,Calcs!$I$2:$I$37)-INDEX($BA$2:$BA$37,MATCH(BR5,$AZ$2:$AZ$37,0))</f>
        <v>0</v>
      </c>
      <c r="BS13" s="319">
        <f>SUMIF(Calcs!$A$2:$A$37,League!BS5,Calcs!$I$2:$I$37)-INDEX($BA$2:$BA$37,MATCH(BS5,$AZ$2:$AZ$37,0))</f>
        <v>0</v>
      </c>
      <c r="BT13" s="319">
        <f>SUMIF(Calcs!$A$2:$A$37,League!BT5,Calcs!$I$2:$I$37)-INDEX($BA$2:$BA$37,MATCH(BT5,$AZ$2:$AZ$37,0))</f>
        <v>0</v>
      </c>
      <c r="BU13" s="319">
        <f>SUMIF(Calcs!$A$2:$A$37,League!BU5,Calcs!$I$2:$I$37)-INDEX($BA$2:$BA$37,MATCH(BU5,$AZ$2:$AZ$37,0))</f>
        <v>0</v>
      </c>
      <c r="BV13" s="319">
        <f>SUMIF(Calcs!$A$2:$A$37,League!BV5,Calcs!$I$2:$I$37)-INDEX($BA$2:$BA$37,MATCH(BV5,$AZ$2:$AZ$37,0))</f>
        <v>0</v>
      </c>
      <c r="BW13" s="319">
        <f>SUMIF(Calcs!$A$2:$A$37,League!BW5,Calcs!$I$2:$I$37)-INDEX($BA$2:$BA$37,MATCH(BW5,$AZ$2:$AZ$37,0))</f>
        <v>0</v>
      </c>
      <c r="BX13" s="319">
        <f>SUMIF(Calcs!$A$2:$A$37,League!BX5,Calcs!$I$2:$I$37)-INDEX($BA$2:$BA$37,MATCH(BX5,$AZ$2:$AZ$37,0))</f>
        <v>0</v>
      </c>
      <c r="BY13" s="319">
        <f>SUMIF(Calcs!$A$2:$A$37,League!BY5,Calcs!$I$2:$I$37)-INDEX($BA$2:$BA$37,MATCH(BY5,$AZ$2:$AZ$37,0))</f>
        <v>0</v>
      </c>
      <c r="BZ13" s="319">
        <f>SUMIF(Calcs!$A$2:$A$37,League!BZ5,Calcs!$I$2:$I$37)-INDEX($BA$2:$BA$37,MATCH(BZ5,$AZ$2:$AZ$37,0))</f>
        <v>0</v>
      </c>
      <c r="CA13" s="319">
        <f>SUMIF(Calcs!$A$2:$A$37,League!CA5,Calcs!$I$2:$I$37)-INDEX($BA$2:$BA$37,MATCH(CA5,$AZ$2:$AZ$37,0))</f>
        <v>0</v>
      </c>
      <c r="CB13" s="319">
        <f>SUMIF(Calcs!$A$2:$A$37,League!CB5,Calcs!$I$2:$I$37)-INDEX($BA$2:$BA$37,MATCH(CB5,$AZ$2:$AZ$37,0))</f>
        <v>0</v>
      </c>
      <c r="CC13" s="319">
        <f>SUMIF(Calcs!$A$2:$A$37,League!CC5,Calcs!$I$2:$I$37)-INDEX($BA$2:$BA$37,MATCH(CC5,$AZ$2:$AZ$37,0))</f>
        <v>0</v>
      </c>
      <c r="CD13" s="319">
        <f>SUMIF(Calcs!$A$2:$A$37,League!CD5,Calcs!$I$2:$I$37)-INDEX($BA$2:$BA$37,MATCH(CD5,$AZ$2:$AZ$37,0))</f>
        <v>0</v>
      </c>
      <c r="CE13" s="319">
        <f>SUMIF(Calcs!$A$2:$A$37,League!CE5,Calcs!$I$2:$I$37)-INDEX($BA$2:$BA$37,MATCH(CE5,$AZ$2:$AZ$37,0))</f>
        <v>0</v>
      </c>
      <c r="CF13" s="319">
        <f>SUMIF(Calcs!$A$2:$A$37,League!CF5,Calcs!$I$2:$I$37)-INDEX($BA$2:$BA$37,MATCH(CF5,$AZ$2:$AZ$37,0))</f>
        <v>0</v>
      </c>
      <c r="CG13" s="319">
        <f>SUMIF(Calcs!$A$2:$A$37,League!CG5,Calcs!$I$2:$I$37)-INDEX($BA$2:$BA$37,MATCH(CG5,$AZ$2:$AZ$37,0))</f>
        <v>0</v>
      </c>
      <c r="CH13" s="319">
        <f>SUMIF(Calcs!$A$2:$A$37,League!CH5,Calcs!$I$2:$I$37)-INDEX($BA$2:$BA$37,MATCH(CH5,$AZ$2:$AZ$37,0))</f>
        <v>0</v>
      </c>
      <c r="CI13" s="319">
        <f>SUMIF(Calcs!$A$2:$A$37,League!CI5,Calcs!$I$2:$I$37)-INDEX($BA$2:$BA$37,MATCH(CI5,$AZ$2:$AZ$37,0))</f>
        <v>0</v>
      </c>
      <c r="CJ13" s="319">
        <f>SUMIF(Calcs!$A$2:$A$37,League!CJ5,Calcs!$I$2:$I$37)-INDEX($BA$2:$BA$37,MATCH(CJ5,$AZ$2:$AZ$37,0))</f>
        <v>0</v>
      </c>
      <c r="CK13" s="319">
        <f>SUMIF(Calcs!$A$2:$A$37,League!CK5,Calcs!$I$2:$I$37)-INDEX($BA$2:$BA$37,MATCH(CK5,$AZ$2:$AZ$37,0))</f>
        <v>0</v>
      </c>
      <c r="CL13" s="319">
        <f>SUMIF(Calcs!$A$2:$A$37,League!CL5,Calcs!$I$2:$I$37)-INDEX($BA$2:$BA$37,MATCH(CL5,$AZ$2:$AZ$37,0))</f>
        <v>0</v>
      </c>
      <c r="CM13" s="319">
        <f>SUMIF(Calcs!$A$2:$A$37,League!CM5,Calcs!$I$2:$I$37)-INDEX($BA$2:$BA$37,MATCH(CM5,$AZ$2:$AZ$37,0))</f>
        <v>0</v>
      </c>
      <c r="CN13" s="319">
        <f>SUMIF(Calcs!$A$2:$A$37,League!CN5,Calcs!$I$2:$I$37)-INDEX($BA$2:$BA$37,MATCH(CN5,$AZ$2:$AZ$37,0))</f>
        <v>0</v>
      </c>
      <c r="CO13" s="319">
        <f>SUMIF(Calcs!$A$2:$A$37,League!CO5,Calcs!$I$2:$I$37)-INDEX($BA$2:$BA$37,MATCH(CO5,$AZ$2:$AZ$37,0))</f>
        <v>0</v>
      </c>
      <c r="CP13" s="319">
        <f>SUMIF(Calcs!$A$2:$A$37,League!CP5,Calcs!$I$2:$I$37)-INDEX($BA$2:$BA$37,MATCH(CP5,$AZ$2:$AZ$37,0))</f>
        <v>0</v>
      </c>
      <c r="CQ13" s="319">
        <f>SUMIF(Calcs!$A$2:$A$37,League!CQ5,Calcs!$I$2:$I$37)-INDEX($BA$2:$BA$37,MATCH(CQ5,$AZ$2:$AZ$37,0))</f>
        <v>0</v>
      </c>
      <c r="CR13" s="319">
        <f>SUMIF(Calcs!$A$2:$A$37,League!CR5,Calcs!$I$2:$I$37)-INDEX($BA$2:$BA$37,MATCH(CR5,$AZ$2:$AZ$37,0))</f>
        <v>0</v>
      </c>
      <c r="CS13" s="204"/>
      <c r="CT13" s="204"/>
      <c r="CU13" s="204"/>
      <c r="CV13" s="204"/>
    </row>
    <row r="14" spans="1:100" ht="17" customHeight="1">
      <c r="A14" s="213">
        <v>1</v>
      </c>
      <c r="B14" s="113">
        <f>Horarios!C14</f>
        <v>46275.78125</v>
      </c>
      <c r="C14" s="114">
        <f>Horarios!C14</f>
        <v>46275.78125</v>
      </c>
      <c r="D14" s="115" t="s">
        <v>1028</v>
      </c>
      <c r="E14" s="214" t="e" cm="1" vm="28">
        <f t="array" ref="E14">badge_home</f>
        <v>#VALUE!</v>
      </c>
      <c r="F14" s="215"/>
      <c r="G14" s="86"/>
      <c r="H14" s="87"/>
      <c r="I14" s="216"/>
      <c r="J14" s="210" t="e" cm="1" vm="29">
        <f t="array" ref="J14">badge_away</f>
        <v>#VALUE!</v>
      </c>
      <c r="K14" s="132" t="s">
        <v>1006</v>
      </c>
      <c r="L14" s="129"/>
      <c r="M14" s="188"/>
      <c r="N14" s="52">
        <v>13</v>
      </c>
      <c r="O14" s="25" t="e" cm="1" vm="17">
        <f t="array" ref="O14">badge_away</f>
        <v>#VALUE!</v>
      </c>
      <c r="P14" s="26" t="str">
        <f>IFERROR(INDEX(Calcs!A$2:A$37,MATCH($N14,Calcs!$CJ$2:$CJ$37,0)),"")</f>
        <v>Feyenoord</v>
      </c>
      <c r="Q14" s="27">
        <f>IFERROR(INDEX(Calcs!$B$2:$AB$37,MATCH($N14,Calcs!$CJ$2:$CJ$37,0),MATCH(Q$1,Calcs!$B$1:$AB$1,0)),"")</f>
        <v>0</v>
      </c>
      <c r="R14" s="28">
        <f>IFERROR(INDEX(Calcs!$B$2:$AB$37,MATCH($N14,Calcs!$CJ$2:$CJ$37,0),MATCH(R$1,Calcs!$B$1:$AB$1,0)),"")</f>
        <v>0</v>
      </c>
      <c r="S14" s="28">
        <f>IFERROR(INDEX(Calcs!$B$2:$AB$37,MATCH($N14,Calcs!$CJ$2:$CJ$37,0),MATCH(S$1,Calcs!$B$1:$AB$1,0)),"")</f>
        <v>0</v>
      </c>
      <c r="T14" s="28">
        <f>IFERROR(INDEX(Calcs!$B$2:$AB$37,MATCH($N14,Calcs!$CJ$2:$CJ$37,0),MATCH(T$1,Calcs!$B$1:$AB$1,0)),"")</f>
        <v>0</v>
      </c>
      <c r="U14" s="28">
        <f>IFERROR(INDEX(Calcs!$B$2:$AB$37,MATCH($N14,Calcs!$CJ$2:$CJ$37,0),MATCH(U$1,Calcs!$B$1:$AB$1,0)),"")</f>
        <v>0</v>
      </c>
      <c r="V14" s="28">
        <f>IFERROR(INDEX(Calcs!$B$2:$AB$37,MATCH($N14,Calcs!$CJ$2:$CJ$37,0),MATCH(V$1,Calcs!$B$1:$AB$1,0)),"")</f>
        <v>0</v>
      </c>
      <c r="W14" s="28">
        <f>IFERROR(INDEX(Calcs!$B$2:$AB$37,MATCH($N14,Calcs!$CJ$2:$CJ$37,0),MATCH(W$1,Calcs!$B$1:$AB$1,0)),"")</f>
        <v>0</v>
      </c>
      <c r="X14" s="29">
        <f>IFERROR(INDEX(Calcs!$B$2:$AB$37,MATCH($N14,Calcs!$CJ$2:$CJ$37,0),MATCH(X$1,Calcs!$B$1:$AB$1,0)),"")</f>
        <v>0</v>
      </c>
      <c r="Y14" s="27">
        <f>IFERROR(INDEX(Calcs!$B$2:$AB$37,MATCH($N14,Calcs!$CJ$2:$CJ$37,0),MATCH(Y$1,Calcs!$B$1:$AB$1,0)),"")</f>
        <v>0</v>
      </c>
      <c r="Z14" s="28">
        <f>IFERROR(INDEX(Calcs!$B$2:$AB$37,MATCH($N14,Calcs!$CJ$2:$CJ$37,0),MATCH(Z$1,Calcs!$B$1:$AB$1,0)),"")</f>
        <v>0</v>
      </c>
      <c r="AA14" s="28">
        <f>IFERROR(INDEX(Calcs!$B$2:$AB$37,MATCH($N14,Calcs!$CJ$2:$CJ$37,0),MATCH(AA$1,Calcs!$B$1:$AB$1,0)),"")</f>
        <v>0</v>
      </c>
      <c r="AB14" s="28">
        <f>IFERROR(INDEX(Calcs!$B$2:$AB$37,MATCH($N14,Calcs!$CJ$2:$CJ$37,0),MATCH(AB$1,Calcs!$B$1:$AB$1,0)),"")</f>
        <v>0</v>
      </c>
      <c r="AC14" s="28">
        <f>IFERROR(INDEX(Calcs!$B$2:$AB$37,MATCH($N14,Calcs!$CJ$2:$CJ$37,0),MATCH(AC$1,Calcs!$B$1:$AB$1,0)),"")</f>
        <v>0</v>
      </c>
      <c r="AD14" s="28">
        <f>IFERROR(INDEX(Calcs!$B$2:$AB$37,MATCH($N14,Calcs!$CJ$2:$CJ$37,0),MATCH(AD$1,Calcs!$B$1:$AB$1,0)),"")</f>
        <v>0</v>
      </c>
      <c r="AE14" s="28">
        <f>IFERROR(INDEX(Calcs!$B$2:$AB$37,MATCH($N14,Calcs!$CJ$2:$CJ$37,0),MATCH(AE$1,Calcs!$B$1:$AB$1,0)),"")</f>
        <v>0</v>
      </c>
      <c r="AF14" s="29">
        <f>IFERROR(INDEX(Calcs!$B$2:$AB$37,MATCH($N14,Calcs!$CJ$2:$CJ$37,0),MATCH(AF$1,Calcs!$B$1:$AB$1,0)),"")</f>
        <v>0</v>
      </c>
      <c r="AG14" s="27">
        <f>IFERROR(INDEX(Calcs!$B$2:$AB$37,MATCH($N14,Calcs!$CJ$2:$CJ$37,0),MATCH(AG$1,Calcs!$B$1:$AB$1,0)),"")</f>
        <v>0</v>
      </c>
      <c r="AH14" s="28">
        <f>IFERROR(INDEX(Calcs!$B$2:$AB$37,MATCH($N14,Calcs!$CJ$2:$CJ$37,0),MATCH(AH$1,Calcs!$B$1:$AB$1,0)),"")</f>
        <v>0</v>
      </c>
      <c r="AI14" s="28">
        <f>IFERROR(INDEX(Calcs!$B$2:$AB$37,MATCH($N14,Calcs!$CJ$2:$CJ$37,0),MATCH(AI$1,Calcs!$B$1:$AB$1,0)),"")</f>
        <v>0</v>
      </c>
      <c r="AJ14" s="28">
        <f>IFERROR(INDEX(Calcs!$B$2:$AB$37,MATCH($N14,Calcs!$CJ$2:$CJ$37,0),MATCH(AJ$1,Calcs!$B$1:$AB$1,0)),"")</f>
        <v>0</v>
      </c>
      <c r="AK14" s="28">
        <f>IFERROR(INDEX(Calcs!$B$2:$AB$37,MATCH($N14,Calcs!$CJ$2:$CJ$37,0),MATCH(AK$1,Calcs!$B$1:$AB$1,0)),"")</f>
        <v>0</v>
      </c>
      <c r="AL14" s="28">
        <f>IFERROR(INDEX(Calcs!$B$2:$AB$37,MATCH($N14,Calcs!$CJ$2:$CJ$37,0),MATCH(AL$1,Calcs!$B$1:$AB$1,0)),"")</f>
        <v>0</v>
      </c>
      <c r="AM14" s="28">
        <f>IFERROR(INDEX(Calcs!$B$2:$AB$37,MATCH($N14,Calcs!$CJ$2:$CJ$37,0),MATCH(AM$1,Calcs!$B$1:$AB$1,0)),"")</f>
        <v>0</v>
      </c>
      <c r="AN14" s="30">
        <f>IFERROR(INDEX(Calcs!$B$2:$AB$37,MATCH($N14,Calcs!$CJ$2:$CJ$37,0),MATCH(AN$1,Calcs!$B$1:$AB$1,0)),"")</f>
        <v>0</v>
      </c>
      <c r="AO14" s="28">
        <f>IFERROR(INDEX(Calcs!$B$2:$AB$37,MATCH($N14,Calcs!$CJ$2:$CJ$37,0),MATCH(AO$1,Calcs!$B$1:$AB$1,0)),"")</f>
        <v>0</v>
      </c>
      <c r="AP14" s="28">
        <f>IFERROR(INDEX(Calcs!$B$2:$AB$37,MATCH($N14,Calcs!$CJ$2:$CJ$37,0),MATCH(AP$1,Calcs!$B$1:$AB$1,0)),"")</f>
        <v>0</v>
      </c>
      <c r="AQ14" s="30">
        <f>IFERROR(INDEX(Calcs!$B$2:$AB$37,MATCH($N14,Calcs!$CJ$2:$CJ$37,0),MATCH(AQ$1,Calcs!$B$1:$AB$1,0)),"")</f>
        <v>0</v>
      </c>
      <c r="AR14" s="188"/>
      <c r="AS14" s="202" t="str">
        <f>INDEX(Calcs!A$2:A$37,MATCH($N14,Calcs!$CF$2:$CF$37,0))</f>
        <v>Feyenoord</v>
      </c>
      <c r="AT14" s="98"/>
      <c r="AU14" s="191">
        <f>INDEX(Calcs!$BZ$2:$BZ$37,MATCH($AS14,Calcs!$A$2:$A$37,0))</f>
        <v>1</v>
      </c>
      <c r="AV14" s="191">
        <f t="shared" si="1"/>
        <v>36</v>
      </c>
      <c r="AW14" s="191" t="str">
        <f t="shared" si="2"/>
        <v>1.36</v>
      </c>
      <c r="AX14" s="191">
        <f ca="1"/>
        <v>13</v>
      </c>
      <c r="AY14" s="188"/>
      <c r="AZ14" s="203" t="str">
        <f>TablaEquipos[[#This Row],[Team]]</f>
        <v>Feyenoord</v>
      </c>
      <c r="BA14" s="99"/>
      <c r="BB14" s="188"/>
      <c r="BC14" s="188"/>
      <c r="BD14" s="188"/>
      <c r="BE14" s="188"/>
      <c r="BF14" s="319" t="str">
        <f t="shared" si="0"/>
        <v>Pendiente</v>
      </c>
      <c r="BI14" s="319">
        <f>SUMIF(Calcs!$A$2:$A$37,League!BI6,Calcs!$I$2:$I$37)-INDEX($BA$2:$BA$37,MATCH(BI6,$AZ$2:$AZ$37,0))</f>
        <v>0</v>
      </c>
      <c r="BJ14" s="319">
        <f>SUMIF(Calcs!$A$2:$A$37,League!BJ6,Calcs!$I$2:$I$37)-INDEX($BA$2:$BA$37,MATCH(BJ6,$AZ$2:$AZ$37,0))</f>
        <v>0</v>
      </c>
      <c r="BK14" s="319">
        <f>SUMIF(Calcs!$A$2:$A$37,League!BK6,Calcs!$I$2:$I$37)-INDEX($BA$2:$BA$37,MATCH(BK6,$AZ$2:$AZ$37,0))</f>
        <v>0</v>
      </c>
      <c r="BL14" s="319">
        <f>SUMIF(Calcs!$A$2:$A$37,League!BL6,Calcs!$I$2:$I$37)-INDEX($BA$2:$BA$37,MATCH(BL6,$AZ$2:$AZ$37,0))</f>
        <v>0</v>
      </c>
      <c r="BM14" s="319">
        <f>SUMIF(Calcs!$A$2:$A$37,League!BM6,Calcs!$I$2:$I$37)-INDEX($BA$2:$BA$37,MATCH(BM6,$AZ$2:$AZ$37,0))</f>
        <v>0</v>
      </c>
      <c r="BN14" s="319">
        <f>SUMIF(Calcs!$A$2:$A$37,League!BN6,Calcs!$I$2:$I$37)-INDEX($BA$2:$BA$37,MATCH(BN6,$AZ$2:$AZ$37,0))</f>
        <v>0</v>
      </c>
      <c r="BO14" s="319">
        <f>SUMIF(Calcs!$A$2:$A$37,League!BO6,Calcs!$I$2:$I$37)-INDEX($BA$2:$BA$37,MATCH(BO6,$AZ$2:$AZ$37,0))</f>
        <v>0</v>
      </c>
      <c r="BP14" s="319">
        <f>SUMIF(Calcs!$A$2:$A$37,League!BP6,Calcs!$I$2:$I$37)-INDEX($BA$2:$BA$37,MATCH(BP6,$AZ$2:$AZ$37,0))</f>
        <v>0</v>
      </c>
      <c r="BQ14" s="319">
        <f>SUMIF(Calcs!$A$2:$A$37,League!BQ6,Calcs!$I$2:$I$37)-INDEX($BA$2:$BA$37,MATCH(BQ6,$AZ$2:$AZ$37,0))</f>
        <v>0</v>
      </c>
      <c r="BR14" s="319">
        <f>SUMIF(Calcs!$A$2:$A$37,League!BR6,Calcs!$I$2:$I$37)-INDEX($BA$2:$BA$37,MATCH(BR6,$AZ$2:$AZ$37,0))</f>
        <v>0</v>
      </c>
      <c r="BS14" s="319">
        <f>SUMIF(Calcs!$A$2:$A$37,League!BS6,Calcs!$I$2:$I$37)-INDEX($BA$2:$BA$37,MATCH(BS6,$AZ$2:$AZ$37,0))</f>
        <v>0</v>
      </c>
      <c r="BT14" s="319">
        <f>SUMIF(Calcs!$A$2:$A$37,League!BT6,Calcs!$I$2:$I$37)-INDEX($BA$2:$BA$37,MATCH(BT6,$AZ$2:$AZ$37,0))</f>
        <v>0</v>
      </c>
      <c r="BU14" s="319">
        <f>SUMIF(Calcs!$A$2:$A$37,League!BU6,Calcs!$I$2:$I$37)-INDEX($BA$2:$BA$37,MATCH(BU6,$AZ$2:$AZ$37,0))</f>
        <v>0</v>
      </c>
      <c r="BV14" s="319">
        <f>SUMIF(Calcs!$A$2:$A$37,League!BV6,Calcs!$I$2:$I$37)-INDEX($BA$2:$BA$37,MATCH(BV6,$AZ$2:$AZ$37,0))</f>
        <v>0</v>
      </c>
      <c r="BW14" s="319">
        <f>SUMIF(Calcs!$A$2:$A$37,League!BW6,Calcs!$I$2:$I$37)-INDEX($BA$2:$BA$37,MATCH(BW6,$AZ$2:$AZ$37,0))</f>
        <v>0</v>
      </c>
      <c r="BX14" s="319">
        <f>SUMIF(Calcs!$A$2:$A$37,League!BX6,Calcs!$I$2:$I$37)-INDEX($BA$2:$BA$37,MATCH(BX6,$AZ$2:$AZ$37,0))</f>
        <v>0</v>
      </c>
      <c r="BY14" s="319">
        <f>SUMIF(Calcs!$A$2:$A$37,League!BY6,Calcs!$I$2:$I$37)-INDEX($BA$2:$BA$37,MATCH(BY6,$AZ$2:$AZ$37,0))</f>
        <v>0</v>
      </c>
      <c r="BZ14" s="319">
        <f>SUMIF(Calcs!$A$2:$A$37,League!BZ6,Calcs!$I$2:$I$37)-INDEX($BA$2:$BA$37,MATCH(BZ6,$AZ$2:$AZ$37,0))</f>
        <v>0</v>
      </c>
      <c r="CA14" s="319">
        <f>SUMIF(Calcs!$A$2:$A$37,League!CA6,Calcs!$I$2:$I$37)-INDEX($BA$2:$BA$37,MATCH(CA6,$AZ$2:$AZ$37,0))</f>
        <v>0</v>
      </c>
      <c r="CB14" s="319">
        <f>SUMIF(Calcs!$A$2:$A$37,League!CB6,Calcs!$I$2:$I$37)-INDEX($BA$2:$BA$37,MATCH(CB6,$AZ$2:$AZ$37,0))</f>
        <v>0</v>
      </c>
      <c r="CC14" s="319">
        <f>SUMIF(Calcs!$A$2:$A$37,League!CC6,Calcs!$I$2:$I$37)-INDEX($BA$2:$BA$37,MATCH(CC6,$AZ$2:$AZ$37,0))</f>
        <v>0</v>
      </c>
      <c r="CD14" s="319">
        <f>SUMIF(Calcs!$A$2:$A$37,League!CD6,Calcs!$I$2:$I$37)-INDEX($BA$2:$BA$37,MATCH(CD6,$AZ$2:$AZ$37,0))</f>
        <v>0</v>
      </c>
      <c r="CE14" s="319">
        <f>SUMIF(Calcs!$A$2:$A$37,League!CE6,Calcs!$I$2:$I$37)-INDEX($BA$2:$BA$37,MATCH(CE6,$AZ$2:$AZ$37,0))</f>
        <v>0</v>
      </c>
      <c r="CF14" s="319">
        <f>SUMIF(Calcs!$A$2:$A$37,League!CF6,Calcs!$I$2:$I$37)-INDEX($BA$2:$BA$37,MATCH(CF6,$AZ$2:$AZ$37,0))</f>
        <v>0</v>
      </c>
      <c r="CG14" s="319">
        <f>SUMIF(Calcs!$A$2:$A$37,League!CG6,Calcs!$I$2:$I$37)-INDEX($BA$2:$BA$37,MATCH(CG6,$AZ$2:$AZ$37,0))</f>
        <v>0</v>
      </c>
      <c r="CH14" s="319">
        <f>SUMIF(Calcs!$A$2:$A$37,League!CH6,Calcs!$I$2:$I$37)-INDEX($BA$2:$BA$37,MATCH(CH6,$AZ$2:$AZ$37,0))</f>
        <v>0</v>
      </c>
      <c r="CI14" s="319">
        <f>SUMIF(Calcs!$A$2:$A$37,League!CI6,Calcs!$I$2:$I$37)-INDEX($BA$2:$BA$37,MATCH(CI6,$AZ$2:$AZ$37,0))</f>
        <v>0</v>
      </c>
      <c r="CJ14" s="319">
        <f>SUMIF(Calcs!$A$2:$A$37,League!CJ6,Calcs!$I$2:$I$37)-INDEX($BA$2:$BA$37,MATCH(CJ6,$AZ$2:$AZ$37,0))</f>
        <v>0</v>
      </c>
      <c r="CK14" s="319">
        <f>SUMIF(Calcs!$A$2:$A$37,League!CK6,Calcs!$I$2:$I$37)-INDEX($BA$2:$BA$37,MATCH(CK6,$AZ$2:$AZ$37,0))</f>
        <v>0</v>
      </c>
      <c r="CL14" s="319">
        <f>SUMIF(Calcs!$A$2:$A$37,League!CL6,Calcs!$I$2:$I$37)-INDEX($BA$2:$BA$37,MATCH(CL6,$AZ$2:$AZ$37,0))</f>
        <v>0</v>
      </c>
      <c r="CM14" s="319">
        <f>SUMIF(Calcs!$A$2:$A$37,League!CM6,Calcs!$I$2:$I$37)-INDEX($BA$2:$BA$37,MATCH(CM6,$AZ$2:$AZ$37,0))</f>
        <v>0</v>
      </c>
      <c r="CN14" s="319">
        <f>SUMIF(Calcs!$A$2:$A$37,League!CN6,Calcs!$I$2:$I$37)-INDEX($BA$2:$BA$37,MATCH(CN6,$AZ$2:$AZ$37,0))</f>
        <v>0</v>
      </c>
      <c r="CO14" s="319">
        <f>SUMIF(Calcs!$A$2:$A$37,League!CO6,Calcs!$I$2:$I$37)-INDEX($BA$2:$BA$37,MATCH(CO6,$AZ$2:$AZ$37,0))</f>
        <v>0</v>
      </c>
      <c r="CP14" s="319">
        <f>SUMIF(Calcs!$A$2:$A$37,League!CP6,Calcs!$I$2:$I$37)-INDEX($BA$2:$BA$37,MATCH(CP6,$AZ$2:$AZ$37,0))</f>
        <v>0</v>
      </c>
      <c r="CQ14" s="319">
        <f>SUMIF(Calcs!$A$2:$A$37,League!CQ6,Calcs!$I$2:$I$37)-INDEX($BA$2:$BA$37,MATCH(CQ6,$AZ$2:$AZ$37,0))</f>
        <v>0</v>
      </c>
      <c r="CR14" s="319">
        <f>SUMIF(Calcs!$A$2:$A$37,League!CR6,Calcs!$I$2:$I$37)-INDEX($BA$2:$BA$37,MATCH(CR6,$AZ$2:$AZ$37,0))</f>
        <v>0</v>
      </c>
      <c r="CS14" s="204"/>
      <c r="CT14" s="204"/>
      <c r="CU14" s="204"/>
      <c r="CV14" s="204"/>
    </row>
    <row r="15" spans="1:100" ht="17" customHeight="1">
      <c r="A15" s="206">
        <v>1</v>
      </c>
      <c r="B15" s="110">
        <f>Horarios!C15</f>
        <v>46275.78125</v>
      </c>
      <c r="C15" s="111">
        <f>Horarios!C15</f>
        <v>46275.78125</v>
      </c>
      <c r="D15" s="112" t="s">
        <v>741</v>
      </c>
      <c r="E15" s="207" t="e" cm="1" vm="30">
        <f t="array" ref="E15">badge_home</f>
        <v>#VALUE!</v>
      </c>
      <c r="F15" s="208"/>
      <c r="G15" s="84"/>
      <c r="H15" s="85"/>
      <c r="I15" s="209"/>
      <c r="J15" s="210" t="e" cm="1" vm="31">
        <f t="array" ref="J15">badge_away</f>
        <v>#VALUE!</v>
      </c>
      <c r="K15" s="211" t="s">
        <v>818</v>
      </c>
      <c r="L15" s="129"/>
      <c r="M15" s="188"/>
      <c r="N15" s="52">
        <v>14</v>
      </c>
      <c r="O15" s="25" t="e" cm="1" vm="25">
        <f t="array" ref="O15">badge_away</f>
        <v>#VALUE!</v>
      </c>
      <c r="P15" s="26" t="str">
        <f>IFERROR(INDEX(Calcs!A$2:A$37,MATCH($N15,Calcs!$CJ$2:$CJ$37,0)),"")</f>
        <v>Galatasaray</v>
      </c>
      <c r="Q15" s="27">
        <f>IFERROR(INDEX(Calcs!$B$2:$AB$37,MATCH($N15,Calcs!$CJ$2:$CJ$37,0),MATCH(Q$1,Calcs!$B$1:$AB$1,0)),"")</f>
        <v>0</v>
      </c>
      <c r="R15" s="28">
        <f>IFERROR(INDEX(Calcs!$B$2:$AB$37,MATCH($N15,Calcs!$CJ$2:$CJ$37,0),MATCH(R$1,Calcs!$B$1:$AB$1,0)),"")</f>
        <v>0</v>
      </c>
      <c r="S15" s="28">
        <f>IFERROR(INDEX(Calcs!$B$2:$AB$37,MATCH($N15,Calcs!$CJ$2:$CJ$37,0),MATCH(S$1,Calcs!$B$1:$AB$1,0)),"")</f>
        <v>0</v>
      </c>
      <c r="T15" s="28">
        <f>IFERROR(INDEX(Calcs!$B$2:$AB$37,MATCH($N15,Calcs!$CJ$2:$CJ$37,0),MATCH(T$1,Calcs!$B$1:$AB$1,0)),"")</f>
        <v>0</v>
      </c>
      <c r="U15" s="28">
        <f>IFERROR(INDEX(Calcs!$B$2:$AB$37,MATCH($N15,Calcs!$CJ$2:$CJ$37,0),MATCH(U$1,Calcs!$B$1:$AB$1,0)),"")</f>
        <v>0</v>
      </c>
      <c r="V15" s="28">
        <f>IFERROR(INDEX(Calcs!$B$2:$AB$37,MATCH($N15,Calcs!$CJ$2:$CJ$37,0),MATCH(V$1,Calcs!$B$1:$AB$1,0)),"")</f>
        <v>0</v>
      </c>
      <c r="W15" s="28">
        <f>IFERROR(INDEX(Calcs!$B$2:$AB$37,MATCH($N15,Calcs!$CJ$2:$CJ$37,0),MATCH(W$1,Calcs!$B$1:$AB$1,0)),"")</f>
        <v>0</v>
      </c>
      <c r="X15" s="29">
        <f>IFERROR(INDEX(Calcs!$B$2:$AB$37,MATCH($N15,Calcs!$CJ$2:$CJ$37,0),MATCH(X$1,Calcs!$B$1:$AB$1,0)),"")</f>
        <v>0</v>
      </c>
      <c r="Y15" s="27">
        <f>IFERROR(INDEX(Calcs!$B$2:$AB$37,MATCH($N15,Calcs!$CJ$2:$CJ$37,0),MATCH(Y$1,Calcs!$B$1:$AB$1,0)),"")</f>
        <v>0</v>
      </c>
      <c r="Z15" s="28">
        <f>IFERROR(INDEX(Calcs!$B$2:$AB$37,MATCH($N15,Calcs!$CJ$2:$CJ$37,0),MATCH(Z$1,Calcs!$B$1:$AB$1,0)),"")</f>
        <v>0</v>
      </c>
      <c r="AA15" s="28">
        <f>IFERROR(INDEX(Calcs!$B$2:$AB$37,MATCH($N15,Calcs!$CJ$2:$CJ$37,0),MATCH(AA$1,Calcs!$B$1:$AB$1,0)),"")</f>
        <v>0</v>
      </c>
      <c r="AB15" s="28">
        <f>IFERROR(INDEX(Calcs!$B$2:$AB$37,MATCH($N15,Calcs!$CJ$2:$CJ$37,0),MATCH(AB$1,Calcs!$B$1:$AB$1,0)),"")</f>
        <v>0</v>
      </c>
      <c r="AC15" s="28">
        <f>IFERROR(INDEX(Calcs!$B$2:$AB$37,MATCH($N15,Calcs!$CJ$2:$CJ$37,0),MATCH(AC$1,Calcs!$B$1:$AB$1,0)),"")</f>
        <v>0</v>
      </c>
      <c r="AD15" s="28">
        <f>IFERROR(INDEX(Calcs!$B$2:$AB$37,MATCH($N15,Calcs!$CJ$2:$CJ$37,0),MATCH(AD$1,Calcs!$B$1:$AB$1,0)),"")</f>
        <v>0</v>
      </c>
      <c r="AE15" s="28">
        <f>IFERROR(INDEX(Calcs!$B$2:$AB$37,MATCH($N15,Calcs!$CJ$2:$CJ$37,0),MATCH(AE$1,Calcs!$B$1:$AB$1,0)),"")</f>
        <v>0</v>
      </c>
      <c r="AF15" s="29">
        <f>IFERROR(INDEX(Calcs!$B$2:$AB$37,MATCH($N15,Calcs!$CJ$2:$CJ$37,0),MATCH(AF$1,Calcs!$B$1:$AB$1,0)),"")</f>
        <v>0</v>
      </c>
      <c r="AG15" s="27">
        <f>IFERROR(INDEX(Calcs!$B$2:$AB$37,MATCH($N15,Calcs!$CJ$2:$CJ$37,0),MATCH(AG$1,Calcs!$B$1:$AB$1,0)),"")</f>
        <v>0</v>
      </c>
      <c r="AH15" s="28">
        <f>IFERROR(INDEX(Calcs!$B$2:$AB$37,MATCH($N15,Calcs!$CJ$2:$CJ$37,0),MATCH(AH$1,Calcs!$B$1:$AB$1,0)),"")</f>
        <v>0</v>
      </c>
      <c r="AI15" s="28">
        <f>IFERROR(INDEX(Calcs!$B$2:$AB$37,MATCH($N15,Calcs!$CJ$2:$CJ$37,0),MATCH(AI$1,Calcs!$B$1:$AB$1,0)),"")</f>
        <v>0</v>
      </c>
      <c r="AJ15" s="28">
        <f>IFERROR(INDEX(Calcs!$B$2:$AB$37,MATCH($N15,Calcs!$CJ$2:$CJ$37,0),MATCH(AJ$1,Calcs!$B$1:$AB$1,0)),"")</f>
        <v>0</v>
      </c>
      <c r="AK15" s="28">
        <f>IFERROR(INDEX(Calcs!$B$2:$AB$37,MATCH($N15,Calcs!$CJ$2:$CJ$37,0),MATCH(AK$1,Calcs!$B$1:$AB$1,0)),"")</f>
        <v>0</v>
      </c>
      <c r="AL15" s="28">
        <f>IFERROR(INDEX(Calcs!$B$2:$AB$37,MATCH($N15,Calcs!$CJ$2:$CJ$37,0),MATCH(AL$1,Calcs!$B$1:$AB$1,0)),"")</f>
        <v>0</v>
      </c>
      <c r="AM15" s="28">
        <f>IFERROR(INDEX(Calcs!$B$2:$AB$37,MATCH($N15,Calcs!$CJ$2:$CJ$37,0),MATCH(AM$1,Calcs!$B$1:$AB$1,0)),"")</f>
        <v>0</v>
      </c>
      <c r="AN15" s="30">
        <f>IFERROR(INDEX(Calcs!$B$2:$AB$37,MATCH($N15,Calcs!$CJ$2:$CJ$37,0),MATCH(AN$1,Calcs!$B$1:$AB$1,0)),"")</f>
        <v>0</v>
      </c>
      <c r="AO15" s="28">
        <f>IFERROR(INDEX(Calcs!$B$2:$AB$37,MATCH($N15,Calcs!$CJ$2:$CJ$37,0),MATCH(AO$1,Calcs!$B$1:$AB$1,0)),"")</f>
        <v>0</v>
      </c>
      <c r="AP15" s="28">
        <f>IFERROR(INDEX(Calcs!$B$2:$AB$37,MATCH($N15,Calcs!$CJ$2:$CJ$37,0),MATCH(AP$1,Calcs!$B$1:$AB$1,0)),"")</f>
        <v>0</v>
      </c>
      <c r="AQ15" s="30">
        <f>IFERROR(INDEX(Calcs!$B$2:$AB$37,MATCH($N15,Calcs!$CJ$2:$CJ$37,0),MATCH(AQ$1,Calcs!$B$1:$AB$1,0)),"")</f>
        <v>0</v>
      </c>
      <c r="AR15" s="188"/>
      <c r="AS15" s="202" t="str">
        <f>INDEX(Calcs!A$2:A$37,MATCH($N15,Calcs!$CF$2:$CF$37,0))</f>
        <v>Galatasaray</v>
      </c>
      <c r="AT15" s="98"/>
      <c r="AU15" s="191">
        <f>INDEX(Calcs!$BZ$2:$BZ$37,MATCH($AS15,Calcs!$A$2:$A$37,0))</f>
        <v>1</v>
      </c>
      <c r="AV15" s="191">
        <f t="shared" si="1"/>
        <v>36</v>
      </c>
      <c r="AW15" s="191" t="str">
        <f t="shared" si="2"/>
        <v>1.36</v>
      </c>
      <c r="AX15" s="191">
        <f ca="1"/>
        <v>14</v>
      </c>
      <c r="AY15" s="188"/>
      <c r="AZ15" s="212" t="str">
        <f>TablaEquipos[[#This Row],[Team]]</f>
        <v>Galatasaray</v>
      </c>
      <c r="BA15" s="100"/>
      <c r="BB15" s="188"/>
      <c r="BC15" s="188"/>
      <c r="BD15" s="188"/>
      <c r="BE15" s="188"/>
      <c r="BF15" s="319" t="str">
        <f t="shared" si="0"/>
        <v>Pendiente</v>
      </c>
      <c r="BI15" s="319">
        <f>SUMIF(Calcs!$A$2:$A$37,League!BI7,Calcs!$I$2:$I$37)-INDEX($BA$2:$BA$37,MATCH(BI7,$AZ$2:$AZ$37,0))</f>
        <v>0</v>
      </c>
      <c r="BJ15" s="319">
        <f>SUMIF(Calcs!$A$2:$A$37,League!BJ7,Calcs!$I$2:$I$37)-INDEX($BA$2:$BA$37,MATCH(BJ7,$AZ$2:$AZ$37,0))</f>
        <v>0</v>
      </c>
      <c r="BK15" s="319">
        <f>SUMIF(Calcs!$A$2:$A$37,League!BK7,Calcs!$I$2:$I$37)-INDEX($BA$2:$BA$37,MATCH(BK7,$AZ$2:$AZ$37,0))</f>
        <v>0</v>
      </c>
      <c r="BL15" s="319">
        <f>SUMIF(Calcs!$A$2:$A$37,League!BL7,Calcs!$I$2:$I$37)-INDEX($BA$2:$BA$37,MATCH(BL7,$AZ$2:$AZ$37,0))</f>
        <v>0</v>
      </c>
      <c r="BM15" s="319">
        <f>SUMIF(Calcs!$A$2:$A$37,League!BM7,Calcs!$I$2:$I$37)-INDEX($BA$2:$BA$37,MATCH(BM7,$AZ$2:$AZ$37,0))</f>
        <v>0</v>
      </c>
      <c r="BN15" s="319">
        <f>SUMIF(Calcs!$A$2:$A$37,League!BN7,Calcs!$I$2:$I$37)-INDEX($BA$2:$BA$37,MATCH(BN7,$AZ$2:$AZ$37,0))</f>
        <v>0</v>
      </c>
      <c r="BO15" s="319">
        <f>SUMIF(Calcs!$A$2:$A$37,League!BO7,Calcs!$I$2:$I$37)-INDEX($BA$2:$BA$37,MATCH(BO7,$AZ$2:$AZ$37,0))</f>
        <v>0</v>
      </c>
      <c r="BP15" s="319">
        <f>SUMIF(Calcs!$A$2:$A$37,League!BP7,Calcs!$I$2:$I$37)-INDEX($BA$2:$BA$37,MATCH(BP7,$AZ$2:$AZ$37,0))</f>
        <v>0</v>
      </c>
      <c r="BQ15" s="319">
        <f>SUMIF(Calcs!$A$2:$A$37,League!BQ7,Calcs!$I$2:$I$37)-INDEX($BA$2:$BA$37,MATCH(BQ7,$AZ$2:$AZ$37,0))</f>
        <v>0</v>
      </c>
      <c r="BR15" s="319">
        <f>SUMIF(Calcs!$A$2:$A$37,League!BR7,Calcs!$I$2:$I$37)-INDEX($BA$2:$BA$37,MATCH(BR7,$AZ$2:$AZ$37,0))</f>
        <v>0</v>
      </c>
      <c r="BS15" s="319">
        <f>SUMIF(Calcs!$A$2:$A$37,League!BS7,Calcs!$I$2:$I$37)-INDEX($BA$2:$BA$37,MATCH(BS7,$AZ$2:$AZ$37,0))</f>
        <v>0</v>
      </c>
      <c r="BT15" s="319">
        <f>SUMIF(Calcs!$A$2:$A$37,League!BT7,Calcs!$I$2:$I$37)-INDEX($BA$2:$BA$37,MATCH(BT7,$AZ$2:$AZ$37,0))</f>
        <v>0</v>
      </c>
      <c r="BU15" s="319">
        <f>SUMIF(Calcs!$A$2:$A$37,League!BU7,Calcs!$I$2:$I$37)-INDEX($BA$2:$BA$37,MATCH(BU7,$AZ$2:$AZ$37,0))</f>
        <v>0</v>
      </c>
      <c r="BV15" s="319">
        <f>SUMIF(Calcs!$A$2:$A$37,League!BV7,Calcs!$I$2:$I$37)-INDEX($BA$2:$BA$37,MATCH(BV7,$AZ$2:$AZ$37,0))</f>
        <v>0</v>
      </c>
      <c r="BW15" s="319">
        <f>SUMIF(Calcs!$A$2:$A$37,League!BW7,Calcs!$I$2:$I$37)-INDEX($BA$2:$BA$37,MATCH(BW7,$AZ$2:$AZ$37,0))</f>
        <v>0</v>
      </c>
      <c r="BX15" s="319">
        <f>SUMIF(Calcs!$A$2:$A$37,League!BX7,Calcs!$I$2:$I$37)-INDEX($BA$2:$BA$37,MATCH(BX7,$AZ$2:$AZ$37,0))</f>
        <v>0</v>
      </c>
      <c r="BY15" s="319">
        <f>SUMIF(Calcs!$A$2:$A$37,League!BY7,Calcs!$I$2:$I$37)-INDEX($BA$2:$BA$37,MATCH(BY7,$AZ$2:$AZ$37,0))</f>
        <v>0</v>
      </c>
      <c r="BZ15" s="319">
        <f>SUMIF(Calcs!$A$2:$A$37,League!BZ7,Calcs!$I$2:$I$37)-INDEX($BA$2:$BA$37,MATCH(BZ7,$AZ$2:$AZ$37,0))</f>
        <v>0</v>
      </c>
      <c r="CA15" s="319">
        <f>SUMIF(Calcs!$A$2:$A$37,League!CA7,Calcs!$I$2:$I$37)-INDEX($BA$2:$BA$37,MATCH(CA7,$AZ$2:$AZ$37,0))</f>
        <v>0</v>
      </c>
      <c r="CB15" s="319">
        <f>SUMIF(Calcs!$A$2:$A$37,League!CB7,Calcs!$I$2:$I$37)-INDEX($BA$2:$BA$37,MATCH(CB7,$AZ$2:$AZ$37,0))</f>
        <v>0</v>
      </c>
      <c r="CC15" s="319">
        <f>SUMIF(Calcs!$A$2:$A$37,League!CC7,Calcs!$I$2:$I$37)-INDEX($BA$2:$BA$37,MATCH(CC7,$AZ$2:$AZ$37,0))</f>
        <v>0</v>
      </c>
      <c r="CD15" s="319">
        <f>SUMIF(Calcs!$A$2:$A$37,League!CD7,Calcs!$I$2:$I$37)-INDEX($BA$2:$BA$37,MATCH(CD7,$AZ$2:$AZ$37,0))</f>
        <v>0</v>
      </c>
      <c r="CE15" s="319">
        <f>SUMIF(Calcs!$A$2:$A$37,League!CE7,Calcs!$I$2:$I$37)-INDEX($BA$2:$BA$37,MATCH(CE7,$AZ$2:$AZ$37,0))</f>
        <v>0</v>
      </c>
      <c r="CF15" s="319">
        <f>SUMIF(Calcs!$A$2:$A$37,League!CF7,Calcs!$I$2:$I$37)-INDEX($BA$2:$BA$37,MATCH(CF7,$AZ$2:$AZ$37,0))</f>
        <v>0</v>
      </c>
      <c r="CG15" s="319">
        <f>SUMIF(Calcs!$A$2:$A$37,League!CG7,Calcs!$I$2:$I$37)-INDEX($BA$2:$BA$37,MATCH(CG7,$AZ$2:$AZ$37,0))</f>
        <v>0</v>
      </c>
      <c r="CH15" s="319">
        <f>SUMIF(Calcs!$A$2:$A$37,League!CH7,Calcs!$I$2:$I$37)-INDEX($BA$2:$BA$37,MATCH(CH7,$AZ$2:$AZ$37,0))</f>
        <v>0</v>
      </c>
      <c r="CI15" s="319">
        <f>SUMIF(Calcs!$A$2:$A$37,League!CI7,Calcs!$I$2:$I$37)-INDEX($BA$2:$BA$37,MATCH(CI7,$AZ$2:$AZ$37,0))</f>
        <v>0</v>
      </c>
      <c r="CJ15" s="319">
        <f>SUMIF(Calcs!$A$2:$A$37,League!CJ7,Calcs!$I$2:$I$37)-INDEX($BA$2:$BA$37,MATCH(CJ7,$AZ$2:$AZ$37,0))</f>
        <v>0</v>
      </c>
      <c r="CK15" s="319">
        <f>SUMIF(Calcs!$A$2:$A$37,League!CK7,Calcs!$I$2:$I$37)-INDEX($BA$2:$BA$37,MATCH(CK7,$AZ$2:$AZ$37,0))</f>
        <v>0</v>
      </c>
      <c r="CL15" s="319">
        <f>SUMIF(Calcs!$A$2:$A$37,League!CL7,Calcs!$I$2:$I$37)-INDEX($BA$2:$BA$37,MATCH(CL7,$AZ$2:$AZ$37,0))</f>
        <v>0</v>
      </c>
      <c r="CM15" s="319">
        <f>SUMIF(Calcs!$A$2:$A$37,League!CM7,Calcs!$I$2:$I$37)-INDEX($BA$2:$BA$37,MATCH(CM7,$AZ$2:$AZ$37,0))</f>
        <v>0</v>
      </c>
      <c r="CN15" s="319">
        <f>SUMIF(Calcs!$A$2:$A$37,League!CN7,Calcs!$I$2:$I$37)-INDEX($BA$2:$BA$37,MATCH(CN7,$AZ$2:$AZ$37,0))</f>
        <v>0</v>
      </c>
      <c r="CO15" s="319">
        <f>SUMIF(Calcs!$A$2:$A$37,League!CO7,Calcs!$I$2:$I$37)-INDEX($BA$2:$BA$37,MATCH(CO7,$AZ$2:$AZ$37,0))</f>
        <v>0</v>
      </c>
      <c r="CP15" s="319">
        <f>SUMIF(Calcs!$A$2:$A$37,League!CP7,Calcs!$I$2:$I$37)-INDEX($BA$2:$BA$37,MATCH(CP7,$AZ$2:$AZ$37,0))</f>
        <v>0</v>
      </c>
      <c r="CQ15" s="319">
        <f>SUMIF(Calcs!$A$2:$A$37,League!CQ7,Calcs!$I$2:$I$37)-INDEX($BA$2:$BA$37,MATCH(CQ7,$AZ$2:$AZ$37,0))</f>
        <v>0</v>
      </c>
      <c r="CR15" s="319">
        <f>SUMIF(Calcs!$A$2:$A$37,League!CR7,Calcs!$I$2:$I$37)-INDEX($BA$2:$BA$37,MATCH(CR7,$AZ$2:$AZ$37,0))</f>
        <v>0</v>
      </c>
      <c r="CS15" s="204"/>
      <c r="CT15" s="204"/>
      <c r="CU15" s="204"/>
      <c r="CV15" s="204"/>
    </row>
    <row r="16" spans="1:100" ht="17" customHeight="1">
      <c r="A16" s="213">
        <v>1</v>
      </c>
      <c r="B16" s="113">
        <f>Horarios!C16</f>
        <v>46275.875</v>
      </c>
      <c r="C16" s="114">
        <f>Horarios!C16</f>
        <v>46275.875</v>
      </c>
      <c r="D16" s="115" t="s">
        <v>1002</v>
      </c>
      <c r="E16" s="214" t="e" cm="1" vm="26">
        <f t="array" ref="E16">badge_home</f>
        <v>#VALUE!</v>
      </c>
      <c r="F16" s="215"/>
      <c r="G16" s="86"/>
      <c r="H16" s="87"/>
      <c r="I16" s="216"/>
      <c r="J16" s="217" t="e" cm="1" vm="32">
        <f t="array" ref="J16">badge_away</f>
        <v>#VALUE!</v>
      </c>
      <c r="K16" s="132" t="s">
        <v>738</v>
      </c>
      <c r="L16" s="129"/>
      <c r="M16" s="188"/>
      <c r="N16" s="52">
        <v>15</v>
      </c>
      <c r="O16" s="25" t="e" cm="1" vm="15">
        <f t="array" ref="O16">badge_away</f>
        <v>#VALUE!</v>
      </c>
      <c r="P16" s="26" t="str">
        <f>IFERROR(INDEX(Calcs!A$2:A$37,MATCH($N16,Calcs!$CJ$2:$CJ$37,0)),"")</f>
        <v>Inter Milan</v>
      </c>
      <c r="Q16" s="27">
        <f>IFERROR(INDEX(Calcs!$B$2:$AB$37,MATCH($N16,Calcs!$CJ$2:$CJ$37,0),MATCH(Q$1,Calcs!$B$1:$AB$1,0)),"")</f>
        <v>0</v>
      </c>
      <c r="R16" s="28">
        <f>IFERROR(INDEX(Calcs!$B$2:$AB$37,MATCH($N16,Calcs!$CJ$2:$CJ$37,0),MATCH(R$1,Calcs!$B$1:$AB$1,0)),"")</f>
        <v>0</v>
      </c>
      <c r="S16" s="28">
        <f>IFERROR(INDEX(Calcs!$B$2:$AB$37,MATCH($N16,Calcs!$CJ$2:$CJ$37,0),MATCH(S$1,Calcs!$B$1:$AB$1,0)),"")</f>
        <v>0</v>
      </c>
      <c r="T16" s="28">
        <f>IFERROR(INDEX(Calcs!$B$2:$AB$37,MATCH($N16,Calcs!$CJ$2:$CJ$37,0),MATCH(T$1,Calcs!$B$1:$AB$1,0)),"")</f>
        <v>0</v>
      </c>
      <c r="U16" s="28">
        <f>IFERROR(INDEX(Calcs!$B$2:$AB$37,MATCH($N16,Calcs!$CJ$2:$CJ$37,0),MATCH(U$1,Calcs!$B$1:$AB$1,0)),"")</f>
        <v>0</v>
      </c>
      <c r="V16" s="28">
        <f>IFERROR(INDEX(Calcs!$B$2:$AB$37,MATCH($N16,Calcs!$CJ$2:$CJ$37,0),MATCH(V$1,Calcs!$B$1:$AB$1,0)),"")</f>
        <v>0</v>
      </c>
      <c r="W16" s="28">
        <f>IFERROR(INDEX(Calcs!$B$2:$AB$37,MATCH($N16,Calcs!$CJ$2:$CJ$37,0),MATCH(W$1,Calcs!$B$1:$AB$1,0)),"")</f>
        <v>0</v>
      </c>
      <c r="X16" s="29">
        <f>IFERROR(INDEX(Calcs!$B$2:$AB$37,MATCH($N16,Calcs!$CJ$2:$CJ$37,0),MATCH(X$1,Calcs!$B$1:$AB$1,0)),"")</f>
        <v>0</v>
      </c>
      <c r="Y16" s="27">
        <f>IFERROR(INDEX(Calcs!$B$2:$AB$37,MATCH($N16,Calcs!$CJ$2:$CJ$37,0),MATCH(Y$1,Calcs!$B$1:$AB$1,0)),"")</f>
        <v>0</v>
      </c>
      <c r="Z16" s="28">
        <f>IFERROR(INDEX(Calcs!$B$2:$AB$37,MATCH($N16,Calcs!$CJ$2:$CJ$37,0),MATCH(Z$1,Calcs!$B$1:$AB$1,0)),"")</f>
        <v>0</v>
      </c>
      <c r="AA16" s="28">
        <f>IFERROR(INDEX(Calcs!$B$2:$AB$37,MATCH($N16,Calcs!$CJ$2:$CJ$37,0),MATCH(AA$1,Calcs!$B$1:$AB$1,0)),"")</f>
        <v>0</v>
      </c>
      <c r="AB16" s="28">
        <f>IFERROR(INDEX(Calcs!$B$2:$AB$37,MATCH($N16,Calcs!$CJ$2:$CJ$37,0),MATCH(AB$1,Calcs!$B$1:$AB$1,0)),"")</f>
        <v>0</v>
      </c>
      <c r="AC16" s="28">
        <f>IFERROR(INDEX(Calcs!$B$2:$AB$37,MATCH($N16,Calcs!$CJ$2:$CJ$37,0),MATCH(AC$1,Calcs!$B$1:$AB$1,0)),"")</f>
        <v>0</v>
      </c>
      <c r="AD16" s="28">
        <f>IFERROR(INDEX(Calcs!$B$2:$AB$37,MATCH($N16,Calcs!$CJ$2:$CJ$37,0),MATCH(AD$1,Calcs!$B$1:$AB$1,0)),"")</f>
        <v>0</v>
      </c>
      <c r="AE16" s="28">
        <f>IFERROR(INDEX(Calcs!$B$2:$AB$37,MATCH($N16,Calcs!$CJ$2:$CJ$37,0),MATCH(AE$1,Calcs!$B$1:$AB$1,0)),"")</f>
        <v>0</v>
      </c>
      <c r="AF16" s="29">
        <f>IFERROR(INDEX(Calcs!$B$2:$AB$37,MATCH($N16,Calcs!$CJ$2:$CJ$37,0),MATCH(AF$1,Calcs!$B$1:$AB$1,0)),"")</f>
        <v>0</v>
      </c>
      <c r="AG16" s="27">
        <f>IFERROR(INDEX(Calcs!$B$2:$AB$37,MATCH($N16,Calcs!$CJ$2:$CJ$37,0),MATCH(AG$1,Calcs!$B$1:$AB$1,0)),"")</f>
        <v>0</v>
      </c>
      <c r="AH16" s="28">
        <f>IFERROR(INDEX(Calcs!$B$2:$AB$37,MATCH($N16,Calcs!$CJ$2:$CJ$37,0),MATCH(AH$1,Calcs!$B$1:$AB$1,0)),"")</f>
        <v>0</v>
      </c>
      <c r="AI16" s="28">
        <f>IFERROR(INDEX(Calcs!$B$2:$AB$37,MATCH($N16,Calcs!$CJ$2:$CJ$37,0),MATCH(AI$1,Calcs!$B$1:$AB$1,0)),"")</f>
        <v>0</v>
      </c>
      <c r="AJ16" s="28">
        <f>IFERROR(INDEX(Calcs!$B$2:$AB$37,MATCH($N16,Calcs!$CJ$2:$CJ$37,0),MATCH(AJ$1,Calcs!$B$1:$AB$1,0)),"")</f>
        <v>0</v>
      </c>
      <c r="AK16" s="28">
        <f>IFERROR(INDEX(Calcs!$B$2:$AB$37,MATCH($N16,Calcs!$CJ$2:$CJ$37,0),MATCH(AK$1,Calcs!$B$1:$AB$1,0)),"")</f>
        <v>0</v>
      </c>
      <c r="AL16" s="28">
        <f>IFERROR(INDEX(Calcs!$B$2:$AB$37,MATCH($N16,Calcs!$CJ$2:$CJ$37,0),MATCH(AL$1,Calcs!$B$1:$AB$1,0)),"")</f>
        <v>0</v>
      </c>
      <c r="AM16" s="28">
        <f>IFERROR(INDEX(Calcs!$B$2:$AB$37,MATCH($N16,Calcs!$CJ$2:$CJ$37,0),MATCH(AM$1,Calcs!$B$1:$AB$1,0)),"")</f>
        <v>0</v>
      </c>
      <c r="AN16" s="30">
        <f>IFERROR(INDEX(Calcs!$B$2:$AB$37,MATCH($N16,Calcs!$CJ$2:$CJ$37,0),MATCH(AN$1,Calcs!$B$1:$AB$1,0)),"")</f>
        <v>0</v>
      </c>
      <c r="AO16" s="28">
        <f>IFERROR(INDEX(Calcs!$B$2:$AB$37,MATCH($N16,Calcs!$CJ$2:$CJ$37,0),MATCH(AO$1,Calcs!$B$1:$AB$1,0)),"")</f>
        <v>0</v>
      </c>
      <c r="AP16" s="28">
        <f>IFERROR(INDEX(Calcs!$B$2:$AB$37,MATCH($N16,Calcs!$CJ$2:$CJ$37,0),MATCH(AP$1,Calcs!$B$1:$AB$1,0)),"")</f>
        <v>0</v>
      </c>
      <c r="AQ16" s="30">
        <f>IFERROR(INDEX(Calcs!$B$2:$AB$37,MATCH($N16,Calcs!$CJ$2:$CJ$37,0),MATCH(AQ$1,Calcs!$B$1:$AB$1,0)),"")</f>
        <v>0</v>
      </c>
      <c r="AR16" s="188"/>
      <c r="AS16" s="202" t="str">
        <f>INDEX(Calcs!A$2:A$37,MATCH($N16,Calcs!$CF$2:$CF$37,0))</f>
        <v>Inter Milan</v>
      </c>
      <c r="AT16" s="98"/>
      <c r="AU16" s="191">
        <f>INDEX(Calcs!$BZ$2:$BZ$37,MATCH($AS16,Calcs!$A$2:$A$37,0))</f>
        <v>1</v>
      </c>
      <c r="AV16" s="191">
        <f t="shared" si="1"/>
        <v>36</v>
      </c>
      <c r="AW16" s="191" t="str">
        <f t="shared" si="2"/>
        <v>1.36</v>
      </c>
      <c r="AX16" s="191">
        <f ca="1"/>
        <v>15</v>
      </c>
      <c r="AY16" s="188"/>
      <c r="AZ16" s="203" t="str">
        <f>TablaEquipos[[#This Row],[Team]]</f>
        <v>Inter Milan</v>
      </c>
      <c r="BA16" s="99"/>
      <c r="BB16" s="188"/>
      <c r="BC16" s="188"/>
      <c r="BD16" s="188"/>
      <c r="BE16" s="188"/>
      <c r="BF16" s="319" t="str">
        <f t="shared" si="0"/>
        <v>Pendiente</v>
      </c>
      <c r="BI16" s="319">
        <f>SUMIF(Calcs!$A$2:$A$37,League!BI8,Calcs!$I$2:$I$37)-INDEX($BA$2:$BA$37,MATCH(BI8,$AZ$2:$AZ$37,0))</f>
        <v>0</v>
      </c>
      <c r="BJ16" s="319">
        <f>SUMIF(Calcs!$A$2:$A$37,League!BJ8,Calcs!$I$2:$I$37)-INDEX($BA$2:$BA$37,MATCH(BJ8,$AZ$2:$AZ$37,0))</f>
        <v>0</v>
      </c>
      <c r="BK16" s="319">
        <f>SUMIF(Calcs!$A$2:$A$37,League!BK8,Calcs!$I$2:$I$37)-INDEX($BA$2:$BA$37,MATCH(BK8,$AZ$2:$AZ$37,0))</f>
        <v>0</v>
      </c>
      <c r="BL16" s="319">
        <f>SUMIF(Calcs!$A$2:$A$37,League!BL8,Calcs!$I$2:$I$37)-INDEX($BA$2:$BA$37,MATCH(BL8,$AZ$2:$AZ$37,0))</f>
        <v>0</v>
      </c>
      <c r="BM16" s="319">
        <f>SUMIF(Calcs!$A$2:$A$37,League!BM8,Calcs!$I$2:$I$37)-INDEX($BA$2:$BA$37,MATCH(BM8,$AZ$2:$AZ$37,0))</f>
        <v>0</v>
      </c>
      <c r="BN16" s="319">
        <f>SUMIF(Calcs!$A$2:$A$37,League!BN8,Calcs!$I$2:$I$37)-INDEX($BA$2:$BA$37,MATCH(BN8,$AZ$2:$AZ$37,0))</f>
        <v>0</v>
      </c>
      <c r="BO16" s="319">
        <f>SUMIF(Calcs!$A$2:$A$37,League!BO8,Calcs!$I$2:$I$37)-INDEX($BA$2:$BA$37,MATCH(BO8,$AZ$2:$AZ$37,0))</f>
        <v>0</v>
      </c>
      <c r="BP16" s="319">
        <f>SUMIF(Calcs!$A$2:$A$37,League!BP8,Calcs!$I$2:$I$37)-INDEX($BA$2:$BA$37,MATCH(BP8,$AZ$2:$AZ$37,0))</f>
        <v>0</v>
      </c>
      <c r="BQ16" s="319">
        <f>SUMIF(Calcs!$A$2:$A$37,League!BQ8,Calcs!$I$2:$I$37)-INDEX($BA$2:$BA$37,MATCH(BQ8,$AZ$2:$AZ$37,0))</f>
        <v>0</v>
      </c>
      <c r="BR16" s="319">
        <f>SUMIF(Calcs!$A$2:$A$37,League!BR8,Calcs!$I$2:$I$37)-INDEX($BA$2:$BA$37,MATCH(BR8,$AZ$2:$AZ$37,0))</f>
        <v>0</v>
      </c>
      <c r="BS16" s="319">
        <f>SUMIF(Calcs!$A$2:$A$37,League!BS8,Calcs!$I$2:$I$37)-INDEX($BA$2:$BA$37,MATCH(BS8,$AZ$2:$AZ$37,0))</f>
        <v>0</v>
      </c>
      <c r="BT16" s="319">
        <f>SUMIF(Calcs!$A$2:$A$37,League!BT8,Calcs!$I$2:$I$37)-INDEX($BA$2:$BA$37,MATCH(BT8,$AZ$2:$AZ$37,0))</f>
        <v>0</v>
      </c>
      <c r="BU16" s="319">
        <f>SUMIF(Calcs!$A$2:$A$37,League!BU8,Calcs!$I$2:$I$37)-INDEX($BA$2:$BA$37,MATCH(BU8,$AZ$2:$AZ$37,0))</f>
        <v>0</v>
      </c>
      <c r="BV16" s="319">
        <f>SUMIF(Calcs!$A$2:$A$37,League!BV8,Calcs!$I$2:$I$37)-INDEX($BA$2:$BA$37,MATCH(BV8,$AZ$2:$AZ$37,0))</f>
        <v>0</v>
      </c>
      <c r="BW16" s="319">
        <f>SUMIF(Calcs!$A$2:$A$37,League!BW8,Calcs!$I$2:$I$37)-INDEX($BA$2:$BA$37,MATCH(BW8,$AZ$2:$AZ$37,0))</f>
        <v>0</v>
      </c>
      <c r="BX16" s="319">
        <f>SUMIF(Calcs!$A$2:$A$37,League!BX8,Calcs!$I$2:$I$37)-INDEX($BA$2:$BA$37,MATCH(BX8,$AZ$2:$AZ$37,0))</f>
        <v>0</v>
      </c>
      <c r="BY16" s="319">
        <f>SUMIF(Calcs!$A$2:$A$37,League!BY8,Calcs!$I$2:$I$37)-INDEX($BA$2:$BA$37,MATCH(BY8,$AZ$2:$AZ$37,0))</f>
        <v>0</v>
      </c>
      <c r="BZ16" s="319">
        <f>SUMIF(Calcs!$A$2:$A$37,League!BZ8,Calcs!$I$2:$I$37)-INDEX($BA$2:$BA$37,MATCH(BZ8,$AZ$2:$AZ$37,0))</f>
        <v>0</v>
      </c>
      <c r="CA16" s="319">
        <f>SUMIF(Calcs!$A$2:$A$37,League!CA8,Calcs!$I$2:$I$37)-INDEX($BA$2:$BA$37,MATCH(CA8,$AZ$2:$AZ$37,0))</f>
        <v>0</v>
      </c>
      <c r="CB16" s="319">
        <f>SUMIF(Calcs!$A$2:$A$37,League!CB8,Calcs!$I$2:$I$37)-INDEX($BA$2:$BA$37,MATCH(CB8,$AZ$2:$AZ$37,0))</f>
        <v>0</v>
      </c>
      <c r="CC16" s="319">
        <f>SUMIF(Calcs!$A$2:$A$37,League!CC8,Calcs!$I$2:$I$37)-INDEX($BA$2:$BA$37,MATCH(CC8,$AZ$2:$AZ$37,0))</f>
        <v>0</v>
      </c>
      <c r="CD16" s="319">
        <f>SUMIF(Calcs!$A$2:$A$37,League!CD8,Calcs!$I$2:$I$37)-INDEX($BA$2:$BA$37,MATCH(CD8,$AZ$2:$AZ$37,0))</f>
        <v>0</v>
      </c>
      <c r="CE16" s="319">
        <f>SUMIF(Calcs!$A$2:$A$37,League!CE8,Calcs!$I$2:$I$37)-INDEX($BA$2:$BA$37,MATCH(CE8,$AZ$2:$AZ$37,0))</f>
        <v>0</v>
      </c>
      <c r="CF16" s="319">
        <f>SUMIF(Calcs!$A$2:$A$37,League!CF8,Calcs!$I$2:$I$37)-INDEX($BA$2:$BA$37,MATCH(CF8,$AZ$2:$AZ$37,0))</f>
        <v>0</v>
      </c>
      <c r="CG16" s="319">
        <f>SUMIF(Calcs!$A$2:$A$37,League!CG8,Calcs!$I$2:$I$37)-INDEX($BA$2:$BA$37,MATCH(CG8,$AZ$2:$AZ$37,0))</f>
        <v>0</v>
      </c>
      <c r="CH16" s="319">
        <f>SUMIF(Calcs!$A$2:$A$37,League!CH8,Calcs!$I$2:$I$37)-INDEX($BA$2:$BA$37,MATCH(CH8,$AZ$2:$AZ$37,0))</f>
        <v>0</v>
      </c>
      <c r="CI16" s="319">
        <f>SUMIF(Calcs!$A$2:$A$37,League!CI8,Calcs!$I$2:$I$37)-INDEX($BA$2:$BA$37,MATCH(CI8,$AZ$2:$AZ$37,0))</f>
        <v>0</v>
      </c>
      <c r="CJ16" s="319">
        <f>SUMIF(Calcs!$A$2:$A$37,League!CJ8,Calcs!$I$2:$I$37)-INDEX($BA$2:$BA$37,MATCH(CJ8,$AZ$2:$AZ$37,0))</f>
        <v>0</v>
      </c>
      <c r="CK16" s="319">
        <f>SUMIF(Calcs!$A$2:$A$37,League!CK8,Calcs!$I$2:$I$37)-INDEX($BA$2:$BA$37,MATCH(CK8,$AZ$2:$AZ$37,0))</f>
        <v>0</v>
      </c>
      <c r="CL16" s="319">
        <f>SUMIF(Calcs!$A$2:$A$37,League!CL8,Calcs!$I$2:$I$37)-INDEX($BA$2:$BA$37,MATCH(CL8,$AZ$2:$AZ$37,0))</f>
        <v>0</v>
      </c>
      <c r="CM16" s="319">
        <f>SUMIF(Calcs!$A$2:$A$37,League!CM8,Calcs!$I$2:$I$37)-INDEX($BA$2:$BA$37,MATCH(CM8,$AZ$2:$AZ$37,0))</f>
        <v>0</v>
      </c>
      <c r="CN16" s="319">
        <f>SUMIF(Calcs!$A$2:$A$37,League!CN8,Calcs!$I$2:$I$37)-INDEX($BA$2:$BA$37,MATCH(CN8,$AZ$2:$AZ$37,0))</f>
        <v>0</v>
      </c>
      <c r="CO16" s="319">
        <f>SUMIF(Calcs!$A$2:$A$37,League!CO8,Calcs!$I$2:$I$37)-INDEX($BA$2:$BA$37,MATCH(CO8,$AZ$2:$AZ$37,0))</f>
        <v>0</v>
      </c>
      <c r="CP16" s="319">
        <f>SUMIF(Calcs!$A$2:$A$37,League!CP8,Calcs!$I$2:$I$37)-INDEX($BA$2:$BA$37,MATCH(CP8,$AZ$2:$AZ$37,0))</f>
        <v>0</v>
      </c>
      <c r="CQ16" s="319">
        <f>SUMIF(Calcs!$A$2:$A$37,League!CQ8,Calcs!$I$2:$I$37)-INDEX($BA$2:$BA$37,MATCH(CQ8,$AZ$2:$AZ$37,0))</f>
        <v>0</v>
      </c>
      <c r="CR16" s="319">
        <f>SUMIF(Calcs!$A$2:$A$37,League!CR8,Calcs!$I$2:$I$37)-INDEX($BA$2:$BA$37,MATCH(CR8,$AZ$2:$AZ$37,0))</f>
        <v>0</v>
      </c>
      <c r="CS16" s="204"/>
      <c r="CT16" s="204"/>
      <c r="CU16" s="204"/>
      <c r="CV16" s="204"/>
    </row>
    <row r="17" spans="1:100" ht="17" customHeight="1">
      <c r="A17" s="206">
        <v>1</v>
      </c>
      <c r="B17" s="110">
        <f>Horarios!C17</f>
        <v>46275.875</v>
      </c>
      <c r="C17" s="111">
        <f>Horarios!C17</f>
        <v>46275.875</v>
      </c>
      <c r="D17" s="112" t="s">
        <v>993</v>
      </c>
      <c r="E17" s="207" t="e" cm="1" vm="16">
        <f t="array" ref="E17">badge_home</f>
        <v>#VALUE!</v>
      </c>
      <c r="F17" s="208"/>
      <c r="G17" s="84"/>
      <c r="H17" s="85"/>
      <c r="I17" s="209"/>
      <c r="J17" s="210" t="e" cm="1" vm="20">
        <f t="array" ref="J17">badge_away</f>
        <v>#VALUE!</v>
      </c>
      <c r="K17" s="211" t="s">
        <v>821</v>
      </c>
      <c r="L17" s="129"/>
      <c r="M17" s="188"/>
      <c r="N17" s="52">
        <v>16</v>
      </c>
      <c r="O17" s="25" t="e" cm="1" vm="2">
        <f t="array" ref="O17">badge_away</f>
        <v>#VALUE!</v>
      </c>
      <c r="P17" s="26" t="str">
        <f>IFERROR(INDEX(Calcs!A$2:A$37,MATCH($N17,Calcs!$CJ$2:$CJ$37,0)),"")</f>
        <v>LASK</v>
      </c>
      <c r="Q17" s="27">
        <f>IFERROR(INDEX(Calcs!$B$2:$AB$37,MATCH($N17,Calcs!$CJ$2:$CJ$37,0),MATCH(Q$1,Calcs!$B$1:$AB$1,0)),"")</f>
        <v>0</v>
      </c>
      <c r="R17" s="28">
        <f>IFERROR(INDEX(Calcs!$B$2:$AB$37,MATCH($N17,Calcs!$CJ$2:$CJ$37,0),MATCH(R$1,Calcs!$B$1:$AB$1,0)),"")</f>
        <v>0</v>
      </c>
      <c r="S17" s="28">
        <f>IFERROR(INDEX(Calcs!$B$2:$AB$37,MATCH($N17,Calcs!$CJ$2:$CJ$37,0),MATCH(S$1,Calcs!$B$1:$AB$1,0)),"")</f>
        <v>0</v>
      </c>
      <c r="T17" s="28">
        <f>IFERROR(INDEX(Calcs!$B$2:$AB$37,MATCH($N17,Calcs!$CJ$2:$CJ$37,0),MATCH(T$1,Calcs!$B$1:$AB$1,0)),"")</f>
        <v>0</v>
      </c>
      <c r="U17" s="28">
        <f>IFERROR(INDEX(Calcs!$B$2:$AB$37,MATCH($N17,Calcs!$CJ$2:$CJ$37,0),MATCH(U$1,Calcs!$B$1:$AB$1,0)),"")</f>
        <v>0</v>
      </c>
      <c r="V17" s="28">
        <f>IFERROR(INDEX(Calcs!$B$2:$AB$37,MATCH($N17,Calcs!$CJ$2:$CJ$37,0),MATCH(V$1,Calcs!$B$1:$AB$1,0)),"")</f>
        <v>0</v>
      </c>
      <c r="W17" s="28">
        <f>IFERROR(INDEX(Calcs!$B$2:$AB$37,MATCH($N17,Calcs!$CJ$2:$CJ$37,0),MATCH(W$1,Calcs!$B$1:$AB$1,0)),"")</f>
        <v>0</v>
      </c>
      <c r="X17" s="29">
        <f>IFERROR(INDEX(Calcs!$B$2:$AB$37,MATCH($N17,Calcs!$CJ$2:$CJ$37,0),MATCH(X$1,Calcs!$B$1:$AB$1,0)),"")</f>
        <v>0</v>
      </c>
      <c r="Y17" s="27">
        <f>IFERROR(INDEX(Calcs!$B$2:$AB$37,MATCH($N17,Calcs!$CJ$2:$CJ$37,0),MATCH(Y$1,Calcs!$B$1:$AB$1,0)),"")</f>
        <v>0</v>
      </c>
      <c r="Z17" s="28">
        <f>IFERROR(INDEX(Calcs!$B$2:$AB$37,MATCH($N17,Calcs!$CJ$2:$CJ$37,0),MATCH(Z$1,Calcs!$B$1:$AB$1,0)),"")</f>
        <v>0</v>
      </c>
      <c r="AA17" s="28">
        <f>IFERROR(INDEX(Calcs!$B$2:$AB$37,MATCH($N17,Calcs!$CJ$2:$CJ$37,0),MATCH(AA$1,Calcs!$B$1:$AB$1,0)),"")</f>
        <v>0</v>
      </c>
      <c r="AB17" s="28">
        <f>IFERROR(INDEX(Calcs!$B$2:$AB$37,MATCH($N17,Calcs!$CJ$2:$CJ$37,0),MATCH(AB$1,Calcs!$B$1:$AB$1,0)),"")</f>
        <v>0</v>
      </c>
      <c r="AC17" s="28">
        <f>IFERROR(INDEX(Calcs!$B$2:$AB$37,MATCH($N17,Calcs!$CJ$2:$CJ$37,0),MATCH(AC$1,Calcs!$B$1:$AB$1,0)),"")</f>
        <v>0</v>
      </c>
      <c r="AD17" s="28">
        <f>IFERROR(INDEX(Calcs!$B$2:$AB$37,MATCH($N17,Calcs!$CJ$2:$CJ$37,0),MATCH(AD$1,Calcs!$B$1:$AB$1,0)),"")</f>
        <v>0</v>
      </c>
      <c r="AE17" s="28">
        <f>IFERROR(INDEX(Calcs!$B$2:$AB$37,MATCH($N17,Calcs!$CJ$2:$CJ$37,0),MATCH(AE$1,Calcs!$B$1:$AB$1,0)),"")</f>
        <v>0</v>
      </c>
      <c r="AF17" s="29">
        <f>IFERROR(INDEX(Calcs!$B$2:$AB$37,MATCH($N17,Calcs!$CJ$2:$CJ$37,0),MATCH(AF$1,Calcs!$B$1:$AB$1,0)),"")</f>
        <v>0</v>
      </c>
      <c r="AG17" s="27">
        <f>IFERROR(INDEX(Calcs!$B$2:$AB$37,MATCH($N17,Calcs!$CJ$2:$CJ$37,0),MATCH(AG$1,Calcs!$B$1:$AB$1,0)),"")</f>
        <v>0</v>
      </c>
      <c r="AH17" s="28">
        <f>IFERROR(INDEX(Calcs!$B$2:$AB$37,MATCH($N17,Calcs!$CJ$2:$CJ$37,0),MATCH(AH$1,Calcs!$B$1:$AB$1,0)),"")</f>
        <v>0</v>
      </c>
      <c r="AI17" s="28">
        <f>IFERROR(INDEX(Calcs!$B$2:$AB$37,MATCH($N17,Calcs!$CJ$2:$CJ$37,0),MATCH(AI$1,Calcs!$B$1:$AB$1,0)),"")</f>
        <v>0</v>
      </c>
      <c r="AJ17" s="28">
        <f>IFERROR(INDEX(Calcs!$B$2:$AB$37,MATCH($N17,Calcs!$CJ$2:$CJ$37,0),MATCH(AJ$1,Calcs!$B$1:$AB$1,0)),"")</f>
        <v>0</v>
      </c>
      <c r="AK17" s="28">
        <f>IFERROR(INDEX(Calcs!$B$2:$AB$37,MATCH($N17,Calcs!$CJ$2:$CJ$37,0),MATCH(AK$1,Calcs!$B$1:$AB$1,0)),"")</f>
        <v>0</v>
      </c>
      <c r="AL17" s="28">
        <f>IFERROR(INDEX(Calcs!$B$2:$AB$37,MATCH($N17,Calcs!$CJ$2:$CJ$37,0),MATCH(AL$1,Calcs!$B$1:$AB$1,0)),"")</f>
        <v>0</v>
      </c>
      <c r="AM17" s="28">
        <f>IFERROR(INDEX(Calcs!$B$2:$AB$37,MATCH($N17,Calcs!$CJ$2:$CJ$37,0),MATCH(AM$1,Calcs!$B$1:$AB$1,0)),"")</f>
        <v>0</v>
      </c>
      <c r="AN17" s="30">
        <f>IFERROR(INDEX(Calcs!$B$2:$AB$37,MATCH($N17,Calcs!$CJ$2:$CJ$37,0),MATCH(AN$1,Calcs!$B$1:$AB$1,0)),"")</f>
        <v>0</v>
      </c>
      <c r="AO17" s="28">
        <f>IFERROR(INDEX(Calcs!$B$2:$AB$37,MATCH($N17,Calcs!$CJ$2:$CJ$37,0),MATCH(AO$1,Calcs!$B$1:$AB$1,0)),"")</f>
        <v>0</v>
      </c>
      <c r="AP17" s="28">
        <f>IFERROR(INDEX(Calcs!$B$2:$AB$37,MATCH($N17,Calcs!$CJ$2:$CJ$37,0),MATCH(AP$1,Calcs!$B$1:$AB$1,0)),"")</f>
        <v>0</v>
      </c>
      <c r="AQ17" s="30">
        <f>IFERROR(INDEX(Calcs!$B$2:$AB$37,MATCH($N17,Calcs!$CJ$2:$CJ$37,0),MATCH(AQ$1,Calcs!$B$1:$AB$1,0)),"")</f>
        <v>0</v>
      </c>
      <c r="AR17" s="188"/>
      <c r="AS17" s="202" t="str">
        <f>INDEX(Calcs!A$2:A$37,MATCH($N17,Calcs!$CF$2:$CF$37,0))</f>
        <v>LASK</v>
      </c>
      <c r="AT17" s="98"/>
      <c r="AU17" s="191">
        <f>INDEX(Calcs!$BZ$2:$BZ$37,MATCH($AS17,Calcs!$A$2:$A$37,0))</f>
        <v>1</v>
      </c>
      <c r="AV17" s="191">
        <f t="shared" si="1"/>
        <v>36</v>
      </c>
      <c r="AW17" s="191" t="str">
        <f t="shared" si="2"/>
        <v>1.36</v>
      </c>
      <c r="AX17" s="191">
        <f ca="1"/>
        <v>16</v>
      </c>
      <c r="AY17" s="188"/>
      <c r="AZ17" s="212" t="str">
        <f>TablaEquipos[[#This Row],[Team]]</f>
        <v>LASK</v>
      </c>
      <c r="BA17" s="100"/>
      <c r="BB17" s="188"/>
      <c r="BC17" s="188"/>
      <c r="BD17" s="188"/>
      <c r="BE17" s="188"/>
      <c r="BF17" s="319" t="str">
        <f t="shared" si="0"/>
        <v>Pendiente</v>
      </c>
      <c r="BI17" s="319">
        <f>SUMIF(Calcs!$A$2:$A$37,League!BI9,Calcs!$I$2:$I$37)-INDEX($BA$2:$BA$37,MATCH(BI9,$AZ$2:$AZ$37,0))</f>
        <v>0</v>
      </c>
      <c r="BJ17" s="319">
        <f>SUMIF(Calcs!$A$2:$A$37,League!BJ9,Calcs!$I$2:$I$37)-INDEX($BA$2:$BA$37,MATCH(BJ9,$AZ$2:$AZ$37,0))</f>
        <v>0</v>
      </c>
      <c r="BK17" s="319">
        <f>SUMIF(Calcs!$A$2:$A$37,League!BK9,Calcs!$I$2:$I$37)-INDEX($BA$2:$BA$37,MATCH(BK9,$AZ$2:$AZ$37,0))</f>
        <v>0</v>
      </c>
      <c r="BL17" s="319">
        <f>SUMIF(Calcs!$A$2:$A$37,League!BL9,Calcs!$I$2:$I$37)-INDEX($BA$2:$BA$37,MATCH(BL9,$AZ$2:$AZ$37,0))</f>
        <v>0</v>
      </c>
      <c r="BM17" s="319">
        <f>SUMIF(Calcs!$A$2:$A$37,League!BM9,Calcs!$I$2:$I$37)-INDEX($BA$2:$BA$37,MATCH(BM9,$AZ$2:$AZ$37,0))</f>
        <v>0</v>
      </c>
      <c r="BN17" s="319">
        <f>SUMIF(Calcs!$A$2:$A$37,League!BN9,Calcs!$I$2:$I$37)-INDEX($BA$2:$BA$37,MATCH(BN9,$AZ$2:$AZ$37,0))</f>
        <v>0</v>
      </c>
      <c r="BO17" s="319">
        <f>SUMIF(Calcs!$A$2:$A$37,League!BO9,Calcs!$I$2:$I$37)-INDEX($BA$2:$BA$37,MATCH(BO9,$AZ$2:$AZ$37,0))</f>
        <v>0</v>
      </c>
      <c r="BP17" s="319">
        <f>SUMIF(Calcs!$A$2:$A$37,League!BP9,Calcs!$I$2:$I$37)-INDEX($BA$2:$BA$37,MATCH(BP9,$AZ$2:$AZ$37,0))</f>
        <v>0</v>
      </c>
      <c r="BQ17" s="319">
        <f>SUMIF(Calcs!$A$2:$A$37,League!BQ9,Calcs!$I$2:$I$37)-INDEX($BA$2:$BA$37,MATCH(BQ9,$AZ$2:$AZ$37,0))</f>
        <v>0</v>
      </c>
      <c r="BR17" s="319">
        <f>SUMIF(Calcs!$A$2:$A$37,League!BR9,Calcs!$I$2:$I$37)-INDEX($BA$2:$BA$37,MATCH(BR9,$AZ$2:$AZ$37,0))</f>
        <v>0</v>
      </c>
      <c r="BS17" s="319">
        <f>SUMIF(Calcs!$A$2:$A$37,League!BS9,Calcs!$I$2:$I$37)-INDEX($BA$2:$BA$37,MATCH(BS9,$AZ$2:$AZ$37,0))</f>
        <v>0</v>
      </c>
      <c r="BT17" s="319">
        <f>SUMIF(Calcs!$A$2:$A$37,League!BT9,Calcs!$I$2:$I$37)-INDEX($BA$2:$BA$37,MATCH(BT9,$AZ$2:$AZ$37,0))</f>
        <v>0</v>
      </c>
      <c r="BU17" s="319">
        <f>SUMIF(Calcs!$A$2:$A$37,League!BU9,Calcs!$I$2:$I$37)-INDEX($BA$2:$BA$37,MATCH(BU9,$AZ$2:$AZ$37,0))</f>
        <v>0</v>
      </c>
      <c r="BV17" s="319">
        <f>SUMIF(Calcs!$A$2:$A$37,League!BV9,Calcs!$I$2:$I$37)-INDEX($BA$2:$BA$37,MATCH(BV9,$AZ$2:$AZ$37,0))</f>
        <v>0</v>
      </c>
      <c r="BW17" s="319">
        <f>SUMIF(Calcs!$A$2:$A$37,League!BW9,Calcs!$I$2:$I$37)-INDEX($BA$2:$BA$37,MATCH(BW9,$AZ$2:$AZ$37,0))</f>
        <v>0</v>
      </c>
      <c r="BX17" s="319">
        <f>SUMIF(Calcs!$A$2:$A$37,League!BX9,Calcs!$I$2:$I$37)-INDEX($BA$2:$BA$37,MATCH(BX9,$AZ$2:$AZ$37,0))</f>
        <v>0</v>
      </c>
      <c r="BY17" s="319">
        <f>SUMIF(Calcs!$A$2:$A$37,League!BY9,Calcs!$I$2:$I$37)-INDEX($BA$2:$BA$37,MATCH(BY9,$AZ$2:$AZ$37,0))</f>
        <v>0</v>
      </c>
      <c r="BZ17" s="319">
        <f>SUMIF(Calcs!$A$2:$A$37,League!BZ9,Calcs!$I$2:$I$37)-INDEX($BA$2:$BA$37,MATCH(BZ9,$AZ$2:$AZ$37,0))</f>
        <v>0</v>
      </c>
      <c r="CA17" s="319">
        <f>SUMIF(Calcs!$A$2:$A$37,League!CA9,Calcs!$I$2:$I$37)-INDEX($BA$2:$BA$37,MATCH(CA9,$AZ$2:$AZ$37,0))</f>
        <v>0</v>
      </c>
      <c r="CB17" s="319">
        <f>SUMIF(Calcs!$A$2:$A$37,League!CB9,Calcs!$I$2:$I$37)-INDEX($BA$2:$BA$37,MATCH(CB9,$AZ$2:$AZ$37,0))</f>
        <v>0</v>
      </c>
      <c r="CC17" s="319">
        <f>SUMIF(Calcs!$A$2:$A$37,League!CC9,Calcs!$I$2:$I$37)-INDEX($BA$2:$BA$37,MATCH(CC9,$AZ$2:$AZ$37,0))</f>
        <v>0</v>
      </c>
      <c r="CD17" s="319">
        <f>SUMIF(Calcs!$A$2:$A$37,League!CD9,Calcs!$I$2:$I$37)-INDEX($BA$2:$BA$37,MATCH(CD9,$AZ$2:$AZ$37,0))</f>
        <v>0</v>
      </c>
      <c r="CE17" s="319">
        <f>SUMIF(Calcs!$A$2:$A$37,League!CE9,Calcs!$I$2:$I$37)-INDEX($BA$2:$BA$37,MATCH(CE9,$AZ$2:$AZ$37,0))</f>
        <v>0</v>
      </c>
      <c r="CF17" s="319">
        <f>SUMIF(Calcs!$A$2:$A$37,League!CF9,Calcs!$I$2:$I$37)-INDEX($BA$2:$BA$37,MATCH(CF9,$AZ$2:$AZ$37,0))</f>
        <v>0</v>
      </c>
      <c r="CG17" s="319">
        <f>SUMIF(Calcs!$A$2:$A$37,League!CG9,Calcs!$I$2:$I$37)-INDEX($BA$2:$BA$37,MATCH(CG9,$AZ$2:$AZ$37,0))</f>
        <v>0</v>
      </c>
      <c r="CH17" s="319">
        <f>SUMIF(Calcs!$A$2:$A$37,League!CH9,Calcs!$I$2:$I$37)-INDEX($BA$2:$BA$37,MATCH(CH9,$AZ$2:$AZ$37,0))</f>
        <v>0</v>
      </c>
      <c r="CI17" s="319">
        <f>SUMIF(Calcs!$A$2:$A$37,League!CI9,Calcs!$I$2:$I$37)-INDEX($BA$2:$BA$37,MATCH(CI9,$AZ$2:$AZ$37,0))</f>
        <v>0</v>
      </c>
      <c r="CJ17" s="319">
        <f>SUMIF(Calcs!$A$2:$A$37,League!CJ9,Calcs!$I$2:$I$37)-INDEX($BA$2:$BA$37,MATCH(CJ9,$AZ$2:$AZ$37,0))</f>
        <v>0</v>
      </c>
      <c r="CK17" s="319">
        <f>SUMIF(Calcs!$A$2:$A$37,League!CK9,Calcs!$I$2:$I$37)-INDEX($BA$2:$BA$37,MATCH(CK9,$AZ$2:$AZ$37,0))</f>
        <v>0</v>
      </c>
      <c r="CL17" s="319">
        <f>SUMIF(Calcs!$A$2:$A$37,League!CL9,Calcs!$I$2:$I$37)-INDEX($BA$2:$BA$37,MATCH(CL9,$AZ$2:$AZ$37,0))</f>
        <v>0</v>
      </c>
      <c r="CM17" s="319">
        <f>SUMIF(Calcs!$A$2:$A$37,League!CM9,Calcs!$I$2:$I$37)-INDEX($BA$2:$BA$37,MATCH(CM9,$AZ$2:$AZ$37,0))</f>
        <v>0</v>
      </c>
      <c r="CN17" s="319">
        <f>SUMIF(Calcs!$A$2:$A$37,League!CN9,Calcs!$I$2:$I$37)-INDEX($BA$2:$BA$37,MATCH(CN9,$AZ$2:$AZ$37,0))</f>
        <v>0</v>
      </c>
      <c r="CO17" s="319">
        <f>SUMIF(Calcs!$A$2:$A$37,League!CO9,Calcs!$I$2:$I$37)-INDEX($BA$2:$BA$37,MATCH(CO9,$AZ$2:$AZ$37,0))</f>
        <v>0</v>
      </c>
      <c r="CP17" s="319">
        <f>SUMIF(Calcs!$A$2:$A$37,League!CP9,Calcs!$I$2:$I$37)-INDEX($BA$2:$BA$37,MATCH(CP9,$AZ$2:$AZ$37,0))</f>
        <v>0</v>
      </c>
      <c r="CQ17" s="319">
        <f>SUMIF(Calcs!$A$2:$A$37,League!CQ9,Calcs!$I$2:$I$37)-INDEX($BA$2:$BA$37,MATCH(CQ9,$AZ$2:$AZ$37,0))</f>
        <v>0</v>
      </c>
      <c r="CR17" s="319">
        <f>SUMIF(Calcs!$A$2:$A$37,League!CR9,Calcs!$I$2:$I$37)-INDEX($BA$2:$BA$37,MATCH(CR9,$AZ$2:$AZ$37,0))</f>
        <v>0</v>
      </c>
      <c r="CS17" s="204"/>
      <c r="CT17" s="204"/>
      <c r="CU17" s="204"/>
      <c r="CV17" s="204"/>
    </row>
    <row r="18" spans="1:100" ht="17" customHeight="1">
      <c r="A18" s="213">
        <v>1</v>
      </c>
      <c r="B18" s="113">
        <f>Horarios!C18</f>
        <v>46275.875</v>
      </c>
      <c r="C18" s="114">
        <f>Horarios!C18</f>
        <v>46275.875</v>
      </c>
      <c r="D18" s="115" t="s">
        <v>1004</v>
      </c>
      <c r="E18" s="214" t="e" cm="1" vm="33">
        <f t="array" ref="E18">badge_home</f>
        <v>#VALUE!</v>
      </c>
      <c r="F18" s="215"/>
      <c r="G18" s="86"/>
      <c r="H18" s="87"/>
      <c r="I18" s="216"/>
      <c r="J18" s="217" t="e" cm="1" vm="34">
        <f t="array" ref="J18">badge_away</f>
        <v>#VALUE!</v>
      </c>
      <c r="K18" s="132" t="s">
        <v>1030</v>
      </c>
      <c r="L18" s="129"/>
      <c r="M18" s="188"/>
      <c r="N18" s="53">
        <v>17</v>
      </c>
      <c r="O18" s="31" t="e" cm="1" vm="32">
        <f t="array" ref="O18">badge_away</f>
        <v>#VALUE!</v>
      </c>
      <c r="P18" s="32" t="str">
        <f>IFERROR(INDEX(Calcs!A$2:A$37,MATCH($N18,Calcs!$CJ$2:$CJ$37,0)),"")</f>
        <v>Leipzig</v>
      </c>
      <c r="Q18" s="33">
        <f>IFERROR(INDEX(Calcs!$B$2:$AB$37,MATCH($N18,Calcs!$CJ$2:$CJ$37,0),MATCH(Q$1,Calcs!$B$1:$AB$1,0)),"")</f>
        <v>0</v>
      </c>
      <c r="R18" s="34">
        <f>IFERROR(INDEX(Calcs!$B$2:$AB$37,MATCH($N18,Calcs!$CJ$2:$CJ$37,0),MATCH(R$1,Calcs!$B$1:$AB$1,0)),"")</f>
        <v>0</v>
      </c>
      <c r="S18" s="34">
        <f>IFERROR(INDEX(Calcs!$B$2:$AB$37,MATCH($N18,Calcs!$CJ$2:$CJ$37,0),MATCH(S$1,Calcs!$B$1:$AB$1,0)),"")</f>
        <v>0</v>
      </c>
      <c r="T18" s="34">
        <f>IFERROR(INDEX(Calcs!$B$2:$AB$37,MATCH($N18,Calcs!$CJ$2:$CJ$37,0),MATCH(T$1,Calcs!$B$1:$AB$1,0)),"")</f>
        <v>0</v>
      </c>
      <c r="U18" s="34">
        <f>IFERROR(INDEX(Calcs!$B$2:$AB$37,MATCH($N18,Calcs!$CJ$2:$CJ$37,0),MATCH(U$1,Calcs!$B$1:$AB$1,0)),"")</f>
        <v>0</v>
      </c>
      <c r="V18" s="34">
        <f>IFERROR(INDEX(Calcs!$B$2:$AB$37,MATCH($N18,Calcs!$CJ$2:$CJ$37,0),MATCH(V$1,Calcs!$B$1:$AB$1,0)),"")</f>
        <v>0</v>
      </c>
      <c r="W18" s="34">
        <f>IFERROR(INDEX(Calcs!$B$2:$AB$37,MATCH($N18,Calcs!$CJ$2:$CJ$37,0),MATCH(W$1,Calcs!$B$1:$AB$1,0)),"")</f>
        <v>0</v>
      </c>
      <c r="X18" s="35">
        <f>IFERROR(INDEX(Calcs!$B$2:$AB$37,MATCH($N18,Calcs!$CJ$2:$CJ$37,0),MATCH(X$1,Calcs!$B$1:$AB$1,0)),"")</f>
        <v>0</v>
      </c>
      <c r="Y18" s="33">
        <f>IFERROR(INDEX(Calcs!$B$2:$AB$37,MATCH($N18,Calcs!$CJ$2:$CJ$37,0),MATCH(Y$1,Calcs!$B$1:$AB$1,0)),"")</f>
        <v>0</v>
      </c>
      <c r="Z18" s="34">
        <f>IFERROR(INDEX(Calcs!$B$2:$AB$37,MATCH($N18,Calcs!$CJ$2:$CJ$37,0),MATCH(Z$1,Calcs!$B$1:$AB$1,0)),"")</f>
        <v>0</v>
      </c>
      <c r="AA18" s="34">
        <f>IFERROR(INDEX(Calcs!$B$2:$AB$37,MATCH($N18,Calcs!$CJ$2:$CJ$37,0),MATCH(AA$1,Calcs!$B$1:$AB$1,0)),"")</f>
        <v>0</v>
      </c>
      <c r="AB18" s="34">
        <f>IFERROR(INDEX(Calcs!$B$2:$AB$37,MATCH($N18,Calcs!$CJ$2:$CJ$37,0),MATCH(AB$1,Calcs!$B$1:$AB$1,0)),"")</f>
        <v>0</v>
      </c>
      <c r="AC18" s="34">
        <f>IFERROR(INDEX(Calcs!$B$2:$AB$37,MATCH($N18,Calcs!$CJ$2:$CJ$37,0),MATCH(AC$1,Calcs!$B$1:$AB$1,0)),"")</f>
        <v>0</v>
      </c>
      <c r="AD18" s="34">
        <f>IFERROR(INDEX(Calcs!$B$2:$AB$37,MATCH($N18,Calcs!$CJ$2:$CJ$37,0),MATCH(AD$1,Calcs!$B$1:$AB$1,0)),"")</f>
        <v>0</v>
      </c>
      <c r="AE18" s="34">
        <f>IFERROR(INDEX(Calcs!$B$2:$AB$37,MATCH($N18,Calcs!$CJ$2:$CJ$37,0),MATCH(AE$1,Calcs!$B$1:$AB$1,0)),"")</f>
        <v>0</v>
      </c>
      <c r="AF18" s="35">
        <f>IFERROR(INDEX(Calcs!$B$2:$AB$37,MATCH($N18,Calcs!$CJ$2:$CJ$37,0),MATCH(AF$1,Calcs!$B$1:$AB$1,0)),"")</f>
        <v>0</v>
      </c>
      <c r="AG18" s="33">
        <f>IFERROR(INDEX(Calcs!$B$2:$AB$37,MATCH($N18,Calcs!$CJ$2:$CJ$37,0),MATCH(AG$1,Calcs!$B$1:$AB$1,0)),"")</f>
        <v>0</v>
      </c>
      <c r="AH18" s="34">
        <f>IFERROR(INDEX(Calcs!$B$2:$AB$37,MATCH($N18,Calcs!$CJ$2:$CJ$37,0),MATCH(AH$1,Calcs!$B$1:$AB$1,0)),"")</f>
        <v>0</v>
      </c>
      <c r="AI18" s="34">
        <f>IFERROR(INDEX(Calcs!$B$2:$AB$37,MATCH($N18,Calcs!$CJ$2:$CJ$37,0),MATCH(AI$1,Calcs!$B$1:$AB$1,0)),"")</f>
        <v>0</v>
      </c>
      <c r="AJ18" s="34">
        <f>IFERROR(INDEX(Calcs!$B$2:$AB$37,MATCH($N18,Calcs!$CJ$2:$CJ$37,0),MATCH(AJ$1,Calcs!$B$1:$AB$1,0)),"")</f>
        <v>0</v>
      </c>
      <c r="AK18" s="34">
        <f>IFERROR(INDEX(Calcs!$B$2:$AB$37,MATCH($N18,Calcs!$CJ$2:$CJ$37,0),MATCH(AK$1,Calcs!$B$1:$AB$1,0)),"")</f>
        <v>0</v>
      </c>
      <c r="AL18" s="34">
        <f>IFERROR(INDEX(Calcs!$B$2:$AB$37,MATCH($N18,Calcs!$CJ$2:$CJ$37,0),MATCH(AL$1,Calcs!$B$1:$AB$1,0)),"")</f>
        <v>0</v>
      </c>
      <c r="AM18" s="34">
        <f>IFERROR(INDEX(Calcs!$B$2:$AB$37,MATCH($N18,Calcs!$CJ$2:$CJ$37,0),MATCH(AM$1,Calcs!$B$1:$AB$1,0)),"")</f>
        <v>0</v>
      </c>
      <c r="AN18" s="36">
        <f>IFERROR(INDEX(Calcs!$B$2:$AB$37,MATCH($N18,Calcs!$CJ$2:$CJ$37,0),MATCH(AN$1,Calcs!$B$1:$AB$1,0)),"")</f>
        <v>0</v>
      </c>
      <c r="AO18" s="34">
        <f>IFERROR(INDEX(Calcs!$B$2:$AB$37,MATCH($N18,Calcs!$CJ$2:$CJ$37,0),MATCH(AO$1,Calcs!$B$1:$AB$1,0)),"")</f>
        <v>0</v>
      </c>
      <c r="AP18" s="34">
        <f>IFERROR(INDEX(Calcs!$B$2:$AB$37,MATCH($N18,Calcs!$CJ$2:$CJ$37,0),MATCH(AP$1,Calcs!$B$1:$AB$1,0)),"")</f>
        <v>0</v>
      </c>
      <c r="AQ18" s="36">
        <f>IFERROR(INDEX(Calcs!$B$2:$AB$37,MATCH($N18,Calcs!$CJ$2:$CJ$37,0),MATCH(AQ$1,Calcs!$B$1:$AB$1,0)),"")</f>
        <v>0</v>
      </c>
      <c r="AR18" s="188"/>
      <c r="AS18" s="202" t="str">
        <f>INDEX(Calcs!A$2:A$37,MATCH($N18,Calcs!$CF$2:$CF$37,0))</f>
        <v>Leipzig</v>
      </c>
      <c r="AT18" s="98"/>
      <c r="AU18" s="191">
        <f>INDEX(Calcs!$BZ$2:$BZ$37,MATCH($AS18,Calcs!$A$2:$A$37,0))</f>
        <v>1</v>
      </c>
      <c r="AV18" s="191">
        <f t="shared" si="1"/>
        <v>36</v>
      </c>
      <c r="AW18" s="191" t="str">
        <f t="shared" si="2"/>
        <v>1.36</v>
      </c>
      <c r="AX18" s="191">
        <f ca="1"/>
        <v>17</v>
      </c>
      <c r="AY18" s="188"/>
      <c r="AZ18" s="203" t="str">
        <f>TablaEquipos[[#This Row],[Team]]</f>
        <v>Leipzig</v>
      </c>
      <c r="BA18" s="99"/>
      <c r="BB18" s="188"/>
      <c r="BC18" s="188"/>
      <c r="BD18" s="188"/>
      <c r="BE18" s="188"/>
      <c r="BF18" s="319" t="str">
        <f t="shared" si="0"/>
        <v>Pendiente</v>
      </c>
      <c r="BH18" s="321" t="s">
        <v>745</v>
      </c>
      <c r="BI18" s="545">
        <f>SUM(BI10:BI17)</f>
        <v>0</v>
      </c>
      <c r="BJ18" s="545">
        <f>SUM(BJ10:BJ17)</f>
        <v>0</v>
      </c>
      <c r="BK18" s="545">
        <f t="shared" ref="BK18:CR18" si="3">SUM(BK10:BK17)</f>
        <v>0</v>
      </c>
      <c r="BL18" s="545">
        <f t="shared" si="3"/>
        <v>0</v>
      </c>
      <c r="BM18" s="545">
        <f t="shared" si="3"/>
        <v>0</v>
      </c>
      <c r="BN18" s="545">
        <f t="shared" si="3"/>
        <v>0</v>
      </c>
      <c r="BO18" s="545">
        <f t="shared" si="3"/>
        <v>0</v>
      </c>
      <c r="BP18" s="545">
        <f t="shared" si="3"/>
        <v>0</v>
      </c>
      <c r="BQ18" s="545">
        <f t="shared" si="3"/>
        <v>0</v>
      </c>
      <c r="BR18" s="545">
        <f t="shared" si="3"/>
        <v>0</v>
      </c>
      <c r="BS18" s="545">
        <f t="shared" si="3"/>
        <v>0</v>
      </c>
      <c r="BT18" s="545">
        <f t="shared" si="3"/>
        <v>0</v>
      </c>
      <c r="BU18" s="545">
        <f t="shared" si="3"/>
        <v>0</v>
      </c>
      <c r="BV18" s="545">
        <f t="shared" si="3"/>
        <v>0</v>
      </c>
      <c r="BW18" s="545">
        <f t="shared" si="3"/>
        <v>0</v>
      </c>
      <c r="BX18" s="545">
        <f t="shared" si="3"/>
        <v>0</v>
      </c>
      <c r="BY18" s="545">
        <f t="shared" si="3"/>
        <v>0</v>
      </c>
      <c r="BZ18" s="545">
        <f t="shared" si="3"/>
        <v>0</v>
      </c>
      <c r="CA18" s="545">
        <f t="shared" si="3"/>
        <v>0</v>
      </c>
      <c r="CB18" s="545">
        <f t="shared" si="3"/>
        <v>0</v>
      </c>
      <c r="CC18" s="545">
        <f t="shared" si="3"/>
        <v>0</v>
      </c>
      <c r="CD18" s="545">
        <f t="shared" si="3"/>
        <v>0</v>
      </c>
      <c r="CE18" s="545">
        <f t="shared" si="3"/>
        <v>0</v>
      </c>
      <c r="CF18" s="545">
        <f t="shared" si="3"/>
        <v>0</v>
      </c>
      <c r="CG18" s="545">
        <f t="shared" si="3"/>
        <v>0</v>
      </c>
      <c r="CH18" s="545">
        <f t="shared" si="3"/>
        <v>0</v>
      </c>
      <c r="CI18" s="545">
        <f t="shared" si="3"/>
        <v>0</v>
      </c>
      <c r="CJ18" s="545">
        <f t="shared" si="3"/>
        <v>0</v>
      </c>
      <c r="CK18" s="545">
        <f t="shared" si="3"/>
        <v>0</v>
      </c>
      <c r="CL18" s="545">
        <f t="shared" si="3"/>
        <v>0</v>
      </c>
      <c r="CM18" s="545">
        <f t="shared" si="3"/>
        <v>0</v>
      </c>
      <c r="CN18" s="545">
        <f t="shared" si="3"/>
        <v>0</v>
      </c>
      <c r="CO18" s="545">
        <f t="shared" si="3"/>
        <v>0</v>
      </c>
      <c r="CP18" s="545">
        <f t="shared" si="3"/>
        <v>0</v>
      </c>
      <c r="CQ18" s="545">
        <f t="shared" si="3"/>
        <v>0</v>
      </c>
      <c r="CR18" s="545">
        <f t="shared" si="3"/>
        <v>0</v>
      </c>
      <c r="CS18" s="220"/>
      <c r="CT18" s="220"/>
      <c r="CU18" s="220"/>
      <c r="CV18" s="220"/>
    </row>
    <row r="19" spans="1:100" ht="17" customHeight="1" thickBot="1">
      <c r="A19" s="206">
        <v>1</v>
      </c>
      <c r="B19" s="110">
        <f>Horarios!C19</f>
        <v>46275.875</v>
      </c>
      <c r="C19" s="111">
        <f>Horarios!C19</f>
        <v>46275.875</v>
      </c>
      <c r="D19" s="112" t="s">
        <v>995</v>
      </c>
      <c r="E19" s="207" t="e" cm="1" vm="35">
        <f t="array" ref="E19">badge_home</f>
        <v>#VALUE!</v>
      </c>
      <c r="F19" s="208"/>
      <c r="G19" s="84"/>
      <c r="H19" s="85"/>
      <c r="I19" s="209"/>
      <c r="J19" s="210" t="e" cm="1" vm="36">
        <f t="array" ref="J19">badge_away</f>
        <v>#VALUE!</v>
      </c>
      <c r="K19" s="211" t="s">
        <v>1003</v>
      </c>
      <c r="L19" s="129"/>
      <c r="M19" s="188"/>
      <c r="N19" s="53">
        <v>18</v>
      </c>
      <c r="O19" s="31" t="e" cm="1" vm="36">
        <f t="array" ref="O19">badge_away</f>
        <v>#VALUE!</v>
      </c>
      <c r="P19" s="32" t="str">
        <f>IFERROR(INDEX(Calcs!A$2:A$37,MATCH($N19,Calcs!$CJ$2:$CJ$37,0)),"")</f>
        <v>Lens</v>
      </c>
      <c r="Q19" s="33">
        <f>IFERROR(INDEX(Calcs!$B$2:$AB$37,MATCH($N19,Calcs!$CJ$2:$CJ$37,0),MATCH(Q$1,Calcs!$B$1:$AB$1,0)),"")</f>
        <v>0</v>
      </c>
      <c r="R19" s="34">
        <f>IFERROR(INDEX(Calcs!$B$2:$AB$37,MATCH($N19,Calcs!$CJ$2:$CJ$37,0),MATCH(R$1,Calcs!$B$1:$AB$1,0)),"")</f>
        <v>0</v>
      </c>
      <c r="S19" s="34">
        <f>IFERROR(INDEX(Calcs!$B$2:$AB$37,MATCH($N19,Calcs!$CJ$2:$CJ$37,0),MATCH(S$1,Calcs!$B$1:$AB$1,0)),"")</f>
        <v>0</v>
      </c>
      <c r="T19" s="34">
        <f>IFERROR(INDEX(Calcs!$B$2:$AB$37,MATCH($N19,Calcs!$CJ$2:$CJ$37,0),MATCH(T$1,Calcs!$B$1:$AB$1,0)),"")</f>
        <v>0</v>
      </c>
      <c r="U19" s="34">
        <f>IFERROR(INDEX(Calcs!$B$2:$AB$37,MATCH($N19,Calcs!$CJ$2:$CJ$37,0),MATCH(U$1,Calcs!$B$1:$AB$1,0)),"")</f>
        <v>0</v>
      </c>
      <c r="V19" s="34">
        <f>IFERROR(INDEX(Calcs!$B$2:$AB$37,MATCH($N19,Calcs!$CJ$2:$CJ$37,0),MATCH(V$1,Calcs!$B$1:$AB$1,0)),"")</f>
        <v>0</v>
      </c>
      <c r="W19" s="34">
        <f>IFERROR(INDEX(Calcs!$B$2:$AB$37,MATCH($N19,Calcs!$CJ$2:$CJ$37,0),MATCH(W$1,Calcs!$B$1:$AB$1,0)),"")</f>
        <v>0</v>
      </c>
      <c r="X19" s="35">
        <f>IFERROR(INDEX(Calcs!$B$2:$AB$37,MATCH($N19,Calcs!$CJ$2:$CJ$37,0),MATCH(X$1,Calcs!$B$1:$AB$1,0)),"")</f>
        <v>0</v>
      </c>
      <c r="Y19" s="33">
        <f>IFERROR(INDEX(Calcs!$B$2:$AB$37,MATCH($N19,Calcs!$CJ$2:$CJ$37,0),MATCH(Y$1,Calcs!$B$1:$AB$1,0)),"")</f>
        <v>0</v>
      </c>
      <c r="Z19" s="34">
        <f>IFERROR(INDEX(Calcs!$B$2:$AB$37,MATCH($N19,Calcs!$CJ$2:$CJ$37,0),MATCH(Z$1,Calcs!$B$1:$AB$1,0)),"")</f>
        <v>0</v>
      </c>
      <c r="AA19" s="34">
        <f>IFERROR(INDEX(Calcs!$B$2:$AB$37,MATCH($N19,Calcs!$CJ$2:$CJ$37,0),MATCH(AA$1,Calcs!$B$1:$AB$1,0)),"")</f>
        <v>0</v>
      </c>
      <c r="AB19" s="34">
        <f>IFERROR(INDEX(Calcs!$B$2:$AB$37,MATCH($N19,Calcs!$CJ$2:$CJ$37,0),MATCH(AB$1,Calcs!$B$1:$AB$1,0)),"")</f>
        <v>0</v>
      </c>
      <c r="AC19" s="34">
        <f>IFERROR(INDEX(Calcs!$B$2:$AB$37,MATCH($N19,Calcs!$CJ$2:$CJ$37,0),MATCH(AC$1,Calcs!$B$1:$AB$1,0)),"")</f>
        <v>0</v>
      </c>
      <c r="AD19" s="34">
        <f>IFERROR(INDEX(Calcs!$B$2:$AB$37,MATCH($N19,Calcs!$CJ$2:$CJ$37,0),MATCH(AD$1,Calcs!$B$1:$AB$1,0)),"")</f>
        <v>0</v>
      </c>
      <c r="AE19" s="34">
        <f>IFERROR(INDEX(Calcs!$B$2:$AB$37,MATCH($N19,Calcs!$CJ$2:$CJ$37,0),MATCH(AE$1,Calcs!$B$1:$AB$1,0)),"")</f>
        <v>0</v>
      </c>
      <c r="AF19" s="35">
        <f>IFERROR(INDEX(Calcs!$B$2:$AB$37,MATCH($N19,Calcs!$CJ$2:$CJ$37,0),MATCH(AF$1,Calcs!$B$1:$AB$1,0)),"")</f>
        <v>0</v>
      </c>
      <c r="AG19" s="33">
        <f>IFERROR(INDEX(Calcs!$B$2:$AB$37,MATCH($N19,Calcs!$CJ$2:$CJ$37,0),MATCH(AG$1,Calcs!$B$1:$AB$1,0)),"")</f>
        <v>0</v>
      </c>
      <c r="AH19" s="34">
        <f>IFERROR(INDEX(Calcs!$B$2:$AB$37,MATCH($N19,Calcs!$CJ$2:$CJ$37,0),MATCH(AH$1,Calcs!$B$1:$AB$1,0)),"")</f>
        <v>0</v>
      </c>
      <c r="AI19" s="34">
        <f>IFERROR(INDEX(Calcs!$B$2:$AB$37,MATCH($N19,Calcs!$CJ$2:$CJ$37,0),MATCH(AI$1,Calcs!$B$1:$AB$1,0)),"")</f>
        <v>0</v>
      </c>
      <c r="AJ19" s="34">
        <f>IFERROR(INDEX(Calcs!$B$2:$AB$37,MATCH($N19,Calcs!$CJ$2:$CJ$37,0),MATCH(AJ$1,Calcs!$B$1:$AB$1,0)),"")</f>
        <v>0</v>
      </c>
      <c r="AK19" s="34">
        <f>IFERROR(INDEX(Calcs!$B$2:$AB$37,MATCH($N19,Calcs!$CJ$2:$CJ$37,0),MATCH(AK$1,Calcs!$B$1:$AB$1,0)),"")</f>
        <v>0</v>
      </c>
      <c r="AL19" s="34">
        <f>IFERROR(INDEX(Calcs!$B$2:$AB$37,MATCH($N19,Calcs!$CJ$2:$CJ$37,0),MATCH(AL$1,Calcs!$B$1:$AB$1,0)),"")</f>
        <v>0</v>
      </c>
      <c r="AM19" s="34">
        <f>IFERROR(INDEX(Calcs!$B$2:$AB$37,MATCH($N19,Calcs!$CJ$2:$CJ$37,0),MATCH(AM$1,Calcs!$B$1:$AB$1,0)),"")</f>
        <v>0</v>
      </c>
      <c r="AN19" s="36">
        <f>IFERROR(INDEX(Calcs!$B$2:$AB$37,MATCH($N19,Calcs!$CJ$2:$CJ$37,0),MATCH(AN$1,Calcs!$B$1:$AB$1,0)),"")</f>
        <v>0</v>
      </c>
      <c r="AO19" s="34">
        <f>IFERROR(INDEX(Calcs!$B$2:$AB$37,MATCH($N19,Calcs!$CJ$2:$CJ$37,0),MATCH(AO$1,Calcs!$B$1:$AB$1,0)),"")</f>
        <v>0</v>
      </c>
      <c r="AP19" s="34">
        <f>IFERROR(INDEX(Calcs!$B$2:$AB$37,MATCH($N19,Calcs!$CJ$2:$CJ$37,0),MATCH(AP$1,Calcs!$B$1:$AB$1,0)),"")</f>
        <v>0</v>
      </c>
      <c r="AQ19" s="36">
        <f>IFERROR(INDEX(Calcs!$B$2:$AB$37,MATCH($N19,Calcs!$CJ$2:$CJ$37,0),MATCH(AQ$1,Calcs!$B$1:$AB$1,0)),"")</f>
        <v>0</v>
      </c>
      <c r="AR19" s="188"/>
      <c r="AS19" s="202" t="str">
        <f>INDEX(Calcs!A$2:A$37,MATCH($N19,Calcs!$CF$2:$CF$37,0))</f>
        <v>Lens</v>
      </c>
      <c r="AT19" s="98"/>
      <c r="AU19" s="191">
        <f>INDEX(Calcs!$BZ$2:$BZ$37,MATCH($AS19,Calcs!$A$2:$A$37,0))</f>
        <v>1</v>
      </c>
      <c r="AV19" s="191">
        <f t="shared" si="1"/>
        <v>36</v>
      </c>
      <c r="AW19" s="191" t="str">
        <f t="shared" si="2"/>
        <v>1.36</v>
      </c>
      <c r="AX19" s="191">
        <f ca="1"/>
        <v>18</v>
      </c>
      <c r="AY19" s="188"/>
      <c r="AZ19" s="212" t="str">
        <f>TablaEquipos[[#This Row],[Team]]</f>
        <v>Lens</v>
      </c>
      <c r="BA19" s="100"/>
      <c r="BB19" s="188"/>
      <c r="BC19" s="188"/>
      <c r="BD19" s="188"/>
      <c r="BE19" s="188"/>
      <c r="BF19" s="319" t="str">
        <f t="shared" si="0"/>
        <v>Pendiente</v>
      </c>
      <c r="BH19" s="321" t="s">
        <v>25</v>
      </c>
      <c r="BI19" s="319">
        <f>SUMIF(Calcs!$A$2:$A$37,League!BI2,Calcs!$H$2:$H$37)</f>
        <v>0</v>
      </c>
      <c r="BJ19" s="319">
        <f>SUMIF(Calcs!$A$2:$A$37,League!BJ2,Calcs!$H$2:$H$37)</f>
        <v>0</v>
      </c>
      <c r="BK19" s="319">
        <f>SUMIF(Calcs!$A$2:$A$37,League!BK2,Calcs!$H$2:$H$37)</f>
        <v>0</v>
      </c>
      <c r="BL19" s="319">
        <f>SUMIF(Calcs!$A$2:$A$37,League!BL2,Calcs!$H$2:$H$37)</f>
        <v>0</v>
      </c>
      <c r="BM19" s="319">
        <f>SUMIF(Calcs!$A$2:$A$37,League!BM2,Calcs!$H$2:$H$37)</f>
        <v>0</v>
      </c>
      <c r="BN19" s="319">
        <f>SUMIF(Calcs!$A$2:$A$37,League!BN2,Calcs!$H$2:$H$37)</f>
        <v>0</v>
      </c>
      <c r="BO19" s="319">
        <f>SUMIF(Calcs!$A$2:$A$37,League!BO2,Calcs!$H$2:$H$37)</f>
        <v>0</v>
      </c>
      <c r="BP19" s="319">
        <f>SUMIF(Calcs!$A$2:$A$37,League!BP2,Calcs!$H$2:$H$37)</f>
        <v>0</v>
      </c>
      <c r="BQ19" s="319">
        <f>SUMIF(Calcs!$A$2:$A$37,League!BQ2,Calcs!$H$2:$H$37)</f>
        <v>0</v>
      </c>
      <c r="BR19" s="319">
        <f>SUMIF(Calcs!$A$2:$A$37,League!BR2,Calcs!$H$2:$H$37)</f>
        <v>0</v>
      </c>
      <c r="BS19" s="319">
        <f>SUMIF(Calcs!$A$2:$A$37,League!BS2,Calcs!$H$2:$H$37)</f>
        <v>0</v>
      </c>
      <c r="BT19" s="319">
        <f>SUMIF(Calcs!$A$2:$A$37,League!BT2,Calcs!$H$2:$H$37)</f>
        <v>0</v>
      </c>
      <c r="BU19" s="319">
        <f>SUMIF(Calcs!$A$2:$A$37,League!BU2,Calcs!$H$2:$H$37)</f>
        <v>0</v>
      </c>
      <c r="BV19" s="319">
        <f>SUMIF(Calcs!$A$2:$A$37,League!BV2,Calcs!$H$2:$H$37)</f>
        <v>0</v>
      </c>
      <c r="BW19" s="319">
        <f>SUMIF(Calcs!$A$2:$A$37,League!BW2,Calcs!$H$2:$H$37)</f>
        <v>0</v>
      </c>
      <c r="BX19" s="319">
        <f>SUMIF(Calcs!$A$2:$A$37,League!BX2,Calcs!$H$2:$H$37)</f>
        <v>0</v>
      </c>
      <c r="BY19" s="319">
        <f>SUMIF(Calcs!$A$2:$A$37,League!BY2,Calcs!$H$2:$H$37)</f>
        <v>0</v>
      </c>
      <c r="BZ19" s="319">
        <f>SUMIF(Calcs!$A$2:$A$37,League!BZ2,Calcs!$H$2:$H$37)</f>
        <v>0</v>
      </c>
      <c r="CA19" s="319">
        <f>SUMIF(Calcs!$A$2:$A$37,League!CA2,Calcs!$H$2:$H$37)</f>
        <v>0</v>
      </c>
      <c r="CB19" s="319">
        <f>SUMIF(Calcs!$A$2:$A$37,League!CB2,Calcs!$H$2:$H$37)</f>
        <v>0</v>
      </c>
      <c r="CC19" s="319">
        <f>SUMIF(Calcs!$A$2:$A$37,League!CC2,Calcs!$H$2:$H$37)</f>
        <v>0</v>
      </c>
      <c r="CD19" s="319">
        <f>SUMIF(Calcs!$A$2:$A$37,League!CD2,Calcs!$H$2:$H$37)</f>
        <v>0</v>
      </c>
      <c r="CE19" s="319">
        <f>SUMIF(Calcs!$A$2:$A$37,League!CE2,Calcs!$H$2:$H$37)</f>
        <v>0</v>
      </c>
      <c r="CF19" s="319">
        <f>SUMIF(Calcs!$A$2:$A$37,League!CF2,Calcs!$H$2:$H$37)</f>
        <v>0</v>
      </c>
      <c r="CG19" s="319">
        <f>SUMIF(Calcs!$A$2:$A$37,League!CG2,Calcs!$H$2:$H$37)</f>
        <v>0</v>
      </c>
      <c r="CH19" s="319">
        <f>SUMIF(Calcs!$A$2:$A$37,League!CH2,Calcs!$H$2:$H$37)</f>
        <v>0</v>
      </c>
      <c r="CI19" s="319">
        <f>SUMIF(Calcs!$A$2:$A$37,League!CI2,Calcs!$H$2:$H$37)</f>
        <v>0</v>
      </c>
      <c r="CJ19" s="319">
        <f>SUMIF(Calcs!$A$2:$A$37,League!CJ2,Calcs!$H$2:$H$37)</f>
        <v>0</v>
      </c>
      <c r="CK19" s="319">
        <f>SUMIF(Calcs!$A$2:$A$37,League!CK2,Calcs!$H$2:$H$37)</f>
        <v>0</v>
      </c>
      <c r="CL19" s="319">
        <f>SUMIF(Calcs!$A$2:$A$37,League!CL2,Calcs!$H$2:$H$37)</f>
        <v>0</v>
      </c>
      <c r="CM19" s="319">
        <f>SUMIF(Calcs!$A$2:$A$37,League!CM2,Calcs!$H$2:$H$37)</f>
        <v>0</v>
      </c>
      <c r="CN19" s="319">
        <f>SUMIF(Calcs!$A$2:$A$37,League!CN2,Calcs!$H$2:$H$37)</f>
        <v>0</v>
      </c>
      <c r="CO19" s="319">
        <f>SUMIF(Calcs!$A$2:$A$37,League!CO2,Calcs!$H$2:$H$37)</f>
        <v>0</v>
      </c>
      <c r="CP19" s="319">
        <f>SUMIF(Calcs!$A$2:$A$37,League!CP2,Calcs!$H$2:$H$37)</f>
        <v>0</v>
      </c>
      <c r="CQ19" s="319">
        <f>SUMIF(Calcs!$A$2:$A$37,League!CQ2,Calcs!$H$2:$H$37)</f>
        <v>0</v>
      </c>
      <c r="CR19" s="319">
        <f>SUMIF(Calcs!$A$2:$A$37,League!CR2,Calcs!$H$2:$H$37)</f>
        <v>0</v>
      </c>
      <c r="CS19" s="204"/>
      <c r="CT19" s="204"/>
      <c r="CU19" s="204"/>
      <c r="CV19" s="204"/>
    </row>
    <row r="20" spans="1:100" ht="17" customHeight="1" thickBot="1">
      <c r="A20" s="221">
        <v>2</v>
      </c>
      <c r="B20" s="116">
        <f>Horarios!C20</f>
        <v>46308.78125</v>
      </c>
      <c r="C20" s="117">
        <f>Horarios!C20</f>
        <v>46308.78125</v>
      </c>
      <c r="D20" s="118" t="s">
        <v>1003</v>
      </c>
      <c r="E20" s="222" t="e" cm="1" vm="36">
        <f t="array" ref="E20">badge_home</f>
        <v>#VALUE!</v>
      </c>
      <c r="F20" s="223"/>
      <c r="G20" s="88"/>
      <c r="H20" s="89"/>
      <c r="I20" s="224"/>
      <c r="J20" s="225" t="e" cm="1" vm="24">
        <f t="array" ref="J20">badge_away</f>
        <v>#VALUE!</v>
      </c>
      <c r="K20" s="133" t="s">
        <v>803</v>
      </c>
      <c r="L20" s="226" t="s">
        <v>813</v>
      </c>
      <c r="N20" s="53">
        <v>19</v>
      </c>
      <c r="O20" s="31" t="e" cm="1" vm="11">
        <f t="array" ref="O20">badge_away</f>
        <v>#VALUE!</v>
      </c>
      <c r="P20" s="32" t="str">
        <f>IFERROR(INDEX(Calcs!A$2:A$37,MATCH($N20,Calcs!$CJ$2:$CJ$37,0)),"")</f>
        <v>Lille</v>
      </c>
      <c r="Q20" s="33">
        <f>IFERROR(INDEX(Calcs!$B$2:$AB$37,MATCH($N20,Calcs!$CJ$2:$CJ$37,0),MATCH(Q$1,Calcs!$B$1:$AB$1,0)),"")</f>
        <v>0</v>
      </c>
      <c r="R20" s="34">
        <f>IFERROR(INDEX(Calcs!$B$2:$AB$37,MATCH($N20,Calcs!$CJ$2:$CJ$37,0),MATCH(R$1,Calcs!$B$1:$AB$1,0)),"")</f>
        <v>0</v>
      </c>
      <c r="S20" s="34">
        <f>IFERROR(INDEX(Calcs!$B$2:$AB$37,MATCH($N20,Calcs!$CJ$2:$CJ$37,0),MATCH(S$1,Calcs!$B$1:$AB$1,0)),"")</f>
        <v>0</v>
      </c>
      <c r="T20" s="34">
        <f>IFERROR(INDEX(Calcs!$B$2:$AB$37,MATCH($N20,Calcs!$CJ$2:$CJ$37,0),MATCH(T$1,Calcs!$B$1:$AB$1,0)),"")</f>
        <v>0</v>
      </c>
      <c r="U20" s="34">
        <f>IFERROR(INDEX(Calcs!$B$2:$AB$37,MATCH($N20,Calcs!$CJ$2:$CJ$37,0),MATCH(U$1,Calcs!$B$1:$AB$1,0)),"")</f>
        <v>0</v>
      </c>
      <c r="V20" s="34">
        <f>IFERROR(INDEX(Calcs!$B$2:$AB$37,MATCH($N20,Calcs!$CJ$2:$CJ$37,0),MATCH(V$1,Calcs!$B$1:$AB$1,0)),"")</f>
        <v>0</v>
      </c>
      <c r="W20" s="34">
        <f>IFERROR(INDEX(Calcs!$B$2:$AB$37,MATCH($N20,Calcs!$CJ$2:$CJ$37,0),MATCH(W$1,Calcs!$B$1:$AB$1,0)),"")</f>
        <v>0</v>
      </c>
      <c r="X20" s="35">
        <f>IFERROR(INDEX(Calcs!$B$2:$AB$37,MATCH($N20,Calcs!$CJ$2:$CJ$37,0),MATCH(X$1,Calcs!$B$1:$AB$1,0)),"")</f>
        <v>0</v>
      </c>
      <c r="Y20" s="33">
        <f>IFERROR(INDEX(Calcs!$B$2:$AB$37,MATCH($N20,Calcs!$CJ$2:$CJ$37,0),MATCH(Y$1,Calcs!$B$1:$AB$1,0)),"")</f>
        <v>0</v>
      </c>
      <c r="Z20" s="34">
        <f>IFERROR(INDEX(Calcs!$B$2:$AB$37,MATCH($N20,Calcs!$CJ$2:$CJ$37,0),MATCH(Z$1,Calcs!$B$1:$AB$1,0)),"")</f>
        <v>0</v>
      </c>
      <c r="AA20" s="34">
        <f>IFERROR(INDEX(Calcs!$B$2:$AB$37,MATCH($N20,Calcs!$CJ$2:$CJ$37,0),MATCH(AA$1,Calcs!$B$1:$AB$1,0)),"")</f>
        <v>0</v>
      </c>
      <c r="AB20" s="34">
        <f>IFERROR(INDEX(Calcs!$B$2:$AB$37,MATCH($N20,Calcs!$CJ$2:$CJ$37,0),MATCH(AB$1,Calcs!$B$1:$AB$1,0)),"")</f>
        <v>0</v>
      </c>
      <c r="AC20" s="34">
        <f>IFERROR(INDEX(Calcs!$B$2:$AB$37,MATCH($N20,Calcs!$CJ$2:$CJ$37,0),MATCH(AC$1,Calcs!$B$1:$AB$1,0)),"")</f>
        <v>0</v>
      </c>
      <c r="AD20" s="34">
        <f>IFERROR(INDEX(Calcs!$B$2:$AB$37,MATCH($N20,Calcs!$CJ$2:$CJ$37,0),MATCH(AD$1,Calcs!$B$1:$AB$1,0)),"")</f>
        <v>0</v>
      </c>
      <c r="AE20" s="34">
        <f>IFERROR(INDEX(Calcs!$B$2:$AB$37,MATCH($N20,Calcs!$CJ$2:$CJ$37,0),MATCH(AE$1,Calcs!$B$1:$AB$1,0)),"")</f>
        <v>0</v>
      </c>
      <c r="AF20" s="35">
        <f>IFERROR(INDEX(Calcs!$B$2:$AB$37,MATCH($N20,Calcs!$CJ$2:$CJ$37,0),MATCH(AF$1,Calcs!$B$1:$AB$1,0)),"")</f>
        <v>0</v>
      </c>
      <c r="AG20" s="33">
        <f>IFERROR(INDEX(Calcs!$B$2:$AB$37,MATCH($N20,Calcs!$CJ$2:$CJ$37,0),MATCH(AG$1,Calcs!$B$1:$AB$1,0)),"")</f>
        <v>0</v>
      </c>
      <c r="AH20" s="34">
        <f>IFERROR(INDEX(Calcs!$B$2:$AB$37,MATCH($N20,Calcs!$CJ$2:$CJ$37,0),MATCH(AH$1,Calcs!$B$1:$AB$1,0)),"")</f>
        <v>0</v>
      </c>
      <c r="AI20" s="34">
        <f>IFERROR(INDEX(Calcs!$B$2:$AB$37,MATCH($N20,Calcs!$CJ$2:$CJ$37,0),MATCH(AI$1,Calcs!$B$1:$AB$1,0)),"")</f>
        <v>0</v>
      </c>
      <c r="AJ20" s="34">
        <f>IFERROR(INDEX(Calcs!$B$2:$AB$37,MATCH($N20,Calcs!$CJ$2:$CJ$37,0),MATCH(AJ$1,Calcs!$B$1:$AB$1,0)),"")</f>
        <v>0</v>
      </c>
      <c r="AK20" s="34">
        <f>IFERROR(INDEX(Calcs!$B$2:$AB$37,MATCH($N20,Calcs!$CJ$2:$CJ$37,0),MATCH(AK$1,Calcs!$B$1:$AB$1,0)),"")</f>
        <v>0</v>
      </c>
      <c r="AL20" s="34">
        <f>IFERROR(INDEX(Calcs!$B$2:$AB$37,MATCH($N20,Calcs!$CJ$2:$CJ$37,0),MATCH(AL$1,Calcs!$B$1:$AB$1,0)),"")</f>
        <v>0</v>
      </c>
      <c r="AM20" s="34">
        <f>IFERROR(INDEX(Calcs!$B$2:$AB$37,MATCH($N20,Calcs!$CJ$2:$CJ$37,0),MATCH(AM$1,Calcs!$B$1:$AB$1,0)),"")</f>
        <v>0</v>
      </c>
      <c r="AN20" s="36">
        <f>IFERROR(INDEX(Calcs!$B$2:$AB$37,MATCH($N20,Calcs!$CJ$2:$CJ$37,0),MATCH(AN$1,Calcs!$B$1:$AB$1,0)),"")</f>
        <v>0</v>
      </c>
      <c r="AO20" s="34">
        <f>IFERROR(INDEX(Calcs!$B$2:$AB$37,MATCH($N20,Calcs!$CJ$2:$CJ$37,0),MATCH(AO$1,Calcs!$B$1:$AB$1,0)),"")</f>
        <v>0</v>
      </c>
      <c r="AP20" s="34">
        <f>IFERROR(INDEX(Calcs!$B$2:$AB$37,MATCH($N20,Calcs!$CJ$2:$CJ$37,0),MATCH(AP$1,Calcs!$B$1:$AB$1,0)),"")</f>
        <v>0</v>
      </c>
      <c r="AQ20" s="36">
        <f>IFERROR(INDEX(Calcs!$B$2:$AB$37,MATCH($N20,Calcs!$CJ$2:$CJ$37,0),MATCH(AQ$1,Calcs!$B$1:$AB$1,0)),"")</f>
        <v>0</v>
      </c>
      <c r="AR20" s="188"/>
      <c r="AS20" s="202" t="str">
        <f>INDEX(Calcs!A$2:A$37,MATCH($N20,Calcs!$CF$2:$CF$37,0))</f>
        <v>Lille</v>
      </c>
      <c r="AT20" s="98"/>
      <c r="AU20" s="191">
        <f>INDEX(Calcs!$BZ$2:$BZ$37,MATCH($AS20,Calcs!$A$2:$A$37,0))</f>
        <v>1</v>
      </c>
      <c r="AV20" s="191">
        <f t="shared" si="1"/>
        <v>36</v>
      </c>
      <c r="AW20" s="191" t="str">
        <f t="shared" si="2"/>
        <v>1.36</v>
      </c>
      <c r="AX20" s="191">
        <f ca="1"/>
        <v>19</v>
      </c>
      <c r="AY20" s="188"/>
      <c r="AZ20" s="203" t="str">
        <f>TablaEquipos[[#This Row],[Team]]</f>
        <v>Lille</v>
      </c>
      <c r="BA20" s="99"/>
      <c r="BB20" s="188"/>
      <c r="BC20" s="188"/>
      <c r="BD20" s="188"/>
      <c r="BE20" s="188"/>
      <c r="BF20" s="319" t="str">
        <f t="shared" si="0"/>
        <v>Pendiente</v>
      </c>
      <c r="BI20" s="319">
        <f>SUMIF(Calcs!$A$2:$A$37,League!BI3,Calcs!$H$2:$H$37)</f>
        <v>0</v>
      </c>
      <c r="BJ20" s="319">
        <f>SUMIF(Calcs!$A$2:$A$37,League!BJ3,Calcs!$H$2:$H$37)</f>
        <v>0</v>
      </c>
      <c r="BK20" s="319">
        <f>SUMIF(Calcs!$A$2:$A$37,League!BK3,Calcs!$H$2:$H$37)</f>
        <v>0</v>
      </c>
      <c r="BL20" s="319">
        <f>SUMIF(Calcs!$A$2:$A$37,League!BL3,Calcs!$H$2:$H$37)</f>
        <v>0</v>
      </c>
      <c r="BM20" s="319">
        <f>SUMIF(Calcs!$A$2:$A$37,League!BM3,Calcs!$H$2:$H$37)</f>
        <v>0</v>
      </c>
      <c r="BN20" s="319">
        <f>SUMIF(Calcs!$A$2:$A$37,League!BN3,Calcs!$H$2:$H$37)</f>
        <v>0</v>
      </c>
      <c r="BO20" s="319">
        <f>SUMIF(Calcs!$A$2:$A$37,League!BO3,Calcs!$H$2:$H$37)</f>
        <v>0</v>
      </c>
      <c r="BP20" s="319">
        <f>SUMIF(Calcs!$A$2:$A$37,League!BP3,Calcs!$H$2:$H$37)</f>
        <v>0</v>
      </c>
      <c r="BQ20" s="319">
        <f>SUMIF(Calcs!$A$2:$A$37,League!BQ3,Calcs!$H$2:$H$37)</f>
        <v>0</v>
      </c>
      <c r="BR20" s="319">
        <f>SUMIF(Calcs!$A$2:$A$37,League!BR3,Calcs!$H$2:$H$37)</f>
        <v>0</v>
      </c>
      <c r="BS20" s="319">
        <f>SUMIF(Calcs!$A$2:$A$37,League!BS3,Calcs!$H$2:$H$37)</f>
        <v>0</v>
      </c>
      <c r="BT20" s="319">
        <f>SUMIF(Calcs!$A$2:$A$37,League!BT3,Calcs!$H$2:$H$37)</f>
        <v>0</v>
      </c>
      <c r="BU20" s="319">
        <f>SUMIF(Calcs!$A$2:$A$37,League!BU3,Calcs!$H$2:$H$37)</f>
        <v>0</v>
      </c>
      <c r="BV20" s="319">
        <f>SUMIF(Calcs!$A$2:$A$37,League!BV3,Calcs!$H$2:$H$37)</f>
        <v>0</v>
      </c>
      <c r="BW20" s="319">
        <f>SUMIF(Calcs!$A$2:$A$37,League!BW3,Calcs!$H$2:$H$37)</f>
        <v>0</v>
      </c>
      <c r="BX20" s="319">
        <f>SUMIF(Calcs!$A$2:$A$37,League!BX3,Calcs!$H$2:$H$37)</f>
        <v>0</v>
      </c>
      <c r="BY20" s="319">
        <f>SUMIF(Calcs!$A$2:$A$37,League!BY3,Calcs!$H$2:$H$37)</f>
        <v>0</v>
      </c>
      <c r="BZ20" s="319">
        <f>SUMIF(Calcs!$A$2:$A$37,League!BZ3,Calcs!$H$2:$H$37)</f>
        <v>0</v>
      </c>
      <c r="CA20" s="319">
        <f>SUMIF(Calcs!$A$2:$A$37,League!CA3,Calcs!$H$2:$H$37)</f>
        <v>0</v>
      </c>
      <c r="CB20" s="319">
        <f>SUMIF(Calcs!$A$2:$A$37,League!CB3,Calcs!$H$2:$H$37)</f>
        <v>0</v>
      </c>
      <c r="CC20" s="319">
        <f>SUMIF(Calcs!$A$2:$A$37,League!CC3,Calcs!$H$2:$H$37)</f>
        <v>0</v>
      </c>
      <c r="CD20" s="319">
        <f>SUMIF(Calcs!$A$2:$A$37,League!CD3,Calcs!$H$2:$H$37)</f>
        <v>0</v>
      </c>
      <c r="CE20" s="319">
        <f>SUMIF(Calcs!$A$2:$A$37,League!CE3,Calcs!$H$2:$H$37)</f>
        <v>0</v>
      </c>
      <c r="CF20" s="319">
        <f>SUMIF(Calcs!$A$2:$A$37,League!CF3,Calcs!$H$2:$H$37)</f>
        <v>0</v>
      </c>
      <c r="CG20" s="319">
        <f>SUMIF(Calcs!$A$2:$A$37,League!CG3,Calcs!$H$2:$H$37)</f>
        <v>0</v>
      </c>
      <c r="CH20" s="319">
        <f>SUMIF(Calcs!$A$2:$A$37,League!CH3,Calcs!$H$2:$H$37)</f>
        <v>0</v>
      </c>
      <c r="CI20" s="319">
        <f>SUMIF(Calcs!$A$2:$A$37,League!CI3,Calcs!$H$2:$H$37)</f>
        <v>0</v>
      </c>
      <c r="CJ20" s="319">
        <f>SUMIF(Calcs!$A$2:$A$37,League!CJ3,Calcs!$H$2:$H$37)</f>
        <v>0</v>
      </c>
      <c r="CK20" s="319">
        <f>SUMIF(Calcs!$A$2:$A$37,League!CK3,Calcs!$H$2:$H$37)</f>
        <v>0</v>
      </c>
      <c r="CL20" s="319">
        <f>SUMIF(Calcs!$A$2:$A$37,League!CL3,Calcs!$H$2:$H$37)</f>
        <v>0</v>
      </c>
      <c r="CM20" s="319">
        <f>SUMIF(Calcs!$A$2:$A$37,League!CM3,Calcs!$H$2:$H$37)</f>
        <v>0</v>
      </c>
      <c r="CN20" s="319">
        <f>SUMIF(Calcs!$A$2:$A$37,League!CN3,Calcs!$H$2:$H$37)</f>
        <v>0</v>
      </c>
      <c r="CO20" s="319">
        <f>SUMIF(Calcs!$A$2:$A$37,League!CO3,Calcs!$H$2:$H$37)</f>
        <v>0</v>
      </c>
      <c r="CP20" s="319">
        <f>SUMIF(Calcs!$A$2:$A$37,League!CP3,Calcs!$H$2:$H$37)</f>
        <v>0</v>
      </c>
      <c r="CQ20" s="319">
        <f>SUMIF(Calcs!$A$2:$A$37,League!CQ3,Calcs!$H$2:$H$37)</f>
        <v>0</v>
      </c>
      <c r="CR20" s="319">
        <f>SUMIF(Calcs!$A$2:$A$37,League!CR3,Calcs!$H$2:$H$37)</f>
        <v>0</v>
      </c>
      <c r="CS20" s="204"/>
      <c r="CT20" s="204"/>
      <c r="CU20" s="204"/>
      <c r="CV20" s="204"/>
    </row>
    <row r="21" spans="1:100" ht="17" customHeight="1">
      <c r="A21" s="227">
        <v>2</v>
      </c>
      <c r="B21" s="116">
        <f>Horarios!C21</f>
        <v>46308.78125</v>
      </c>
      <c r="C21" s="117">
        <f>Horarios!C21</f>
        <v>46308.78125</v>
      </c>
      <c r="D21" s="118" t="s">
        <v>1030</v>
      </c>
      <c r="E21" s="222" t="e" cm="1" vm="34">
        <f t="array" ref="E21">badge_home</f>
        <v>#VALUE!</v>
      </c>
      <c r="F21" s="225"/>
      <c r="G21" s="88"/>
      <c r="H21" s="90"/>
      <c r="I21" s="224"/>
      <c r="J21" s="225" t="e" cm="1" vm="35">
        <f t="array" ref="J21">badge_away</f>
        <v>#VALUE!</v>
      </c>
      <c r="K21" s="133" t="s">
        <v>995</v>
      </c>
      <c r="L21" s="129"/>
      <c r="M21" s="188"/>
      <c r="N21" s="53">
        <v>20</v>
      </c>
      <c r="O21" s="31" t="e" cm="1" vm="21">
        <f t="array" ref="O21">badge_away</f>
        <v>#VALUE!</v>
      </c>
      <c r="P21" s="32" t="str">
        <f>IFERROR(INDEX(Calcs!A$2:A$37,MATCH($N21,Calcs!$CJ$2:$CJ$37,0)),"")</f>
        <v>Liverpool</v>
      </c>
      <c r="Q21" s="33">
        <f>IFERROR(INDEX(Calcs!$B$2:$AB$37,MATCH($N21,Calcs!$CJ$2:$CJ$37,0),MATCH(Q$1,Calcs!$B$1:$AB$1,0)),"")</f>
        <v>0</v>
      </c>
      <c r="R21" s="34">
        <f>IFERROR(INDEX(Calcs!$B$2:$AB$37,MATCH($N21,Calcs!$CJ$2:$CJ$37,0),MATCH(R$1,Calcs!$B$1:$AB$1,0)),"")</f>
        <v>0</v>
      </c>
      <c r="S21" s="34">
        <f>IFERROR(INDEX(Calcs!$B$2:$AB$37,MATCH($N21,Calcs!$CJ$2:$CJ$37,0),MATCH(S$1,Calcs!$B$1:$AB$1,0)),"")</f>
        <v>0</v>
      </c>
      <c r="T21" s="34">
        <f>IFERROR(INDEX(Calcs!$B$2:$AB$37,MATCH($N21,Calcs!$CJ$2:$CJ$37,0),MATCH(T$1,Calcs!$B$1:$AB$1,0)),"")</f>
        <v>0</v>
      </c>
      <c r="U21" s="34">
        <f>IFERROR(INDEX(Calcs!$B$2:$AB$37,MATCH($N21,Calcs!$CJ$2:$CJ$37,0),MATCH(U$1,Calcs!$B$1:$AB$1,0)),"")</f>
        <v>0</v>
      </c>
      <c r="V21" s="34">
        <f>IFERROR(INDEX(Calcs!$B$2:$AB$37,MATCH($N21,Calcs!$CJ$2:$CJ$37,0),MATCH(V$1,Calcs!$B$1:$AB$1,0)),"")</f>
        <v>0</v>
      </c>
      <c r="W21" s="34">
        <f>IFERROR(INDEX(Calcs!$B$2:$AB$37,MATCH($N21,Calcs!$CJ$2:$CJ$37,0),MATCH(W$1,Calcs!$B$1:$AB$1,0)),"")</f>
        <v>0</v>
      </c>
      <c r="X21" s="35">
        <f>IFERROR(INDEX(Calcs!$B$2:$AB$37,MATCH($N21,Calcs!$CJ$2:$CJ$37,0),MATCH(X$1,Calcs!$B$1:$AB$1,0)),"")</f>
        <v>0</v>
      </c>
      <c r="Y21" s="33">
        <f>IFERROR(INDEX(Calcs!$B$2:$AB$37,MATCH($N21,Calcs!$CJ$2:$CJ$37,0),MATCH(Y$1,Calcs!$B$1:$AB$1,0)),"")</f>
        <v>0</v>
      </c>
      <c r="Z21" s="34">
        <f>IFERROR(INDEX(Calcs!$B$2:$AB$37,MATCH($N21,Calcs!$CJ$2:$CJ$37,0),MATCH(Z$1,Calcs!$B$1:$AB$1,0)),"")</f>
        <v>0</v>
      </c>
      <c r="AA21" s="34">
        <f>IFERROR(INDEX(Calcs!$B$2:$AB$37,MATCH($N21,Calcs!$CJ$2:$CJ$37,0),MATCH(AA$1,Calcs!$B$1:$AB$1,0)),"")</f>
        <v>0</v>
      </c>
      <c r="AB21" s="34">
        <f>IFERROR(INDEX(Calcs!$B$2:$AB$37,MATCH($N21,Calcs!$CJ$2:$CJ$37,0),MATCH(AB$1,Calcs!$B$1:$AB$1,0)),"")</f>
        <v>0</v>
      </c>
      <c r="AC21" s="34">
        <f>IFERROR(INDEX(Calcs!$B$2:$AB$37,MATCH($N21,Calcs!$CJ$2:$CJ$37,0),MATCH(AC$1,Calcs!$B$1:$AB$1,0)),"")</f>
        <v>0</v>
      </c>
      <c r="AD21" s="34">
        <f>IFERROR(INDEX(Calcs!$B$2:$AB$37,MATCH($N21,Calcs!$CJ$2:$CJ$37,0),MATCH(AD$1,Calcs!$B$1:$AB$1,0)),"")</f>
        <v>0</v>
      </c>
      <c r="AE21" s="34">
        <f>IFERROR(INDEX(Calcs!$B$2:$AB$37,MATCH($N21,Calcs!$CJ$2:$CJ$37,0),MATCH(AE$1,Calcs!$B$1:$AB$1,0)),"")</f>
        <v>0</v>
      </c>
      <c r="AF21" s="35">
        <f>IFERROR(INDEX(Calcs!$B$2:$AB$37,MATCH($N21,Calcs!$CJ$2:$CJ$37,0),MATCH(AF$1,Calcs!$B$1:$AB$1,0)),"")</f>
        <v>0</v>
      </c>
      <c r="AG21" s="33">
        <f>IFERROR(INDEX(Calcs!$B$2:$AB$37,MATCH($N21,Calcs!$CJ$2:$CJ$37,0),MATCH(AG$1,Calcs!$B$1:$AB$1,0)),"")</f>
        <v>0</v>
      </c>
      <c r="AH21" s="34">
        <f>IFERROR(INDEX(Calcs!$B$2:$AB$37,MATCH($N21,Calcs!$CJ$2:$CJ$37,0),MATCH(AH$1,Calcs!$B$1:$AB$1,0)),"")</f>
        <v>0</v>
      </c>
      <c r="AI21" s="34">
        <f>IFERROR(INDEX(Calcs!$B$2:$AB$37,MATCH($N21,Calcs!$CJ$2:$CJ$37,0),MATCH(AI$1,Calcs!$B$1:$AB$1,0)),"")</f>
        <v>0</v>
      </c>
      <c r="AJ21" s="34">
        <f>IFERROR(INDEX(Calcs!$B$2:$AB$37,MATCH($N21,Calcs!$CJ$2:$CJ$37,0),MATCH(AJ$1,Calcs!$B$1:$AB$1,0)),"")</f>
        <v>0</v>
      </c>
      <c r="AK21" s="34">
        <f>IFERROR(INDEX(Calcs!$B$2:$AB$37,MATCH($N21,Calcs!$CJ$2:$CJ$37,0),MATCH(AK$1,Calcs!$B$1:$AB$1,0)),"")</f>
        <v>0</v>
      </c>
      <c r="AL21" s="34">
        <f>IFERROR(INDEX(Calcs!$B$2:$AB$37,MATCH($N21,Calcs!$CJ$2:$CJ$37,0),MATCH(AL$1,Calcs!$B$1:$AB$1,0)),"")</f>
        <v>0</v>
      </c>
      <c r="AM21" s="34">
        <f>IFERROR(INDEX(Calcs!$B$2:$AB$37,MATCH($N21,Calcs!$CJ$2:$CJ$37,0),MATCH(AM$1,Calcs!$B$1:$AB$1,0)),"")</f>
        <v>0</v>
      </c>
      <c r="AN21" s="36">
        <f>IFERROR(INDEX(Calcs!$B$2:$AB$37,MATCH($N21,Calcs!$CJ$2:$CJ$37,0),MATCH(AN$1,Calcs!$B$1:$AB$1,0)),"")</f>
        <v>0</v>
      </c>
      <c r="AO21" s="34">
        <f>IFERROR(INDEX(Calcs!$B$2:$AB$37,MATCH($N21,Calcs!$CJ$2:$CJ$37,0),MATCH(AO$1,Calcs!$B$1:$AB$1,0)),"")</f>
        <v>0</v>
      </c>
      <c r="AP21" s="34">
        <f>IFERROR(INDEX(Calcs!$B$2:$AB$37,MATCH($N21,Calcs!$CJ$2:$CJ$37,0),MATCH(AP$1,Calcs!$B$1:$AB$1,0)),"")</f>
        <v>0</v>
      </c>
      <c r="AQ21" s="36">
        <f>IFERROR(INDEX(Calcs!$B$2:$AB$37,MATCH($N21,Calcs!$CJ$2:$CJ$37,0),MATCH(AQ$1,Calcs!$B$1:$AB$1,0)),"")</f>
        <v>0</v>
      </c>
      <c r="AR21" s="188"/>
      <c r="AS21" s="202" t="str">
        <f>INDEX(Calcs!A$2:A$37,MATCH($N21,Calcs!$CF$2:$CF$37,0))</f>
        <v>Liverpool</v>
      </c>
      <c r="AT21" s="98"/>
      <c r="AU21" s="191">
        <f>INDEX(Calcs!$BZ$2:$BZ$37,MATCH($AS21,Calcs!$A$2:$A$37,0))</f>
        <v>1</v>
      </c>
      <c r="AV21" s="191">
        <f t="shared" si="1"/>
        <v>36</v>
      </c>
      <c r="AW21" s="191" t="str">
        <f t="shared" si="2"/>
        <v>1.36</v>
      </c>
      <c r="AX21" s="191">
        <f ca="1"/>
        <v>20</v>
      </c>
      <c r="AY21" s="188"/>
      <c r="AZ21" s="212" t="str">
        <f>TablaEquipos[[#This Row],[Team]]</f>
        <v>Liverpool</v>
      </c>
      <c r="BA21" s="100"/>
      <c r="BB21" s="188"/>
      <c r="BC21" s="188"/>
      <c r="BD21" s="188"/>
      <c r="BE21" s="188"/>
      <c r="BF21" s="319" t="str">
        <f t="shared" si="0"/>
        <v>Pendiente</v>
      </c>
      <c r="BI21" s="319">
        <f>SUMIF(Calcs!$A$2:$A$37,League!BI4,Calcs!$H$2:$H$37)</f>
        <v>0</v>
      </c>
      <c r="BJ21" s="319">
        <f>SUMIF(Calcs!$A$2:$A$37,League!BJ4,Calcs!$H$2:$H$37)</f>
        <v>0</v>
      </c>
      <c r="BK21" s="319">
        <f>SUMIF(Calcs!$A$2:$A$37,League!BK4,Calcs!$H$2:$H$37)</f>
        <v>0</v>
      </c>
      <c r="BL21" s="319">
        <f>SUMIF(Calcs!$A$2:$A$37,League!BL4,Calcs!$H$2:$H$37)</f>
        <v>0</v>
      </c>
      <c r="BM21" s="319">
        <f>SUMIF(Calcs!$A$2:$A$37,League!BM4,Calcs!$H$2:$H$37)</f>
        <v>0</v>
      </c>
      <c r="BN21" s="319">
        <f>SUMIF(Calcs!$A$2:$A$37,League!BN4,Calcs!$H$2:$H$37)</f>
        <v>0</v>
      </c>
      <c r="BO21" s="319">
        <f>SUMIF(Calcs!$A$2:$A$37,League!BO4,Calcs!$H$2:$H$37)</f>
        <v>0</v>
      </c>
      <c r="BP21" s="319">
        <f>SUMIF(Calcs!$A$2:$A$37,League!BP4,Calcs!$H$2:$H$37)</f>
        <v>0</v>
      </c>
      <c r="BQ21" s="319">
        <f>SUMIF(Calcs!$A$2:$A$37,League!BQ4,Calcs!$H$2:$H$37)</f>
        <v>0</v>
      </c>
      <c r="BR21" s="319">
        <f>SUMIF(Calcs!$A$2:$A$37,League!BR4,Calcs!$H$2:$H$37)</f>
        <v>0</v>
      </c>
      <c r="BS21" s="319">
        <f>SUMIF(Calcs!$A$2:$A$37,League!BS4,Calcs!$H$2:$H$37)</f>
        <v>0</v>
      </c>
      <c r="BT21" s="319">
        <f>SUMIF(Calcs!$A$2:$A$37,League!BT4,Calcs!$H$2:$H$37)</f>
        <v>0</v>
      </c>
      <c r="BU21" s="319">
        <f>SUMIF(Calcs!$A$2:$A$37,League!BU4,Calcs!$H$2:$H$37)</f>
        <v>0</v>
      </c>
      <c r="BV21" s="319">
        <f>SUMIF(Calcs!$A$2:$A$37,League!BV4,Calcs!$H$2:$H$37)</f>
        <v>0</v>
      </c>
      <c r="BW21" s="319">
        <f>SUMIF(Calcs!$A$2:$A$37,League!BW4,Calcs!$H$2:$H$37)</f>
        <v>0</v>
      </c>
      <c r="BX21" s="319">
        <f>SUMIF(Calcs!$A$2:$A$37,League!BX4,Calcs!$H$2:$H$37)</f>
        <v>0</v>
      </c>
      <c r="BY21" s="319">
        <f>SUMIF(Calcs!$A$2:$A$37,League!BY4,Calcs!$H$2:$H$37)</f>
        <v>0</v>
      </c>
      <c r="BZ21" s="319">
        <f>SUMIF(Calcs!$A$2:$A$37,League!BZ4,Calcs!$H$2:$H$37)</f>
        <v>0</v>
      </c>
      <c r="CA21" s="319">
        <f>SUMIF(Calcs!$A$2:$A$37,League!CA4,Calcs!$H$2:$H$37)</f>
        <v>0</v>
      </c>
      <c r="CB21" s="319">
        <f>SUMIF(Calcs!$A$2:$A$37,League!CB4,Calcs!$H$2:$H$37)</f>
        <v>0</v>
      </c>
      <c r="CC21" s="319">
        <f>SUMIF(Calcs!$A$2:$A$37,League!CC4,Calcs!$H$2:$H$37)</f>
        <v>0</v>
      </c>
      <c r="CD21" s="319">
        <f>SUMIF(Calcs!$A$2:$A$37,League!CD4,Calcs!$H$2:$H$37)</f>
        <v>0</v>
      </c>
      <c r="CE21" s="319">
        <f>SUMIF(Calcs!$A$2:$A$37,League!CE4,Calcs!$H$2:$H$37)</f>
        <v>0</v>
      </c>
      <c r="CF21" s="319">
        <f>SUMIF(Calcs!$A$2:$A$37,League!CF4,Calcs!$H$2:$H$37)</f>
        <v>0</v>
      </c>
      <c r="CG21" s="319">
        <f>SUMIF(Calcs!$A$2:$A$37,League!CG4,Calcs!$H$2:$H$37)</f>
        <v>0</v>
      </c>
      <c r="CH21" s="319">
        <f>SUMIF(Calcs!$A$2:$A$37,League!CH4,Calcs!$H$2:$H$37)</f>
        <v>0</v>
      </c>
      <c r="CI21" s="319">
        <f>SUMIF(Calcs!$A$2:$A$37,League!CI4,Calcs!$H$2:$H$37)</f>
        <v>0</v>
      </c>
      <c r="CJ21" s="319">
        <f>SUMIF(Calcs!$A$2:$A$37,League!CJ4,Calcs!$H$2:$H$37)</f>
        <v>0</v>
      </c>
      <c r="CK21" s="319">
        <f>SUMIF(Calcs!$A$2:$A$37,League!CK4,Calcs!$H$2:$H$37)</f>
        <v>0</v>
      </c>
      <c r="CL21" s="319">
        <f>SUMIF(Calcs!$A$2:$A$37,League!CL4,Calcs!$H$2:$H$37)</f>
        <v>0</v>
      </c>
      <c r="CM21" s="319">
        <f>SUMIF(Calcs!$A$2:$A$37,League!CM4,Calcs!$H$2:$H$37)</f>
        <v>0</v>
      </c>
      <c r="CN21" s="319">
        <f>SUMIF(Calcs!$A$2:$A$37,League!CN4,Calcs!$H$2:$H$37)</f>
        <v>0</v>
      </c>
      <c r="CO21" s="319">
        <f>SUMIF(Calcs!$A$2:$A$37,League!CO4,Calcs!$H$2:$H$37)</f>
        <v>0</v>
      </c>
      <c r="CP21" s="319">
        <f>SUMIF(Calcs!$A$2:$A$37,League!CP4,Calcs!$H$2:$H$37)</f>
        <v>0</v>
      </c>
      <c r="CQ21" s="319">
        <f>SUMIF(Calcs!$A$2:$A$37,League!CQ4,Calcs!$H$2:$H$37)</f>
        <v>0</v>
      </c>
      <c r="CR21" s="319">
        <f>SUMIF(Calcs!$A$2:$A$37,League!CR4,Calcs!$H$2:$H$37)</f>
        <v>0</v>
      </c>
      <c r="CS21" s="228"/>
      <c r="CT21" s="228"/>
      <c r="CU21" s="228"/>
      <c r="CV21" s="228"/>
    </row>
    <row r="22" spans="1:100" ht="17" customHeight="1">
      <c r="A22" s="227">
        <v>2</v>
      </c>
      <c r="B22" s="116">
        <f>Horarios!C22</f>
        <v>46308.875</v>
      </c>
      <c r="C22" s="117">
        <f>Horarios!C22</f>
        <v>46308.875</v>
      </c>
      <c r="D22" s="118" t="s">
        <v>735</v>
      </c>
      <c r="E22" s="222" t="e" cm="1" vm="5">
        <f t="array" ref="E22">badge_home</f>
        <v>#VALUE!</v>
      </c>
      <c r="F22" s="225"/>
      <c r="G22" s="88"/>
      <c r="H22" s="90"/>
      <c r="I22" s="224"/>
      <c r="J22" s="225" t="e" cm="1" vm="11">
        <f t="array" ref="J22">badge_away</f>
        <v>#VALUE!</v>
      </c>
      <c r="K22" s="133" t="s">
        <v>699</v>
      </c>
      <c r="L22" s="129"/>
      <c r="M22" s="188"/>
      <c r="N22" s="53">
        <v>21</v>
      </c>
      <c r="O22" s="31" t="e" cm="1" vm="9">
        <f t="array" ref="O22">badge_away</f>
        <v>#VALUE!</v>
      </c>
      <c r="P22" s="32" t="str">
        <f>IFERROR(INDEX(Calcs!A$2:A$37,MATCH($N22,Calcs!$CJ$2:$CJ$37,0)),"")</f>
        <v>Manchester City</v>
      </c>
      <c r="Q22" s="33">
        <f>IFERROR(INDEX(Calcs!$B$2:$AB$37,MATCH($N22,Calcs!$CJ$2:$CJ$37,0),MATCH(Q$1,Calcs!$B$1:$AB$1,0)),"")</f>
        <v>0</v>
      </c>
      <c r="R22" s="34">
        <f>IFERROR(INDEX(Calcs!$B$2:$AB$37,MATCH($N22,Calcs!$CJ$2:$CJ$37,0),MATCH(R$1,Calcs!$B$1:$AB$1,0)),"")</f>
        <v>0</v>
      </c>
      <c r="S22" s="34">
        <f>IFERROR(INDEX(Calcs!$B$2:$AB$37,MATCH($N22,Calcs!$CJ$2:$CJ$37,0),MATCH(S$1,Calcs!$B$1:$AB$1,0)),"")</f>
        <v>0</v>
      </c>
      <c r="T22" s="34">
        <f>IFERROR(INDEX(Calcs!$B$2:$AB$37,MATCH($N22,Calcs!$CJ$2:$CJ$37,0),MATCH(T$1,Calcs!$B$1:$AB$1,0)),"")</f>
        <v>0</v>
      </c>
      <c r="U22" s="34">
        <f>IFERROR(INDEX(Calcs!$B$2:$AB$37,MATCH($N22,Calcs!$CJ$2:$CJ$37,0),MATCH(U$1,Calcs!$B$1:$AB$1,0)),"")</f>
        <v>0</v>
      </c>
      <c r="V22" s="34">
        <f>IFERROR(INDEX(Calcs!$B$2:$AB$37,MATCH($N22,Calcs!$CJ$2:$CJ$37,0),MATCH(V$1,Calcs!$B$1:$AB$1,0)),"")</f>
        <v>0</v>
      </c>
      <c r="W22" s="34">
        <f>IFERROR(INDEX(Calcs!$B$2:$AB$37,MATCH($N22,Calcs!$CJ$2:$CJ$37,0),MATCH(W$1,Calcs!$B$1:$AB$1,0)),"")</f>
        <v>0</v>
      </c>
      <c r="X22" s="35">
        <f>IFERROR(INDEX(Calcs!$B$2:$AB$37,MATCH($N22,Calcs!$CJ$2:$CJ$37,0),MATCH(X$1,Calcs!$B$1:$AB$1,0)),"")</f>
        <v>0</v>
      </c>
      <c r="Y22" s="33">
        <f>IFERROR(INDEX(Calcs!$B$2:$AB$37,MATCH($N22,Calcs!$CJ$2:$CJ$37,0),MATCH(Y$1,Calcs!$B$1:$AB$1,0)),"")</f>
        <v>0</v>
      </c>
      <c r="Z22" s="34">
        <f>IFERROR(INDEX(Calcs!$B$2:$AB$37,MATCH($N22,Calcs!$CJ$2:$CJ$37,0),MATCH(Z$1,Calcs!$B$1:$AB$1,0)),"")</f>
        <v>0</v>
      </c>
      <c r="AA22" s="34">
        <f>IFERROR(INDEX(Calcs!$B$2:$AB$37,MATCH($N22,Calcs!$CJ$2:$CJ$37,0),MATCH(AA$1,Calcs!$B$1:$AB$1,0)),"")</f>
        <v>0</v>
      </c>
      <c r="AB22" s="34">
        <f>IFERROR(INDEX(Calcs!$B$2:$AB$37,MATCH($N22,Calcs!$CJ$2:$CJ$37,0),MATCH(AB$1,Calcs!$B$1:$AB$1,0)),"")</f>
        <v>0</v>
      </c>
      <c r="AC22" s="34">
        <f>IFERROR(INDEX(Calcs!$B$2:$AB$37,MATCH($N22,Calcs!$CJ$2:$CJ$37,0),MATCH(AC$1,Calcs!$B$1:$AB$1,0)),"")</f>
        <v>0</v>
      </c>
      <c r="AD22" s="34">
        <f>IFERROR(INDEX(Calcs!$B$2:$AB$37,MATCH($N22,Calcs!$CJ$2:$CJ$37,0),MATCH(AD$1,Calcs!$B$1:$AB$1,0)),"")</f>
        <v>0</v>
      </c>
      <c r="AE22" s="34">
        <f>IFERROR(INDEX(Calcs!$B$2:$AB$37,MATCH($N22,Calcs!$CJ$2:$CJ$37,0),MATCH(AE$1,Calcs!$B$1:$AB$1,0)),"")</f>
        <v>0</v>
      </c>
      <c r="AF22" s="35">
        <f>IFERROR(INDEX(Calcs!$B$2:$AB$37,MATCH($N22,Calcs!$CJ$2:$CJ$37,0),MATCH(AF$1,Calcs!$B$1:$AB$1,0)),"")</f>
        <v>0</v>
      </c>
      <c r="AG22" s="33">
        <f>IFERROR(INDEX(Calcs!$B$2:$AB$37,MATCH($N22,Calcs!$CJ$2:$CJ$37,0),MATCH(AG$1,Calcs!$B$1:$AB$1,0)),"")</f>
        <v>0</v>
      </c>
      <c r="AH22" s="34">
        <f>IFERROR(INDEX(Calcs!$B$2:$AB$37,MATCH($N22,Calcs!$CJ$2:$CJ$37,0),MATCH(AH$1,Calcs!$B$1:$AB$1,0)),"")</f>
        <v>0</v>
      </c>
      <c r="AI22" s="34">
        <f>IFERROR(INDEX(Calcs!$B$2:$AB$37,MATCH($N22,Calcs!$CJ$2:$CJ$37,0),MATCH(AI$1,Calcs!$B$1:$AB$1,0)),"")</f>
        <v>0</v>
      </c>
      <c r="AJ22" s="34">
        <f>IFERROR(INDEX(Calcs!$B$2:$AB$37,MATCH($N22,Calcs!$CJ$2:$CJ$37,0),MATCH(AJ$1,Calcs!$B$1:$AB$1,0)),"")</f>
        <v>0</v>
      </c>
      <c r="AK22" s="34">
        <f>IFERROR(INDEX(Calcs!$B$2:$AB$37,MATCH($N22,Calcs!$CJ$2:$CJ$37,0),MATCH(AK$1,Calcs!$B$1:$AB$1,0)),"")</f>
        <v>0</v>
      </c>
      <c r="AL22" s="34">
        <f>IFERROR(INDEX(Calcs!$B$2:$AB$37,MATCH($N22,Calcs!$CJ$2:$CJ$37,0),MATCH(AL$1,Calcs!$B$1:$AB$1,0)),"")</f>
        <v>0</v>
      </c>
      <c r="AM22" s="34">
        <f>IFERROR(INDEX(Calcs!$B$2:$AB$37,MATCH($N22,Calcs!$CJ$2:$CJ$37,0),MATCH(AM$1,Calcs!$B$1:$AB$1,0)),"")</f>
        <v>0</v>
      </c>
      <c r="AN22" s="36">
        <f>IFERROR(INDEX(Calcs!$B$2:$AB$37,MATCH($N22,Calcs!$CJ$2:$CJ$37,0),MATCH(AN$1,Calcs!$B$1:$AB$1,0)),"")</f>
        <v>0</v>
      </c>
      <c r="AO22" s="34">
        <f>IFERROR(INDEX(Calcs!$B$2:$AB$37,MATCH($N22,Calcs!$CJ$2:$CJ$37,0),MATCH(AO$1,Calcs!$B$1:$AB$1,0)),"")</f>
        <v>0</v>
      </c>
      <c r="AP22" s="34">
        <f>IFERROR(INDEX(Calcs!$B$2:$AB$37,MATCH($N22,Calcs!$CJ$2:$CJ$37,0),MATCH(AP$1,Calcs!$B$1:$AB$1,0)),"")</f>
        <v>0</v>
      </c>
      <c r="AQ22" s="36">
        <f>IFERROR(INDEX(Calcs!$B$2:$AB$37,MATCH($N22,Calcs!$CJ$2:$CJ$37,0),MATCH(AQ$1,Calcs!$B$1:$AB$1,0)),"")</f>
        <v>0</v>
      </c>
      <c r="AR22" s="188"/>
      <c r="AS22" s="202" t="str">
        <f>INDEX(Calcs!A$2:A$37,MATCH($N22,Calcs!$CF$2:$CF$37,0))</f>
        <v>Manchester City</v>
      </c>
      <c r="AT22" s="98"/>
      <c r="AU22" s="191">
        <f>INDEX(Calcs!$BZ$2:$BZ$37,MATCH($AS22,Calcs!$A$2:$A$37,0))</f>
        <v>1</v>
      </c>
      <c r="AV22" s="191">
        <f t="shared" si="1"/>
        <v>36</v>
      </c>
      <c r="AW22" s="191" t="str">
        <f t="shared" si="2"/>
        <v>1.36</v>
      </c>
      <c r="AX22" s="191">
        <f ca="1"/>
        <v>21</v>
      </c>
      <c r="AY22" s="188"/>
      <c r="AZ22" s="203" t="str">
        <f>TablaEquipos[[#This Row],[Team]]</f>
        <v>Manchester City</v>
      </c>
      <c r="BA22" s="99"/>
      <c r="BB22" s="188"/>
      <c r="BC22" s="188"/>
      <c r="BD22" s="188"/>
      <c r="BE22" s="188"/>
      <c r="BF22" s="319" t="str">
        <f t="shared" si="0"/>
        <v>Pendiente</v>
      </c>
      <c r="BI22" s="319">
        <f>SUMIF(Calcs!$A$2:$A$37,League!BI5,Calcs!$H$2:$H$37)</f>
        <v>0</v>
      </c>
      <c r="BJ22" s="319">
        <f>SUMIF(Calcs!$A$2:$A$37,League!BJ5,Calcs!$H$2:$H$37)</f>
        <v>0</v>
      </c>
      <c r="BK22" s="319">
        <f>SUMIF(Calcs!$A$2:$A$37,League!BK5,Calcs!$H$2:$H$37)</f>
        <v>0</v>
      </c>
      <c r="BL22" s="319">
        <f>SUMIF(Calcs!$A$2:$A$37,League!BL5,Calcs!$H$2:$H$37)</f>
        <v>0</v>
      </c>
      <c r="BM22" s="319">
        <f>SUMIF(Calcs!$A$2:$A$37,League!BM5,Calcs!$H$2:$H$37)</f>
        <v>0</v>
      </c>
      <c r="BN22" s="319">
        <f>SUMIF(Calcs!$A$2:$A$37,League!BN5,Calcs!$H$2:$H$37)</f>
        <v>0</v>
      </c>
      <c r="BO22" s="319">
        <f>SUMIF(Calcs!$A$2:$A$37,League!BO5,Calcs!$H$2:$H$37)</f>
        <v>0</v>
      </c>
      <c r="BP22" s="319">
        <f>SUMIF(Calcs!$A$2:$A$37,League!BP5,Calcs!$H$2:$H$37)</f>
        <v>0</v>
      </c>
      <c r="BQ22" s="319">
        <f>SUMIF(Calcs!$A$2:$A$37,League!BQ5,Calcs!$H$2:$H$37)</f>
        <v>0</v>
      </c>
      <c r="BR22" s="319">
        <f>SUMIF(Calcs!$A$2:$A$37,League!BR5,Calcs!$H$2:$H$37)</f>
        <v>0</v>
      </c>
      <c r="BS22" s="319">
        <f>SUMIF(Calcs!$A$2:$A$37,League!BS5,Calcs!$H$2:$H$37)</f>
        <v>0</v>
      </c>
      <c r="BT22" s="319">
        <f>SUMIF(Calcs!$A$2:$A$37,League!BT5,Calcs!$H$2:$H$37)</f>
        <v>0</v>
      </c>
      <c r="BU22" s="319">
        <f>SUMIF(Calcs!$A$2:$A$37,League!BU5,Calcs!$H$2:$H$37)</f>
        <v>0</v>
      </c>
      <c r="BV22" s="319">
        <f>SUMIF(Calcs!$A$2:$A$37,League!BV5,Calcs!$H$2:$H$37)</f>
        <v>0</v>
      </c>
      <c r="BW22" s="319">
        <f>SUMIF(Calcs!$A$2:$A$37,League!BW5,Calcs!$H$2:$H$37)</f>
        <v>0</v>
      </c>
      <c r="BX22" s="319">
        <f>SUMIF(Calcs!$A$2:$A$37,League!BX5,Calcs!$H$2:$H$37)</f>
        <v>0</v>
      </c>
      <c r="BY22" s="319">
        <f>SUMIF(Calcs!$A$2:$A$37,League!BY5,Calcs!$H$2:$H$37)</f>
        <v>0</v>
      </c>
      <c r="BZ22" s="319">
        <f>SUMIF(Calcs!$A$2:$A$37,League!BZ5,Calcs!$H$2:$H$37)</f>
        <v>0</v>
      </c>
      <c r="CA22" s="319">
        <f>SUMIF(Calcs!$A$2:$A$37,League!CA5,Calcs!$H$2:$H$37)</f>
        <v>0</v>
      </c>
      <c r="CB22" s="319">
        <f>SUMIF(Calcs!$A$2:$A$37,League!CB5,Calcs!$H$2:$H$37)</f>
        <v>0</v>
      </c>
      <c r="CC22" s="319">
        <f>SUMIF(Calcs!$A$2:$A$37,League!CC5,Calcs!$H$2:$H$37)</f>
        <v>0</v>
      </c>
      <c r="CD22" s="319">
        <f>SUMIF(Calcs!$A$2:$A$37,League!CD5,Calcs!$H$2:$H$37)</f>
        <v>0</v>
      </c>
      <c r="CE22" s="319">
        <f>SUMIF(Calcs!$A$2:$A$37,League!CE5,Calcs!$H$2:$H$37)</f>
        <v>0</v>
      </c>
      <c r="CF22" s="319">
        <f>SUMIF(Calcs!$A$2:$A$37,League!CF5,Calcs!$H$2:$H$37)</f>
        <v>0</v>
      </c>
      <c r="CG22" s="319">
        <f>SUMIF(Calcs!$A$2:$A$37,League!CG5,Calcs!$H$2:$H$37)</f>
        <v>0</v>
      </c>
      <c r="CH22" s="319">
        <f>SUMIF(Calcs!$A$2:$A$37,League!CH5,Calcs!$H$2:$H$37)</f>
        <v>0</v>
      </c>
      <c r="CI22" s="319">
        <f>SUMIF(Calcs!$A$2:$A$37,League!CI5,Calcs!$H$2:$H$37)</f>
        <v>0</v>
      </c>
      <c r="CJ22" s="319">
        <f>SUMIF(Calcs!$A$2:$A$37,League!CJ5,Calcs!$H$2:$H$37)</f>
        <v>0</v>
      </c>
      <c r="CK22" s="319">
        <f>SUMIF(Calcs!$A$2:$A$37,League!CK5,Calcs!$H$2:$H$37)</f>
        <v>0</v>
      </c>
      <c r="CL22" s="319">
        <f>SUMIF(Calcs!$A$2:$A$37,League!CL5,Calcs!$H$2:$H$37)</f>
        <v>0</v>
      </c>
      <c r="CM22" s="319">
        <f>SUMIF(Calcs!$A$2:$A$37,League!CM5,Calcs!$H$2:$H$37)</f>
        <v>0</v>
      </c>
      <c r="CN22" s="319">
        <f>SUMIF(Calcs!$A$2:$A$37,League!CN5,Calcs!$H$2:$H$37)</f>
        <v>0</v>
      </c>
      <c r="CO22" s="319">
        <f>SUMIF(Calcs!$A$2:$A$37,League!CO5,Calcs!$H$2:$H$37)</f>
        <v>0</v>
      </c>
      <c r="CP22" s="319">
        <f>SUMIF(Calcs!$A$2:$A$37,League!CP5,Calcs!$H$2:$H$37)</f>
        <v>0</v>
      </c>
      <c r="CQ22" s="319">
        <f>SUMIF(Calcs!$A$2:$A$37,League!CQ5,Calcs!$H$2:$H$37)</f>
        <v>0</v>
      </c>
      <c r="CR22" s="319">
        <f>SUMIF(Calcs!$A$2:$A$37,League!CR5,Calcs!$H$2:$H$37)</f>
        <v>0</v>
      </c>
      <c r="CS22" s="204"/>
      <c r="CT22" s="204"/>
      <c r="CU22" s="204"/>
      <c r="CV22" s="204"/>
    </row>
    <row r="23" spans="1:100" ht="17" customHeight="1">
      <c r="A23" s="227">
        <v>2</v>
      </c>
      <c r="B23" s="116">
        <f>Horarios!C23</f>
        <v>46308.875</v>
      </c>
      <c r="C23" s="117">
        <f>Horarios!C23</f>
        <v>46308.875</v>
      </c>
      <c r="D23" s="118" t="s">
        <v>992</v>
      </c>
      <c r="E23" s="222" t="e" cm="1" vm="10">
        <f t="array" ref="E23">badge_home</f>
        <v>#VALUE!</v>
      </c>
      <c r="F23" s="225"/>
      <c r="G23" s="88"/>
      <c r="H23" s="90"/>
      <c r="I23" s="224"/>
      <c r="J23" s="225" t="e" cm="1" vm="33">
        <f t="array" ref="J23">badge_away</f>
        <v>#VALUE!</v>
      </c>
      <c r="K23" s="133" t="s">
        <v>1004</v>
      </c>
      <c r="L23" s="129"/>
      <c r="M23" s="188"/>
      <c r="N23" s="53">
        <v>22</v>
      </c>
      <c r="O23" s="31" t="e" cm="1" vm="33">
        <f t="array" ref="O23">badge_away</f>
        <v>#VALUE!</v>
      </c>
      <c r="P23" s="32" t="str">
        <f>IFERROR(INDEX(Calcs!A$2:A$37,MATCH($N23,Calcs!$CJ$2:$CJ$37,0)),"")</f>
        <v>Manchester United</v>
      </c>
      <c r="Q23" s="33">
        <f>IFERROR(INDEX(Calcs!$B$2:$AB$37,MATCH($N23,Calcs!$CJ$2:$CJ$37,0),MATCH(Q$1,Calcs!$B$1:$AB$1,0)),"")</f>
        <v>0</v>
      </c>
      <c r="R23" s="34">
        <f>IFERROR(INDEX(Calcs!$B$2:$AB$37,MATCH($N23,Calcs!$CJ$2:$CJ$37,0),MATCH(R$1,Calcs!$B$1:$AB$1,0)),"")</f>
        <v>0</v>
      </c>
      <c r="S23" s="34">
        <f>IFERROR(INDEX(Calcs!$B$2:$AB$37,MATCH($N23,Calcs!$CJ$2:$CJ$37,0),MATCH(S$1,Calcs!$B$1:$AB$1,0)),"")</f>
        <v>0</v>
      </c>
      <c r="T23" s="34">
        <f>IFERROR(INDEX(Calcs!$B$2:$AB$37,MATCH($N23,Calcs!$CJ$2:$CJ$37,0),MATCH(T$1,Calcs!$B$1:$AB$1,0)),"")</f>
        <v>0</v>
      </c>
      <c r="U23" s="34">
        <f>IFERROR(INDEX(Calcs!$B$2:$AB$37,MATCH($N23,Calcs!$CJ$2:$CJ$37,0),MATCH(U$1,Calcs!$B$1:$AB$1,0)),"")</f>
        <v>0</v>
      </c>
      <c r="V23" s="34">
        <f>IFERROR(INDEX(Calcs!$B$2:$AB$37,MATCH($N23,Calcs!$CJ$2:$CJ$37,0),MATCH(V$1,Calcs!$B$1:$AB$1,0)),"")</f>
        <v>0</v>
      </c>
      <c r="W23" s="34">
        <f>IFERROR(INDEX(Calcs!$B$2:$AB$37,MATCH($N23,Calcs!$CJ$2:$CJ$37,0),MATCH(W$1,Calcs!$B$1:$AB$1,0)),"")</f>
        <v>0</v>
      </c>
      <c r="X23" s="35">
        <f>IFERROR(INDEX(Calcs!$B$2:$AB$37,MATCH($N23,Calcs!$CJ$2:$CJ$37,0),MATCH(X$1,Calcs!$B$1:$AB$1,0)),"")</f>
        <v>0</v>
      </c>
      <c r="Y23" s="33">
        <f>IFERROR(INDEX(Calcs!$B$2:$AB$37,MATCH($N23,Calcs!$CJ$2:$CJ$37,0),MATCH(Y$1,Calcs!$B$1:$AB$1,0)),"")</f>
        <v>0</v>
      </c>
      <c r="Z23" s="34">
        <f>IFERROR(INDEX(Calcs!$B$2:$AB$37,MATCH($N23,Calcs!$CJ$2:$CJ$37,0),MATCH(Z$1,Calcs!$B$1:$AB$1,0)),"")</f>
        <v>0</v>
      </c>
      <c r="AA23" s="34">
        <f>IFERROR(INDEX(Calcs!$B$2:$AB$37,MATCH($N23,Calcs!$CJ$2:$CJ$37,0),MATCH(AA$1,Calcs!$B$1:$AB$1,0)),"")</f>
        <v>0</v>
      </c>
      <c r="AB23" s="34">
        <f>IFERROR(INDEX(Calcs!$B$2:$AB$37,MATCH($N23,Calcs!$CJ$2:$CJ$37,0),MATCH(AB$1,Calcs!$B$1:$AB$1,0)),"")</f>
        <v>0</v>
      </c>
      <c r="AC23" s="34">
        <f>IFERROR(INDEX(Calcs!$B$2:$AB$37,MATCH($N23,Calcs!$CJ$2:$CJ$37,0),MATCH(AC$1,Calcs!$B$1:$AB$1,0)),"")</f>
        <v>0</v>
      </c>
      <c r="AD23" s="34">
        <f>IFERROR(INDEX(Calcs!$B$2:$AB$37,MATCH($N23,Calcs!$CJ$2:$CJ$37,0),MATCH(AD$1,Calcs!$B$1:$AB$1,0)),"")</f>
        <v>0</v>
      </c>
      <c r="AE23" s="34">
        <f>IFERROR(INDEX(Calcs!$B$2:$AB$37,MATCH($N23,Calcs!$CJ$2:$CJ$37,0),MATCH(AE$1,Calcs!$B$1:$AB$1,0)),"")</f>
        <v>0</v>
      </c>
      <c r="AF23" s="35">
        <f>IFERROR(INDEX(Calcs!$B$2:$AB$37,MATCH($N23,Calcs!$CJ$2:$CJ$37,0),MATCH(AF$1,Calcs!$B$1:$AB$1,0)),"")</f>
        <v>0</v>
      </c>
      <c r="AG23" s="33">
        <f>IFERROR(INDEX(Calcs!$B$2:$AB$37,MATCH($N23,Calcs!$CJ$2:$CJ$37,0),MATCH(AG$1,Calcs!$B$1:$AB$1,0)),"")</f>
        <v>0</v>
      </c>
      <c r="AH23" s="34">
        <f>IFERROR(INDEX(Calcs!$B$2:$AB$37,MATCH($N23,Calcs!$CJ$2:$CJ$37,0),MATCH(AH$1,Calcs!$B$1:$AB$1,0)),"")</f>
        <v>0</v>
      </c>
      <c r="AI23" s="34">
        <f>IFERROR(INDEX(Calcs!$B$2:$AB$37,MATCH($N23,Calcs!$CJ$2:$CJ$37,0),MATCH(AI$1,Calcs!$B$1:$AB$1,0)),"")</f>
        <v>0</v>
      </c>
      <c r="AJ23" s="34">
        <f>IFERROR(INDEX(Calcs!$B$2:$AB$37,MATCH($N23,Calcs!$CJ$2:$CJ$37,0),MATCH(AJ$1,Calcs!$B$1:$AB$1,0)),"")</f>
        <v>0</v>
      </c>
      <c r="AK23" s="34">
        <f>IFERROR(INDEX(Calcs!$B$2:$AB$37,MATCH($N23,Calcs!$CJ$2:$CJ$37,0),MATCH(AK$1,Calcs!$B$1:$AB$1,0)),"")</f>
        <v>0</v>
      </c>
      <c r="AL23" s="34">
        <f>IFERROR(INDEX(Calcs!$B$2:$AB$37,MATCH($N23,Calcs!$CJ$2:$CJ$37,0),MATCH(AL$1,Calcs!$B$1:$AB$1,0)),"")</f>
        <v>0</v>
      </c>
      <c r="AM23" s="34">
        <f>IFERROR(INDEX(Calcs!$B$2:$AB$37,MATCH($N23,Calcs!$CJ$2:$CJ$37,0),MATCH(AM$1,Calcs!$B$1:$AB$1,0)),"")</f>
        <v>0</v>
      </c>
      <c r="AN23" s="36">
        <f>IFERROR(INDEX(Calcs!$B$2:$AB$37,MATCH($N23,Calcs!$CJ$2:$CJ$37,0),MATCH(AN$1,Calcs!$B$1:$AB$1,0)),"")</f>
        <v>0</v>
      </c>
      <c r="AO23" s="34">
        <f>IFERROR(INDEX(Calcs!$B$2:$AB$37,MATCH($N23,Calcs!$CJ$2:$CJ$37,0),MATCH(AO$1,Calcs!$B$1:$AB$1,0)),"")</f>
        <v>0</v>
      </c>
      <c r="AP23" s="34">
        <f>IFERROR(INDEX(Calcs!$B$2:$AB$37,MATCH($N23,Calcs!$CJ$2:$CJ$37,0),MATCH(AP$1,Calcs!$B$1:$AB$1,0)),"")</f>
        <v>0</v>
      </c>
      <c r="AQ23" s="36">
        <f>IFERROR(INDEX(Calcs!$B$2:$AB$37,MATCH($N23,Calcs!$CJ$2:$CJ$37,0),MATCH(AQ$1,Calcs!$B$1:$AB$1,0)),"")</f>
        <v>0</v>
      </c>
      <c r="AR23" s="188"/>
      <c r="AS23" s="202" t="str">
        <f>INDEX(Calcs!A$2:A$37,MATCH($N23,Calcs!$CF$2:$CF$37,0))</f>
        <v>Manchester United</v>
      </c>
      <c r="AT23" s="98"/>
      <c r="AU23" s="191">
        <f>INDEX(Calcs!$BZ$2:$BZ$37,MATCH($AS23,Calcs!$A$2:$A$37,0))</f>
        <v>1</v>
      </c>
      <c r="AV23" s="191">
        <f t="shared" si="1"/>
        <v>36</v>
      </c>
      <c r="AW23" s="191" t="str">
        <f t="shared" si="2"/>
        <v>1.36</v>
      </c>
      <c r="AX23" s="191">
        <f ca="1"/>
        <v>22</v>
      </c>
      <c r="AY23" s="188"/>
      <c r="AZ23" s="212" t="str">
        <f>TablaEquipos[[#This Row],[Team]]</f>
        <v>Manchester United</v>
      </c>
      <c r="BA23" s="100"/>
      <c r="BB23" s="188"/>
      <c r="BC23" s="188"/>
      <c r="BD23" s="188"/>
      <c r="BE23" s="188"/>
      <c r="BF23" s="319" t="str">
        <f t="shared" si="0"/>
        <v>Pendiente</v>
      </c>
      <c r="BI23" s="319">
        <f>SUMIF(Calcs!$A$2:$A$37,League!BI6,Calcs!$H$2:$H$37)</f>
        <v>0</v>
      </c>
      <c r="BJ23" s="319">
        <f>SUMIF(Calcs!$A$2:$A$37,League!BJ6,Calcs!$H$2:$H$37)</f>
        <v>0</v>
      </c>
      <c r="BK23" s="319">
        <f>SUMIF(Calcs!$A$2:$A$37,League!BK6,Calcs!$H$2:$H$37)</f>
        <v>0</v>
      </c>
      <c r="BL23" s="319">
        <f>SUMIF(Calcs!$A$2:$A$37,League!BL6,Calcs!$H$2:$H$37)</f>
        <v>0</v>
      </c>
      <c r="BM23" s="319">
        <f>SUMIF(Calcs!$A$2:$A$37,League!BM6,Calcs!$H$2:$H$37)</f>
        <v>0</v>
      </c>
      <c r="BN23" s="319">
        <f>SUMIF(Calcs!$A$2:$A$37,League!BN6,Calcs!$H$2:$H$37)</f>
        <v>0</v>
      </c>
      <c r="BO23" s="319">
        <f>SUMIF(Calcs!$A$2:$A$37,League!BO6,Calcs!$H$2:$H$37)</f>
        <v>0</v>
      </c>
      <c r="BP23" s="319">
        <f>SUMIF(Calcs!$A$2:$A$37,League!BP6,Calcs!$H$2:$H$37)</f>
        <v>0</v>
      </c>
      <c r="BQ23" s="319">
        <f>SUMIF(Calcs!$A$2:$A$37,League!BQ6,Calcs!$H$2:$H$37)</f>
        <v>0</v>
      </c>
      <c r="BR23" s="319">
        <f>SUMIF(Calcs!$A$2:$A$37,League!BR6,Calcs!$H$2:$H$37)</f>
        <v>0</v>
      </c>
      <c r="BS23" s="319">
        <f>SUMIF(Calcs!$A$2:$A$37,League!BS6,Calcs!$H$2:$H$37)</f>
        <v>0</v>
      </c>
      <c r="BT23" s="319">
        <f>SUMIF(Calcs!$A$2:$A$37,League!BT6,Calcs!$H$2:$H$37)</f>
        <v>0</v>
      </c>
      <c r="BU23" s="319">
        <f>SUMIF(Calcs!$A$2:$A$37,League!BU6,Calcs!$H$2:$H$37)</f>
        <v>0</v>
      </c>
      <c r="BV23" s="319">
        <f>SUMIF(Calcs!$A$2:$A$37,League!BV6,Calcs!$H$2:$H$37)</f>
        <v>0</v>
      </c>
      <c r="BW23" s="319">
        <f>SUMIF(Calcs!$A$2:$A$37,League!BW6,Calcs!$H$2:$H$37)</f>
        <v>0</v>
      </c>
      <c r="BX23" s="319">
        <f>SUMIF(Calcs!$A$2:$A$37,League!BX6,Calcs!$H$2:$H$37)</f>
        <v>0</v>
      </c>
      <c r="BY23" s="319">
        <f>SUMIF(Calcs!$A$2:$A$37,League!BY6,Calcs!$H$2:$H$37)</f>
        <v>0</v>
      </c>
      <c r="BZ23" s="319">
        <f>SUMIF(Calcs!$A$2:$A$37,League!BZ6,Calcs!$H$2:$H$37)</f>
        <v>0</v>
      </c>
      <c r="CA23" s="319">
        <f>SUMIF(Calcs!$A$2:$A$37,League!CA6,Calcs!$H$2:$H$37)</f>
        <v>0</v>
      </c>
      <c r="CB23" s="319">
        <f>SUMIF(Calcs!$A$2:$A$37,League!CB6,Calcs!$H$2:$H$37)</f>
        <v>0</v>
      </c>
      <c r="CC23" s="319">
        <f>SUMIF(Calcs!$A$2:$A$37,League!CC6,Calcs!$H$2:$H$37)</f>
        <v>0</v>
      </c>
      <c r="CD23" s="319">
        <f>SUMIF(Calcs!$A$2:$A$37,League!CD6,Calcs!$H$2:$H$37)</f>
        <v>0</v>
      </c>
      <c r="CE23" s="319">
        <f>SUMIF(Calcs!$A$2:$A$37,League!CE6,Calcs!$H$2:$H$37)</f>
        <v>0</v>
      </c>
      <c r="CF23" s="319">
        <f>SUMIF(Calcs!$A$2:$A$37,League!CF6,Calcs!$H$2:$H$37)</f>
        <v>0</v>
      </c>
      <c r="CG23" s="319">
        <f>SUMIF(Calcs!$A$2:$A$37,League!CG6,Calcs!$H$2:$H$37)</f>
        <v>0</v>
      </c>
      <c r="CH23" s="319">
        <f>SUMIF(Calcs!$A$2:$A$37,League!CH6,Calcs!$H$2:$H$37)</f>
        <v>0</v>
      </c>
      <c r="CI23" s="319">
        <f>SUMIF(Calcs!$A$2:$A$37,League!CI6,Calcs!$H$2:$H$37)</f>
        <v>0</v>
      </c>
      <c r="CJ23" s="319">
        <f>SUMIF(Calcs!$A$2:$A$37,League!CJ6,Calcs!$H$2:$H$37)</f>
        <v>0</v>
      </c>
      <c r="CK23" s="319">
        <f>SUMIF(Calcs!$A$2:$A$37,League!CK6,Calcs!$H$2:$H$37)</f>
        <v>0</v>
      </c>
      <c r="CL23" s="319">
        <f>SUMIF(Calcs!$A$2:$A$37,League!CL6,Calcs!$H$2:$H$37)</f>
        <v>0</v>
      </c>
      <c r="CM23" s="319">
        <f>SUMIF(Calcs!$A$2:$A$37,League!CM6,Calcs!$H$2:$H$37)</f>
        <v>0</v>
      </c>
      <c r="CN23" s="319">
        <f>SUMIF(Calcs!$A$2:$A$37,League!CN6,Calcs!$H$2:$H$37)</f>
        <v>0</v>
      </c>
      <c r="CO23" s="319">
        <f>SUMIF(Calcs!$A$2:$A$37,League!CO6,Calcs!$H$2:$H$37)</f>
        <v>0</v>
      </c>
      <c r="CP23" s="319">
        <f>SUMIF(Calcs!$A$2:$A$37,League!CP6,Calcs!$H$2:$H$37)</f>
        <v>0</v>
      </c>
      <c r="CQ23" s="319">
        <f>SUMIF(Calcs!$A$2:$A$37,League!CQ6,Calcs!$H$2:$H$37)</f>
        <v>0</v>
      </c>
      <c r="CR23" s="319">
        <f>SUMIF(Calcs!$A$2:$A$37,League!CR6,Calcs!$H$2:$H$37)</f>
        <v>0</v>
      </c>
      <c r="CS23" s="204"/>
      <c r="CT23" s="204"/>
      <c r="CU23" s="204"/>
      <c r="CV23" s="204"/>
    </row>
    <row r="24" spans="1:100" ht="17" customHeight="1">
      <c r="A24" s="227">
        <v>2</v>
      </c>
      <c r="B24" s="116">
        <f>Horarios!C24</f>
        <v>46308.875</v>
      </c>
      <c r="C24" s="117">
        <f>Horarios!C24</f>
        <v>46308.875</v>
      </c>
      <c r="D24" s="118" t="s">
        <v>695</v>
      </c>
      <c r="E24" s="222" t="e" cm="1" vm="15">
        <f t="array" ref="E24">badge_home</f>
        <v>#VALUE!</v>
      </c>
      <c r="F24" s="225"/>
      <c r="G24" s="88"/>
      <c r="H24" s="90"/>
      <c r="I24" s="224"/>
      <c r="J24" s="225" t="e" cm="1" vm="3">
        <f t="array" ref="J24">badge_away</f>
        <v>#VALUE!</v>
      </c>
      <c r="K24" s="133" t="s">
        <v>815</v>
      </c>
      <c r="L24" s="129"/>
      <c r="M24" s="188"/>
      <c r="N24" s="53">
        <v>23</v>
      </c>
      <c r="O24" s="31" t="e" cm="1" vm="27">
        <f t="array" ref="O24">badge_away</f>
        <v>#VALUE!</v>
      </c>
      <c r="P24" s="32" t="str">
        <f>IFERROR(INDEX(Calcs!A$2:A$37,MATCH($N24,Calcs!$CJ$2:$CJ$37,0)),"")</f>
        <v>Napoli</v>
      </c>
      <c r="Q24" s="33">
        <f>IFERROR(INDEX(Calcs!$B$2:$AB$37,MATCH($N24,Calcs!$CJ$2:$CJ$37,0),MATCH(Q$1,Calcs!$B$1:$AB$1,0)),"")</f>
        <v>0</v>
      </c>
      <c r="R24" s="34">
        <f>IFERROR(INDEX(Calcs!$B$2:$AB$37,MATCH($N24,Calcs!$CJ$2:$CJ$37,0),MATCH(R$1,Calcs!$B$1:$AB$1,0)),"")</f>
        <v>0</v>
      </c>
      <c r="S24" s="34">
        <f>IFERROR(INDEX(Calcs!$B$2:$AB$37,MATCH($N24,Calcs!$CJ$2:$CJ$37,0),MATCH(S$1,Calcs!$B$1:$AB$1,0)),"")</f>
        <v>0</v>
      </c>
      <c r="T24" s="34">
        <f>IFERROR(INDEX(Calcs!$B$2:$AB$37,MATCH($N24,Calcs!$CJ$2:$CJ$37,0),MATCH(T$1,Calcs!$B$1:$AB$1,0)),"")</f>
        <v>0</v>
      </c>
      <c r="U24" s="34">
        <f>IFERROR(INDEX(Calcs!$B$2:$AB$37,MATCH($N24,Calcs!$CJ$2:$CJ$37,0),MATCH(U$1,Calcs!$B$1:$AB$1,0)),"")</f>
        <v>0</v>
      </c>
      <c r="V24" s="34">
        <f>IFERROR(INDEX(Calcs!$B$2:$AB$37,MATCH($N24,Calcs!$CJ$2:$CJ$37,0),MATCH(V$1,Calcs!$B$1:$AB$1,0)),"")</f>
        <v>0</v>
      </c>
      <c r="W24" s="34">
        <f>IFERROR(INDEX(Calcs!$B$2:$AB$37,MATCH($N24,Calcs!$CJ$2:$CJ$37,0),MATCH(W$1,Calcs!$B$1:$AB$1,0)),"")</f>
        <v>0</v>
      </c>
      <c r="X24" s="35">
        <f>IFERROR(INDEX(Calcs!$B$2:$AB$37,MATCH($N24,Calcs!$CJ$2:$CJ$37,0),MATCH(X$1,Calcs!$B$1:$AB$1,0)),"")</f>
        <v>0</v>
      </c>
      <c r="Y24" s="33">
        <f>IFERROR(INDEX(Calcs!$B$2:$AB$37,MATCH($N24,Calcs!$CJ$2:$CJ$37,0),MATCH(Y$1,Calcs!$B$1:$AB$1,0)),"")</f>
        <v>0</v>
      </c>
      <c r="Z24" s="34">
        <f>IFERROR(INDEX(Calcs!$B$2:$AB$37,MATCH($N24,Calcs!$CJ$2:$CJ$37,0),MATCH(Z$1,Calcs!$B$1:$AB$1,0)),"")</f>
        <v>0</v>
      </c>
      <c r="AA24" s="34">
        <f>IFERROR(INDEX(Calcs!$B$2:$AB$37,MATCH($N24,Calcs!$CJ$2:$CJ$37,0),MATCH(AA$1,Calcs!$B$1:$AB$1,0)),"")</f>
        <v>0</v>
      </c>
      <c r="AB24" s="34">
        <f>IFERROR(INDEX(Calcs!$B$2:$AB$37,MATCH($N24,Calcs!$CJ$2:$CJ$37,0),MATCH(AB$1,Calcs!$B$1:$AB$1,0)),"")</f>
        <v>0</v>
      </c>
      <c r="AC24" s="34">
        <f>IFERROR(INDEX(Calcs!$B$2:$AB$37,MATCH($N24,Calcs!$CJ$2:$CJ$37,0),MATCH(AC$1,Calcs!$B$1:$AB$1,0)),"")</f>
        <v>0</v>
      </c>
      <c r="AD24" s="34">
        <f>IFERROR(INDEX(Calcs!$B$2:$AB$37,MATCH($N24,Calcs!$CJ$2:$CJ$37,0),MATCH(AD$1,Calcs!$B$1:$AB$1,0)),"")</f>
        <v>0</v>
      </c>
      <c r="AE24" s="34">
        <f>IFERROR(INDEX(Calcs!$B$2:$AB$37,MATCH($N24,Calcs!$CJ$2:$CJ$37,0),MATCH(AE$1,Calcs!$B$1:$AB$1,0)),"")</f>
        <v>0</v>
      </c>
      <c r="AF24" s="35">
        <f>IFERROR(INDEX(Calcs!$B$2:$AB$37,MATCH($N24,Calcs!$CJ$2:$CJ$37,0),MATCH(AF$1,Calcs!$B$1:$AB$1,0)),"")</f>
        <v>0</v>
      </c>
      <c r="AG24" s="33">
        <f>IFERROR(INDEX(Calcs!$B$2:$AB$37,MATCH($N24,Calcs!$CJ$2:$CJ$37,0),MATCH(AG$1,Calcs!$B$1:$AB$1,0)),"")</f>
        <v>0</v>
      </c>
      <c r="AH24" s="34">
        <f>IFERROR(INDEX(Calcs!$B$2:$AB$37,MATCH($N24,Calcs!$CJ$2:$CJ$37,0),MATCH(AH$1,Calcs!$B$1:$AB$1,0)),"")</f>
        <v>0</v>
      </c>
      <c r="AI24" s="34">
        <f>IFERROR(INDEX(Calcs!$B$2:$AB$37,MATCH($N24,Calcs!$CJ$2:$CJ$37,0),MATCH(AI$1,Calcs!$B$1:$AB$1,0)),"")</f>
        <v>0</v>
      </c>
      <c r="AJ24" s="34">
        <f>IFERROR(INDEX(Calcs!$B$2:$AB$37,MATCH($N24,Calcs!$CJ$2:$CJ$37,0),MATCH(AJ$1,Calcs!$B$1:$AB$1,0)),"")</f>
        <v>0</v>
      </c>
      <c r="AK24" s="34">
        <f>IFERROR(INDEX(Calcs!$B$2:$AB$37,MATCH($N24,Calcs!$CJ$2:$CJ$37,0),MATCH(AK$1,Calcs!$B$1:$AB$1,0)),"")</f>
        <v>0</v>
      </c>
      <c r="AL24" s="34">
        <f>IFERROR(INDEX(Calcs!$B$2:$AB$37,MATCH($N24,Calcs!$CJ$2:$CJ$37,0),MATCH(AL$1,Calcs!$B$1:$AB$1,0)),"")</f>
        <v>0</v>
      </c>
      <c r="AM24" s="34">
        <f>IFERROR(INDEX(Calcs!$B$2:$AB$37,MATCH($N24,Calcs!$CJ$2:$CJ$37,0),MATCH(AM$1,Calcs!$B$1:$AB$1,0)),"")</f>
        <v>0</v>
      </c>
      <c r="AN24" s="36">
        <f>IFERROR(INDEX(Calcs!$B$2:$AB$37,MATCH($N24,Calcs!$CJ$2:$CJ$37,0),MATCH(AN$1,Calcs!$B$1:$AB$1,0)),"")</f>
        <v>0</v>
      </c>
      <c r="AO24" s="34">
        <f>IFERROR(INDEX(Calcs!$B$2:$AB$37,MATCH($N24,Calcs!$CJ$2:$CJ$37,0),MATCH(AO$1,Calcs!$B$1:$AB$1,0)),"")</f>
        <v>0</v>
      </c>
      <c r="AP24" s="34">
        <f>IFERROR(INDEX(Calcs!$B$2:$AB$37,MATCH($N24,Calcs!$CJ$2:$CJ$37,0),MATCH(AP$1,Calcs!$B$1:$AB$1,0)),"")</f>
        <v>0</v>
      </c>
      <c r="AQ24" s="36">
        <f>IFERROR(INDEX(Calcs!$B$2:$AB$37,MATCH($N24,Calcs!$CJ$2:$CJ$37,0),MATCH(AQ$1,Calcs!$B$1:$AB$1,0)),"")</f>
        <v>0</v>
      </c>
      <c r="AR24" s="188"/>
      <c r="AS24" s="202" t="str">
        <f>INDEX(Calcs!A$2:A$37,MATCH($N24,Calcs!$CF$2:$CF$37,0))</f>
        <v>Napoli</v>
      </c>
      <c r="AT24" s="98"/>
      <c r="AU24" s="191">
        <f>INDEX(Calcs!$BZ$2:$BZ$37,MATCH($AS24,Calcs!$A$2:$A$37,0))</f>
        <v>1</v>
      </c>
      <c r="AV24" s="191">
        <f t="shared" si="1"/>
        <v>36</v>
      </c>
      <c r="AW24" s="191" t="str">
        <f t="shared" si="2"/>
        <v>1.36</v>
      </c>
      <c r="AX24" s="191">
        <f ca="1"/>
        <v>23</v>
      </c>
      <c r="AY24" s="188"/>
      <c r="AZ24" s="203" t="str">
        <f>TablaEquipos[[#This Row],[Team]]</f>
        <v>Napoli</v>
      </c>
      <c r="BA24" s="99"/>
      <c r="BB24" s="188"/>
      <c r="BC24" s="188"/>
      <c r="BD24" s="188"/>
      <c r="BE24" s="188"/>
      <c r="BF24" s="319" t="str">
        <f t="shared" si="0"/>
        <v>Pendiente</v>
      </c>
      <c r="BI24" s="319">
        <f>SUMIF(Calcs!$A$2:$A$37,League!BI7,Calcs!$H$2:$H$37)</f>
        <v>0</v>
      </c>
      <c r="BJ24" s="319">
        <f>SUMIF(Calcs!$A$2:$A$37,League!BJ7,Calcs!$H$2:$H$37)</f>
        <v>0</v>
      </c>
      <c r="BK24" s="319">
        <f>SUMIF(Calcs!$A$2:$A$37,League!BK7,Calcs!$H$2:$H$37)</f>
        <v>0</v>
      </c>
      <c r="BL24" s="319">
        <f>SUMIF(Calcs!$A$2:$A$37,League!BL7,Calcs!$H$2:$H$37)</f>
        <v>0</v>
      </c>
      <c r="BM24" s="319">
        <f>SUMIF(Calcs!$A$2:$A$37,League!BM7,Calcs!$H$2:$H$37)</f>
        <v>0</v>
      </c>
      <c r="BN24" s="319">
        <f>SUMIF(Calcs!$A$2:$A$37,League!BN7,Calcs!$H$2:$H$37)</f>
        <v>0</v>
      </c>
      <c r="BO24" s="319">
        <f>SUMIF(Calcs!$A$2:$A$37,League!BO7,Calcs!$H$2:$H$37)</f>
        <v>0</v>
      </c>
      <c r="BP24" s="319">
        <f>SUMIF(Calcs!$A$2:$A$37,League!BP7,Calcs!$H$2:$H$37)</f>
        <v>0</v>
      </c>
      <c r="BQ24" s="319">
        <f>SUMIF(Calcs!$A$2:$A$37,League!BQ7,Calcs!$H$2:$H$37)</f>
        <v>0</v>
      </c>
      <c r="BR24" s="319">
        <f>SUMIF(Calcs!$A$2:$A$37,League!BR7,Calcs!$H$2:$H$37)</f>
        <v>0</v>
      </c>
      <c r="BS24" s="319">
        <f>SUMIF(Calcs!$A$2:$A$37,League!BS7,Calcs!$H$2:$H$37)</f>
        <v>0</v>
      </c>
      <c r="BT24" s="319">
        <f>SUMIF(Calcs!$A$2:$A$37,League!BT7,Calcs!$H$2:$H$37)</f>
        <v>0</v>
      </c>
      <c r="BU24" s="319">
        <f>SUMIF(Calcs!$A$2:$A$37,League!BU7,Calcs!$H$2:$H$37)</f>
        <v>0</v>
      </c>
      <c r="BV24" s="319">
        <f>SUMIF(Calcs!$A$2:$A$37,League!BV7,Calcs!$H$2:$H$37)</f>
        <v>0</v>
      </c>
      <c r="BW24" s="319">
        <f>SUMIF(Calcs!$A$2:$A$37,League!BW7,Calcs!$H$2:$H$37)</f>
        <v>0</v>
      </c>
      <c r="BX24" s="319">
        <f>SUMIF(Calcs!$A$2:$A$37,League!BX7,Calcs!$H$2:$H$37)</f>
        <v>0</v>
      </c>
      <c r="BY24" s="319">
        <f>SUMIF(Calcs!$A$2:$A$37,League!BY7,Calcs!$H$2:$H$37)</f>
        <v>0</v>
      </c>
      <c r="BZ24" s="319">
        <f>SUMIF(Calcs!$A$2:$A$37,League!BZ7,Calcs!$H$2:$H$37)</f>
        <v>0</v>
      </c>
      <c r="CA24" s="319">
        <f>SUMIF(Calcs!$A$2:$A$37,League!CA7,Calcs!$H$2:$H$37)</f>
        <v>0</v>
      </c>
      <c r="CB24" s="319">
        <f>SUMIF(Calcs!$A$2:$A$37,League!CB7,Calcs!$H$2:$H$37)</f>
        <v>0</v>
      </c>
      <c r="CC24" s="319">
        <f>SUMIF(Calcs!$A$2:$A$37,League!CC7,Calcs!$H$2:$H$37)</f>
        <v>0</v>
      </c>
      <c r="CD24" s="319">
        <f>SUMIF(Calcs!$A$2:$A$37,League!CD7,Calcs!$H$2:$H$37)</f>
        <v>0</v>
      </c>
      <c r="CE24" s="319">
        <f>SUMIF(Calcs!$A$2:$A$37,League!CE7,Calcs!$H$2:$H$37)</f>
        <v>0</v>
      </c>
      <c r="CF24" s="319">
        <f>SUMIF(Calcs!$A$2:$A$37,League!CF7,Calcs!$H$2:$H$37)</f>
        <v>0</v>
      </c>
      <c r="CG24" s="319">
        <f>SUMIF(Calcs!$A$2:$A$37,League!CG7,Calcs!$H$2:$H$37)</f>
        <v>0</v>
      </c>
      <c r="CH24" s="319">
        <f>SUMIF(Calcs!$A$2:$A$37,League!CH7,Calcs!$H$2:$H$37)</f>
        <v>0</v>
      </c>
      <c r="CI24" s="319">
        <f>SUMIF(Calcs!$A$2:$A$37,League!CI7,Calcs!$H$2:$H$37)</f>
        <v>0</v>
      </c>
      <c r="CJ24" s="319">
        <f>SUMIF(Calcs!$A$2:$A$37,League!CJ7,Calcs!$H$2:$H$37)</f>
        <v>0</v>
      </c>
      <c r="CK24" s="319">
        <f>SUMIF(Calcs!$A$2:$A$37,League!CK7,Calcs!$H$2:$H$37)</f>
        <v>0</v>
      </c>
      <c r="CL24" s="319">
        <f>SUMIF(Calcs!$A$2:$A$37,League!CL7,Calcs!$H$2:$H$37)</f>
        <v>0</v>
      </c>
      <c r="CM24" s="319">
        <f>SUMIF(Calcs!$A$2:$A$37,League!CM7,Calcs!$H$2:$H$37)</f>
        <v>0</v>
      </c>
      <c r="CN24" s="319">
        <f>SUMIF(Calcs!$A$2:$A$37,League!CN7,Calcs!$H$2:$H$37)</f>
        <v>0</v>
      </c>
      <c r="CO24" s="319">
        <f>SUMIF(Calcs!$A$2:$A$37,League!CO7,Calcs!$H$2:$H$37)</f>
        <v>0</v>
      </c>
      <c r="CP24" s="319">
        <f>SUMIF(Calcs!$A$2:$A$37,League!CP7,Calcs!$H$2:$H$37)</f>
        <v>0</v>
      </c>
      <c r="CQ24" s="319">
        <f>SUMIF(Calcs!$A$2:$A$37,League!CQ7,Calcs!$H$2:$H$37)</f>
        <v>0</v>
      </c>
      <c r="CR24" s="319">
        <f>SUMIF(Calcs!$A$2:$A$37,League!CR7,Calcs!$H$2:$H$37)</f>
        <v>0</v>
      </c>
      <c r="CS24" s="204"/>
      <c r="CT24" s="204"/>
      <c r="CU24" s="204"/>
      <c r="CV24" s="204"/>
    </row>
    <row r="25" spans="1:100" ht="17" customHeight="1">
      <c r="A25" s="227">
        <v>2</v>
      </c>
      <c r="B25" s="116">
        <f>Horarios!C25</f>
        <v>46308.875</v>
      </c>
      <c r="C25" s="117">
        <f>Horarios!C25</f>
        <v>46308.875</v>
      </c>
      <c r="D25" s="118" t="s">
        <v>986</v>
      </c>
      <c r="E25" s="222" t="e" cm="1" vm="25">
        <f t="array" ref="E25">badge_home</f>
        <v>#VALUE!</v>
      </c>
      <c r="F25" s="225"/>
      <c r="G25" s="88"/>
      <c r="H25" s="90"/>
      <c r="I25" s="224"/>
      <c r="J25" s="225" t="e" cm="1" vm="13">
        <f t="array" ref="J25">badge_away</f>
        <v>#VALUE!</v>
      </c>
      <c r="K25" s="133" t="s">
        <v>692</v>
      </c>
      <c r="L25" s="129"/>
      <c r="M25" s="188"/>
      <c r="N25" s="53">
        <v>24</v>
      </c>
      <c r="O25" s="31" t="e" cm="1" vm="8">
        <f t="array" ref="O25">badge_away</f>
        <v>#VALUE!</v>
      </c>
      <c r="P25" s="32" t="str">
        <f>IFERROR(INDEX(Calcs!A$2:A$37,MATCH($N25,Calcs!$CJ$2:$CJ$37,0)),"")</f>
        <v>Porto</v>
      </c>
      <c r="Q25" s="33">
        <f>IFERROR(INDEX(Calcs!$B$2:$AB$37,MATCH($N25,Calcs!$CJ$2:$CJ$37,0),MATCH(Q$1,Calcs!$B$1:$AB$1,0)),"")</f>
        <v>0</v>
      </c>
      <c r="R25" s="34">
        <f>IFERROR(INDEX(Calcs!$B$2:$AB$37,MATCH($N25,Calcs!$CJ$2:$CJ$37,0),MATCH(R$1,Calcs!$B$1:$AB$1,0)),"")</f>
        <v>0</v>
      </c>
      <c r="S25" s="34">
        <f>IFERROR(INDEX(Calcs!$B$2:$AB$37,MATCH($N25,Calcs!$CJ$2:$CJ$37,0),MATCH(S$1,Calcs!$B$1:$AB$1,0)),"")</f>
        <v>0</v>
      </c>
      <c r="T25" s="34">
        <f>IFERROR(INDEX(Calcs!$B$2:$AB$37,MATCH($N25,Calcs!$CJ$2:$CJ$37,0),MATCH(T$1,Calcs!$B$1:$AB$1,0)),"")</f>
        <v>0</v>
      </c>
      <c r="U25" s="34">
        <f>IFERROR(INDEX(Calcs!$B$2:$AB$37,MATCH($N25,Calcs!$CJ$2:$CJ$37,0),MATCH(U$1,Calcs!$B$1:$AB$1,0)),"")</f>
        <v>0</v>
      </c>
      <c r="V25" s="34">
        <f>IFERROR(INDEX(Calcs!$B$2:$AB$37,MATCH($N25,Calcs!$CJ$2:$CJ$37,0),MATCH(V$1,Calcs!$B$1:$AB$1,0)),"")</f>
        <v>0</v>
      </c>
      <c r="W25" s="34">
        <f>IFERROR(INDEX(Calcs!$B$2:$AB$37,MATCH($N25,Calcs!$CJ$2:$CJ$37,0),MATCH(W$1,Calcs!$B$1:$AB$1,0)),"")</f>
        <v>0</v>
      </c>
      <c r="X25" s="35">
        <f>IFERROR(INDEX(Calcs!$B$2:$AB$37,MATCH($N25,Calcs!$CJ$2:$CJ$37,0),MATCH(X$1,Calcs!$B$1:$AB$1,0)),"")</f>
        <v>0</v>
      </c>
      <c r="Y25" s="33">
        <f>IFERROR(INDEX(Calcs!$B$2:$AB$37,MATCH($N25,Calcs!$CJ$2:$CJ$37,0),MATCH(Y$1,Calcs!$B$1:$AB$1,0)),"")</f>
        <v>0</v>
      </c>
      <c r="Z25" s="34">
        <f>IFERROR(INDEX(Calcs!$B$2:$AB$37,MATCH($N25,Calcs!$CJ$2:$CJ$37,0),MATCH(Z$1,Calcs!$B$1:$AB$1,0)),"")</f>
        <v>0</v>
      </c>
      <c r="AA25" s="34">
        <f>IFERROR(INDEX(Calcs!$B$2:$AB$37,MATCH($N25,Calcs!$CJ$2:$CJ$37,0),MATCH(AA$1,Calcs!$B$1:$AB$1,0)),"")</f>
        <v>0</v>
      </c>
      <c r="AB25" s="34">
        <f>IFERROR(INDEX(Calcs!$B$2:$AB$37,MATCH($N25,Calcs!$CJ$2:$CJ$37,0),MATCH(AB$1,Calcs!$B$1:$AB$1,0)),"")</f>
        <v>0</v>
      </c>
      <c r="AC25" s="34">
        <f>IFERROR(INDEX(Calcs!$B$2:$AB$37,MATCH($N25,Calcs!$CJ$2:$CJ$37,0),MATCH(AC$1,Calcs!$B$1:$AB$1,0)),"")</f>
        <v>0</v>
      </c>
      <c r="AD25" s="34">
        <f>IFERROR(INDEX(Calcs!$B$2:$AB$37,MATCH($N25,Calcs!$CJ$2:$CJ$37,0),MATCH(AD$1,Calcs!$B$1:$AB$1,0)),"")</f>
        <v>0</v>
      </c>
      <c r="AE25" s="34">
        <f>IFERROR(INDEX(Calcs!$B$2:$AB$37,MATCH($N25,Calcs!$CJ$2:$CJ$37,0),MATCH(AE$1,Calcs!$B$1:$AB$1,0)),"")</f>
        <v>0</v>
      </c>
      <c r="AF25" s="35">
        <f>IFERROR(INDEX(Calcs!$B$2:$AB$37,MATCH($N25,Calcs!$CJ$2:$CJ$37,0),MATCH(AF$1,Calcs!$B$1:$AB$1,0)),"")</f>
        <v>0</v>
      </c>
      <c r="AG25" s="33">
        <f>IFERROR(INDEX(Calcs!$B$2:$AB$37,MATCH($N25,Calcs!$CJ$2:$CJ$37,0),MATCH(AG$1,Calcs!$B$1:$AB$1,0)),"")</f>
        <v>0</v>
      </c>
      <c r="AH25" s="34">
        <f>IFERROR(INDEX(Calcs!$B$2:$AB$37,MATCH($N25,Calcs!$CJ$2:$CJ$37,0),MATCH(AH$1,Calcs!$B$1:$AB$1,0)),"")</f>
        <v>0</v>
      </c>
      <c r="AI25" s="34">
        <f>IFERROR(INDEX(Calcs!$B$2:$AB$37,MATCH($N25,Calcs!$CJ$2:$CJ$37,0),MATCH(AI$1,Calcs!$B$1:$AB$1,0)),"")</f>
        <v>0</v>
      </c>
      <c r="AJ25" s="34">
        <f>IFERROR(INDEX(Calcs!$B$2:$AB$37,MATCH($N25,Calcs!$CJ$2:$CJ$37,0),MATCH(AJ$1,Calcs!$B$1:$AB$1,0)),"")</f>
        <v>0</v>
      </c>
      <c r="AK25" s="34">
        <f>IFERROR(INDEX(Calcs!$B$2:$AB$37,MATCH($N25,Calcs!$CJ$2:$CJ$37,0),MATCH(AK$1,Calcs!$B$1:$AB$1,0)),"")</f>
        <v>0</v>
      </c>
      <c r="AL25" s="34">
        <f>IFERROR(INDEX(Calcs!$B$2:$AB$37,MATCH($N25,Calcs!$CJ$2:$CJ$37,0),MATCH(AL$1,Calcs!$B$1:$AB$1,0)),"")</f>
        <v>0</v>
      </c>
      <c r="AM25" s="34">
        <f>IFERROR(INDEX(Calcs!$B$2:$AB$37,MATCH($N25,Calcs!$CJ$2:$CJ$37,0),MATCH(AM$1,Calcs!$B$1:$AB$1,0)),"")</f>
        <v>0</v>
      </c>
      <c r="AN25" s="36">
        <f>IFERROR(INDEX(Calcs!$B$2:$AB$37,MATCH($N25,Calcs!$CJ$2:$CJ$37,0),MATCH(AN$1,Calcs!$B$1:$AB$1,0)),"")</f>
        <v>0</v>
      </c>
      <c r="AO25" s="34">
        <f>IFERROR(INDEX(Calcs!$B$2:$AB$37,MATCH($N25,Calcs!$CJ$2:$CJ$37,0),MATCH(AO$1,Calcs!$B$1:$AB$1,0)),"")</f>
        <v>0</v>
      </c>
      <c r="AP25" s="34">
        <f>IFERROR(INDEX(Calcs!$B$2:$AB$37,MATCH($N25,Calcs!$CJ$2:$CJ$37,0),MATCH(AP$1,Calcs!$B$1:$AB$1,0)),"")</f>
        <v>0</v>
      </c>
      <c r="AQ25" s="36">
        <f>IFERROR(INDEX(Calcs!$B$2:$AB$37,MATCH($N25,Calcs!$CJ$2:$CJ$37,0),MATCH(AQ$1,Calcs!$B$1:$AB$1,0)),"")</f>
        <v>0</v>
      </c>
      <c r="AR25" s="188"/>
      <c r="AS25" s="202" t="str">
        <f>INDEX(Calcs!A$2:A$37,MATCH($N25,Calcs!$CF$2:$CF$37,0))</f>
        <v>Porto</v>
      </c>
      <c r="AT25" s="98"/>
      <c r="AU25" s="191">
        <f>INDEX(Calcs!$BZ$2:$BZ$37,MATCH($AS25,Calcs!$A$2:$A$37,0))</f>
        <v>1</v>
      </c>
      <c r="AV25" s="191">
        <f t="shared" si="1"/>
        <v>36</v>
      </c>
      <c r="AW25" s="191" t="str">
        <f t="shared" si="2"/>
        <v>1.36</v>
      </c>
      <c r="AX25" s="191">
        <f ca="1"/>
        <v>24</v>
      </c>
      <c r="AY25" s="188"/>
      <c r="AZ25" s="212" t="str">
        <f>TablaEquipos[[#This Row],[Team]]</f>
        <v>Porto</v>
      </c>
      <c r="BA25" s="100"/>
      <c r="BB25" s="188"/>
      <c r="BC25" s="188"/>
      <c r="BD25" s="188"/>
      <c r="BE25" s="188"/>
      <c r="BF25" s="319" t="str">
        <f t="shared" si="0"/>
        <v>Pendiente</v>
      </c>
      <c r="BI25" s="319">
        <f>SUMIF(Calcs!$A$2:$A$37,League!BI8,Calcs!$H$2:$H$37)</f>
        <v>0</v>
      </c>
      <c r="BJ25" s="319">
        <f>SUMIF(Calcs!$A$2:$A$37,League!BJ8,Calcs!$H$2:$H$37)</f>
        <v>0</v>
      </c>
      <c r="BK25" s="319">
        <f>SUMIF(Calcs!$A$2:$A$37,League!BK8,Calcs!$H$2:$H$37)</f>
        <v>0</v>
      </c>
      <c r="BL25" s="319">
        <f>SUMIF(Calcs!$A$2:$A$37,League!BL8,Calcs!$H$2:$H$37)</f>
        <v>0</v>
      </c>
      <c r="BM25" s="319">
        <f>SUMIF(Calcs!$A$2:$A$37,League!BM8,Calcs!$H$2:$H$37)</f>
        <v>0</v>
      </c>
      <c r="BN25" s="319">
        <f>SUMIF(Calcs!$A$2:$A$37,League!BN8,Calcs!$H$2:$H$37)</f>
        <v>0</v>
      </c>
      <c r="BO25" s="319">
        <f>SUMIF(Calcs!$A$2:$A$37,League!BO8,Calcs!$H$2:$H$37)</f>
        <v>0</v>
      </c>
      <c r="BP25" s="319">
        <f>SUMIF(Calcs!$A$2:$A$37,League!BP8,Calcs!$H$2:$H$37)</f>
        <v>0</v>
      </c>
      <c r="BQ25" s="319">
        <f>SUMIF(Calcs!$A$2:$A$37,League!BQ8,Calcs!$H$2:$H$37)</f>
        <v>0</v>
      </c>
      <c r="BR25" s="319">
        <f>SUMIF(Calcs!$A$2:$A$37,League!BR8,Calcs!$H$2:$H$37)</f>
        <v>0</v>
      </c>
      <c r="BS25" s="319">
        <f>SUMIF(Calcs!$A$2:$A$37,League!BS8,Calcs!$H$2:$H$37)</f>
        <v>0</v>
      </c>
      <c r="BT25" s="319">
        <f>SUMIF(Calcs!$A$2:$A$37,League!BT8,Calcs!$H$2:$H$37)</f>
        <v>0</v>
      </c>
      <c r="BU25" s="319">
        <f>SUMIF(Calcs!$A$2:$A$37,League!BU8,Calcs!$H$2:$H$37)</f>
        <v>0</v>
      </c>
      <c r="BV25" s="319">
        <f>SUMIF(Calcs!$A$2:$A$37,League!BV8,Calcs!$H$2:$H$37)</f>
        <v>0</v>
      </c>
      <c r="BW25" s="319">
        <f>SUMIF(Calcs!$A$2:$A$37,League!BW8,Calcs!$H$2:$H$37)</f>
        <v>0</v>
      </c>
      <c r="BX25" s="319">
        <f>SUMIF(Calcs!$A$2:$A$37,League!BX8,Calcs!$H$2:$H$37)</f>
        <v>0</v>
      </c>
      <c r="BY25" s="319">
        <f>SUMIF(Calcs!$A$2:$A$37,League!BY8,Calcs!$H$2:$H$37)</f>
        <v>0</v>
      </c>
      <c r="BZ25" s="319">
        <f>SUMIF(Calcs!$A$2:$A$37,League!BZ8,Calcs!$H$2:$H$37)</f>
        <v>0</v>
      </c>
      <c r="CA25" s="319">
        <f>SUMIF(Calcs!$A$2:$A$37,League!CA8,Calcs!$H$2:$H$37)</f>
        <v>0</v>
      </c>
      <c r="CB25" s="319">
        <f>SUMIF(Calcs!$A$2:$A$37,League!CB8,Calcs!$H$2:$H$37)</f>
        <v>0</v>
      </c>
      <c r="CC25" s="319">
        <f>SUMIF(Calcs!$A$2:$A$37,League!CC8,Calcs!$H$2:$H$37)</f>
        <v>0</v>
      </c>
      <c r="CD25" s="319">
        <f>SUMIF(Calcs!$A$2:$A$37,League!CD8,Calcs!$H$2:$H$37)</f>
        <v>0</v>
      </c>
      <c r="CE25" s="319">
        <f>SUMIF(Calcs!$A$2:$A$37,League!CE8,Calcs!$H$2:$H$37)</f>
        <v>0</v>
      </c>
      <c r="CF25" s="319">
        <f>SUMIF(Calcs!$A$2:$A$37,League!CF8,Calcs!$H$2:$H$37)</f>
        <v>0</v>
      </c>
      <c r="CG25" s="319">
        <f>SUMIF(Calcs!$A$2:$A$37,League!CG8,Calcs!$H$2:$H$37)</f>
        <v>0</v>
      </c>
      <c r="CH25" s="319">
        <f>SUMIF(Calcs!$A$2:$A$37,League!CH8,Calcs!$H$2:$H$37)</f>
        <v>0</v>
      </c>
      <c r="CI25" s="319">
        <f>SUMIF(Calcs!$A$2:$A$37,League!CI8,Calcs!$H$2:$H$37)</f>
        <v>0</v>
      </c>
      <c r="CJ25" s="319">
        <f>SUMIF(Calcs!$A$2:$A$37,League!CJ8,Calcs!$H$2:$H$37)</f>
        <v>0</v>
      </c>
      <c r="CK25" s="319">
        <f>SUMIF(Calcs!$A$2:$A$37,League!CK8,Calcs!$H$2:$H$37)</f>
        <v>0</v>
      </c>
      <c r="CL25" s="319">
        <f>SUMIF(Calcs!$A$2:$A$37,League!CL8,Calcs!$H$2:$H$37)</f>
        <v>0</v>
      </c>
      <c r="CM25" s="319">
        <f>SUMIF(Calcs!$A$2:$A$37,League!CM8,Calcs!$H$2:$H$37)</f>
        <v>0</v>
      </c>
      <c r="CN25" s="319">
        <f>SUMIF(Calcs!$A$2:$A$37,League!CN8,Calcs!$H$2:$H$37)</f>
        <v>0</v>
      </c>
      <c r="CO25" s="319">
        <f>SUMIF(Calcs!$A$2:$A$37,League!CO8,Calcs!$H$2:$H$37)</f>
        <v>0</v>
      </c>
      <c r="CP25" s="319">
        <f>SUMIF(Calcs!$A$2:$A$37,League!CP8,Calcs!$H$2:$H$37)</f>
        <v>0</v>
      </c>
      <c r="CQ25" s="319">
        <f>SUMIF(Calcs!$A$2:$A$37,League!CQ8,Calcs!$H$2:$H$37)</f>
        <v>0</v>
      </c>
      <c r="CR25" s="319">
        <f>SUMIF(Calcs!$A$2:$A$37,League!CR8,Calcs!$H$2:$H$37)</f>
        <v>0</v>
      </c>
      <c r="CS25" s="204"/>
      <c r="CT25" s="204"/>
      <c r="CU25" s="204"/>
      <c r="CV25" s="204"/>
    </row>
    <row r="26" spans="1:100" ht="17" customHeight="1">
      <c r="A26" s="227">
        <v>2</v>
      </c>
      <c r="B26" s="116">
        <f>Horarios!C26</f>
        <v>46308.875</v>
      </c>
      <c r="C26" s="117">
        <f>Horarios!C26</f>
        <v>46308.875</v>
      </c>
      <c r="D26" s="118" t="s">
        <v>738</v>
      </c>
      <c r="E26" s="222" t="e" cm="1" vm="32">
        <f t="array" ref="E26">badge_home</f>
        <v>#VALUE!</v>
      </c>
      <c r="F26" s="225"/>
      <c r="G26" s="88"/>
      <c r="H26" s="90"/>
      <c r="I26" s="224"/>
      <c r="J26" s="225" t="e" cm="1" vm="30">
        <f t="array" ref="J26">badge_away</f>
        <v>#VALUE!</v>
      </c>
      <c r="K26" s="133" t="s">
        <v>741</v>
      </c>
      <c r="L26" s="129"/>
      <c r="M26" s="188"/>
      <c r="N26" s="54">
        <v>25</v>
      </c>
      <c r="O26" s="37" t="e" cm="1" vm="22">
        <f t="array" ref="O26">badge_away</f>
        <v>#VALUE!</v>
      </c>
      <c r="P26" s="38" t="str">
        <f>IFERROR(INDEX(Calcs!A$2:A$37,MATCH($N26,Calcs!$CJ$2:$CJ$37,0)),"")</f>
        <v>PSG</v>
      </c>
      <c r="Q26" s="39">
        <f>IFERROR(INDEX(Calcs!$B$2:$AB$37,MATCH($N26,Calcs!$CJ$2:$CJ$37,0),MATCH(Q$1,Calcs!$B$1:$AB$1,0)),"")</f>
        <v>0</v>
      </c>
      <c r="R26" s="40">
        <f>IFERROR(INDEX(Calcs!$B$2:$AB$37,MATCH($N26,Calcs!$CJ$2:$CJ$37,0),MATCH(R$1,Calcs!$B$1:$AB$1,0)),"")</f>
        <v>0</v>
      </c>
      <c r="S26" s="40">
        <f>IFERROR(INDEX(Calcs!$B$2:$AB$37,MATCH($N26,Calcs!$CJ$2:$CJ$37,0),MATCH(S$1,Calcs!$B$1:$AB$1,0)),"")</f>
        <v>0</v>
      </c>
      <c r="T26" s="40">
        <f>IFERROR(INDEX(Calcs!$B$2:$AB$37,MATCH($N26,Calcs!$CJ$2:$CJ$37,0),MATCH(T$1,Calcs!$B$1:$AB$1,0)),"")</f>
        <v>0</v>
      </c>
      <c r="U26" s="40">
        <f>IFERROR(INDEX(Calcs!$B$2:$AB$37,MATCH($N26,Calcs!$CJ$2:$CJ$37,0),MATCH(U$1,Calcs!$B$1:$AB$1,0)),"")</f>
        <v>0</v>
      </c>
      <c r="V26" s="40">
        <f>IFERROR(INDEX(Calcs!$B$2:$AB$37,MATCH($N26,Calcs!$CJ$2:$CJ$37,0),MATCH(V$1,Calcs!$B$1:$AB$1,0)),"")</f>
        <v>0</v>
      </c>
      <c r="W26" s="40">
        <f>IFERROR(INDEX(Calcs!$B$2:$AB$37,MATCH($N26,Calcs!$CJ$2:$CJ$37,0),MATCH(W$1,Calcs!$B$1:$AB$1,0)),"")</f>
        <v>0</v>
      </c>
      <c r="X26" s="41">
        <f>IFERROR(INDEX(Calcs!$B$2:$AB$37,MATCH($N26,Calcs!$CJ$2:$CJ$37,0),MATCH(X$1,Calcs!$B$1:$AB$1,0)),"")</f>
        <v>0</v>
      </c>
      <c r="Y26" s="42">
        <f>IFERROR(INDEX(Calcs!$B$2:$AB$37,MATCH($N26,Calcs!$CJ$2:$CJ$37,0),MATCH(Y$1,Calcs!$B$1:$AB$1,0)),"")</f>
        <v>0</v>
      </c>
      <c r="Z26" s="40">
        <f>IFERROR(INDEX(Calcs!$B$2:$AB$37,MATCH($N26,Calcs!$CJ$2:$CJ$37,0),MATCH(Z$1,Calcs!$B$1:$AB$1,0)),"")</f>
        <v>0</v>
      </c>
      <c r="AA26" s="40">
        <f>IFERROR(INDEX(Calcs!$B$2:$AB$37,MATCH($N26,Calcs!$CJ$2:$CJ$37,0),MATCH(AA$1,Calcs!$B$1:$AB$1,0)),"")</f>
        <v>0</v>
      </c>
      <c r="AB26" s="40">
        <f>IFERROR(INDEX(Calcs!$B$2:$AB$37,MATCH($N26,Calcs!$CJ$2:$CJ$37,0),MATCH(AB$1,Calcs!$B$1:$AB$1,0)),"")</f>
        <v>0</v>
      </c>
      <c r="AC26" s="40">
        <f>IFERROR(INDEX(Calcs!$B$2:$AB$37,MATCH($N26,Calcs!$CJ$2:$CJ$37,0),MATCH(AC$1,Calcs!$B$1:$AB$1,0)),"")</f>
        <v>0</v>
      </c>
      <c r="AD26" s="40">
        <f>IFERROR(INDEX(Calcs!$B$2:$AB$37,MATCH($N26,Calcs!$CJ$2:$CJ$37,0),MATCH(AD$1,Calcs!$B$1:$AB$1,0)),"")</f>
        <v>0</v>
      </c>
      <c r="AE26" s="40">
        <f>IFERROR(INDEX(Calcs!$B$2:$AB$37,MATCH($N26,Calcs!$CJ$2:$CJ$37,0),MATCH(AE$1,Calcs!$B$1:$AB$1,0)),"")</f>
        <v>0</v>
      </c>
      <c r="AF26" s="41">
        <f>IFERROR(INDEX(Calcs!$B$2:$AB$37,MATCH($N26,Calcs!$CJ$2:$CJ$37,0),MATCH(AF$1,Calcs!$B$1:$AB$1,0)),"")</f>
        <v>0</v>
      </c>
      <c r="AG26" s="42">
        <f>IFERROR(INDEX(Calcs!$B$2:$AB$37,MATCH($N26,Calcs!$CJ$2:$CJ$37,0),MATCH(AG$1,Calcs!$B$1:$AB$1,0)),"")</f>
        <v>0</v>
      </c>
      <c r="AH26" s="40">
        <f>IFERROR(INDEX(Calcs!$B$2:$AB$37,MATCH($N26,Calcs!$CJ$2:$CJ$37,0),MATCH(AH$1,Calcs!$B$1:$AB$1,0)),"")</f>
        <v>0</v>
      </c>
      <c r="AI26" s="40">
        <f>IFERROR(INDEX(Calcs!$B$2:$AB$37,MATCH($N26,Calcs!$CJ$2:$CJ$37,0),MATCH(AI$1,Calcs!$B$1:$AB$1,0)),"")</f>
        <v>0</v>
      </c>
      <c r="AJ26" s="40">
        <f>IFERROR(INDEX(Calcs!$B$2:$AB$37,MATCH($N26,Calcs!$CJ$2:$CJ$37,0),MATCH(AJ$1,Calcs!$B$1:$AB$1,0)),"")</f>
        <v>0</v>
      </c>
      <c r="AK26" s="40">
        <f>IFERROR(INDEX(Calcs!$B$2:$AB$37,MATCH($N26,Calcs!$CJ$2:$CJ$37,0),MATCH(AK$1,Calcs!$B$1:$AB$1,0)),"")</f>
        <v>0</v>
      </c>
      <c r="AL26" s="40">
        <f>IFERROR(INDEX(Calcs!$B$2:$AB$37,MATCH($N26,Calcs!$CJ$2:$CJ$37,0),MATCH(AL$1,Calcs!$B$1:$AB$1,0)),"")</f>
        <v>0</v>
      </c>
      <c r="AM26" s="40">
        <f>IFERROR(INDEX(Calcs!$B$2:$AB$37,MATCH($N26,Calcs!$CJ$2:$CJ$37,0),MATCH(AM$1,Calcs!$B$1:$AB$1,0)),"")</f>
        <v>0</v>
      </c>
      <c r="AN26" s="43">
        <f>IFERROR(INDEX(Calcs!$B$2:$AB$37,MATCH($N26,Calcs!$CJ$2:$CJ$37,0),MATCH(AN$1,Calcs!$B$1:$AB$1,0)),"")</f>
        <v>0</v>
      </c>
      <c r="AO26" s="40">
        <f>IFERROR(INDEX(Calcs!$B$2:$AB$37,MATCH($N26,Calcs!$CJ$2:$CJ$37,0),MATCH(AO$1,Calcs!$B$1:$AB$1,0)),"")</f>
        <v>0</v>
      </c>
      <c r="AP26" s="40">
        <f>IFERROR(INDEX(Calcs!$B$2:$AB$37,MATCH($N26,Calcs!$CJ$2:$CJ$37,0),MATCH(AP$1,Calcs!$B$1:$AB$1,0)),"")</f>
        <v>0</v>
      </c>
      <c r="AQ26" s="43">
        <f>IFERROR(INDEX(Calcs!$B$2:$AB$37,MATCH($N26,Calcs!$CJ$2:$CJ$37,0),MATCH(AQ$1,Calcs!$B$1:$AB$1,0)),"")</f>
        <v>0</v>
      </c>
      <c r="AR26" s="188"/>
      <c r="AS26" s="202" t="str">
        <f>INDEX(Calcs!A$2:A$37,MATCH($N26,Calcs!$CF$2:$CF$37,0))</f>
        <v>PSG</v>
      </c>
      <c r="AT26" s="98"/>
      <c r="AU26" s="191">
        <f>INDEX(Calcs!$BZ$2:$BZ$37,MATCH($AS26,Calcs!$A$2:$A$37,0))</f>
        <v>1</v>
      </c>
      <c r="AV26" s="191">
        <f t="shared" si="1"/>
        <v>36</v>
      </c>
      <c r="AW26" s="191" t="str">
        <f t="shared" si="2"/>
        <v>1.36</v>
      </c>
      <c r="AX26" s="191">
        <f ca="1"/>
        <v>25</v>
      </c>
      <c r="AY26" s="188"/>
      <c r="AZ26" s="203" t="str">
        <f>TablaEquipos[[#This Row],[Team]]</f>
        <v>PSG</v>
      </c>
      <c r="BA26" s="99"/>
      <c r="BB26" s="188"/>
      <c r="BC26" s="188"/>
      <c r="BD26" s="188"/>
      <c r="BE26" s="188"/>
      <c r="BF26" s="319" t="str">
        <f t="shared" si="0"/>
        <v>Pendiente</v>
      </c>
      <c r="BI26" s="319">
        <f>SUMIF(Calcs!$A$2:$A$37,League!BI9,Calcs!$H$2:$H$37)</f>
        <v>0</v>
      </c>
      <c r="BJ26" s="319">
        <f>SUMIF(Calcs!$A$2:$A$37,League!BJ9,Calcs!$H$2:$H$37)</f>
        <v>0</v>
      </c>
      <c r="BK26" s="319">
        <f>SUMIF(Calcs!$A$2:$A$37,League!BK9,Calcs!$H$2:$H$37)</f>
        <v>0</v>
      </c>
      <c r="BL26" s="319">
        <f>SUMIF(Calcs!$A$2:$A$37,League!BL9,Calcs!$H$2:$H$37)</f>
        <v>0</v>
      </c>
      <c r="BM26" s="319">
        <f>SUMIF(Calcs!$A$2:$A$37,League!BM9,Calcs!$H$2:$H$37)</f>
        <v>0</v>
      </c>
      <c r="BN26" s="319">
        <f>SUMIF(Calcs!$A$2:$A$37,League!BN9,Calcs!$H$2:$H$37)</f>
        <v>0</v>
      </c>
      <c r="BO26" s="319">
        <f>SUMIF(Calcs!$A$2:$A$37,League!BO9,Calcs!$H$2:$H$37)</f>
        <v>0</v>
      </c>
      <c r="BP26" s="319">
        <f>SUMIF(Calcs!$A$2:$A$37,League!BP9,Calcs!$H$2:$H$37)</f>
        <v>0</v>
      </c>
      <c r="BQ26" s="319">
        <f>SUMIF(Calcs!$A$2:$A$37,League!BQ9,Calcs!$H$2:$H$37)</f>
        <v>0</v>
      </c>
      <c r="BR26" s="319">
        <f>SUMIF(Calcs!$A$2:$A$37,League!BR9,Calcs!$H$2:$H$37)</f>
        <v>0</v>
      </c>
      <c r="BS26" s="319">
        <f>SUMIF(Calcs!$A$2:$A$37,League!BS9,Calcs!$H$2:$H$37)</f>
        <v>0</v>
      </c>
      <c r="BT26" s="319">
        <f>SUMIF(Calcs!$A$2:$A$37,League!BT9,Calcs!$H$2:$H$37)</f>
        <v>0</v>
      </c>
      <c r="BU26" s="319">
        <f>SUMIF(Calcs!$A$2:$A$37,League!BU9,Calcs!$H$2:$H$37)</f>
        <v>0</v>
      </c>
      <c r="BV26" s="319">
        <f>SUMIF(Calcs!$A$2:$A$37,League!BV9,Calcs!$H$2:$H$37)</f>
        <v>0</v>
      </c>
      <c r="BW26" s="319">
        <f>SUMIF(Calcs!$A$2:$A$37,League!BW9,Calcs!$H$2:$H$37)</f>
        <v>0</v>
      </c>
      <c r="BX26" s="319">
        <f>SUMIF(Calcs!$A$2:$A$37,League!BX9,Calcs!$H$2:$H$37)</f>
        <v>0</v>
      </c>
      <c r="BY26" s="319">
        <f>SUMIF(Calcs!$A$2:$A$37,League!BY9,Calcs!$H$2:$H$37)</f>
        <v>0</v>
      </c>
      <c r="BZ26" s="319">
        <f>SUMIF(Calcs!$A$2:$A$37,League!BZ9,Calcs!$H$2:$H$37)</f>
        <v>0</v>
      </c>
      <c r="CA26" s="319">
        <f>SUMIF(Calcs!$A$2:$A$37,League!CA9,Calcs!$H$2:$H$37)</f>
        <v>0</v>
      </c>
      <c r="CB26" s="319">
        <f>SUMIF(Calcs!$A$2:$A$37,League!CB9,Calcs!$H$2:$H$37)</f>
        <v>0</v>
      </c>
      <c r="CC26" s="319">
        <f>SUMIF(Calcs!$A$2:$A$37,League!CC9,Calcs!$H$2:$H$37)</f>
        <v>0</v>
      </c>
      <c r="CD26" s="319">
        <f>SUMIF(Calcs!$A$2:$A$37,League!CD9,Calcs!$H$2:$H$37)</f>
        <v>0</v>
      </c>
      <c r="CE26" s="319">
        <f>SUMIF(Calcs!$A$2:$A$37,League!CE9,Calcs!$H$2:$H$37)</f>
        <v>0</v>
      </c>
      <c r="CF26" s="319">
        <f>SUMIF(Calcs!$A$2:$A$37,League!CF9,Calcs!$H$2:$H$37)</f>
        <v>0</v>
      </c>
      <c r="CG26" s="319">
        <f>SUMIF(Calcs!$A$2:$A$37,League!CG9,Calcs!$H$2:$H$37)</f>
        <v>0</v>
      </c>
      <c r="CH26" s="319">
        <f>SUMIF(Calcs!$A$2:$A$37,League!CH9,Calcs!$H$2:$H$37)</f>
        <v>0</v>
      </c>
      <c r="CI26" s="319">
        <f>SUMIF(Calcs!$A$2:$A$37,League!CI9,Calcs!$H$2:$H$37)</f>
        <v>0</v>
      </c>
      <c r="CJ26" s="319">
        <f>SUMIF(Calcs!$A$2:$A$37,League!CJ9,Calcs!$H$2:$H$37)</f>
        <v>0</v>
      </c>
      <c r="CK26" s="319">
        <f>SUMIF(Calcs!$A$2:$A$37,League!CK9,Calcs!$H$2:$H$37)</f>
        <v>0</v>
      </c>
      <c r="CL26" s="319">
        <f>SUMIF(Calcs!$A$2:$A$37,League!CL9,Calcs!$H$2:$H$37)</f>
        <v>0</v>
      </c>
      <c r="CM26" s="319">
        <f>SUMIF(Calcs!$A$2:$A$37,League!CM9,Calcs!$H$2:$H$37)</f>
        <v>0</v>
      </c>
      <c r="CN26" s="319">
        <f>SUMIF(Calcs!$A$2:$A$37,League!CN9,Calcs!$H$2:$H$37)</f>
        <v>0</v>
      </c>
      <c r="CO26" s="319">
        <f>SUMIF(Calcs!$A$2:$A$37,League!CO9,Calcs!$H$2:$H$37)</f>
        <v>0</v>
      </c>
      <c r="CP26" s="319">
        <f>SUMIF(Calcs!$A$2:$A$37,League!CP9,Calcs!$H$2:$H$37)</f>
        <v>0</v>
      </c>
      <c r="CQ26" s="319">
        <f>SUMIF(Calcs!$A$2:$A$37,League!CQ9,Calcs!$H$2:$H$37)</f>
        <v>0</v>
      </c>
      <c r="CR26" s="319">
        <f>SUMIF(Calcs!$A$2:$A$37,League!CR9,Calcs!$H$2:$H$37)</f>
        <v>0</v>
      </c>
      <c r="CS26" s="204"/>
      <c r="CT26" s="204"/>
      <c r="CU26" s="204"/>
      <c r="CV26" s="204"/>
    </row>
    <row r="27" spans="1:100" ht="17" customHeight="1">
      <c r="A27" s="227">
        <v>2</v>
      </c>
      <c r="B27" s="116">
        <f>Horarios!C27</f>
        <v>46308.875</v>
      </c>
      <c r="C27" s="117">
        <f>Horarios!C27</f>
        <v>46308.875</v>
      </c>
      <c r="D27" s="118" t="s">
        <v>1029</v>
      </c>
      <c r="E27" s="222" t="e" cm="1" vm="19">
        <f t="array" ref="E27">badge_home</f>
        <v>#VALUE!</v>
      </c>
      <c r="F27" s="225"/>
      <c r="G27" s="88"/>
      <c r="H27" s="90"/>
      <c r="I27" s="224"/>
      <c r="J27" s="225" t="e" cm="1" vm="16">
        <f t="array" ref="J27">badge_away</f>
        <v>#VALUE!</v>
      </c>
      <c r="K27" s="133" t="s">
        <v>993</v>
      </c>
      <c r="L27" s="129"/>
      <c r="M27" s="188"/>
      <c r="N27" s="55">
        <v>26</v>
      </c>
      <c r="O27" s="37" t="e" cm="1" vm="30">
        <f t="array" ref="O27">badge_away</f>
        <v>#VALUE!</v>
      </c>
      <c r="P27" s="38" t="str">
        <f>IFERROR(INDEX(Calcs!A$2:A$37,MATCH($N27,Calcs!$CJ$2:$CJ$37,0)),"")</f>
        <v>PSV Eindhoven</v>
      </c>
      <c r="Q27" s="39">
        <f>IFERROR(INDEX(Calcs!$B$2:$AB$37,MATCH($N27,Calcs!$CJ$2:$CJ$37,0),MATCH(Q$1,Calcs!$B$1:$AB$1,0)),"")</f>
        <v>0</v>
      </c>
      <c r="R27" s="40">
        <f>IFERROR(INDEX(Calcs!$B$2:$AB$37,MATCH($N27,Calcs!$CJ$2:$CJ$37,0),MATCH(R$1,Calcs!$B$1:$AB$1,0)),"")</f>
        <v>0</v>
      </c>
      <c r="S27" s="40">
        <f>IFERROR(INDEX(Calcs!$B$2:$AB$37,MATCH($N27,Calcs!$CJ$2:$CJ$37,0),MATCH(S$1,Calcs!$B$1:$AB$1,0)),"")</f>
        <v>0</v>
      </c>
      <c r="T27" s="40">
        <f>IFERROR(INDEX(Calcs!$B$2:$AB$37,MATCH($N27,Calcs!$CJ$2:$CJ$37,0),MATCH(T$1,Calcs!$B$1:$AB$1,0)),"")</f>
        <v>0</v>
      </c>
      <c r="U27" s="40">
        <f>IFERROR(INDEX(Calcs!$B$2:$AB$37,MATCH($N27,Calcs!$CJ$2:$CJ$37,0),MATCH(U$1,Calcs!$B$1:$AB$1,0)),"")</f>
        <v>0</v>
      </c>
      <c r="V27" s="40">
        <f>IFERROR(INDEX(Calcs!$B$2:$AB$37,MATCH($N27,Calcs!$CJ$2:$CJ$37,0),MATCH(V$1,Calcs!$B$1:$AB$1,0)),"")</f>
        <v>0</v>
      </c>
      <c r="W27" s="40">
        <f>IFERROR(INDEX(Calcs!$B$2:$AB$37,MATCH($N27,Calcs!$CJ$2:$CJ$37,0),MATCH(W$1,Calcs!$B$1:$AB$1,0)),"")</f>
        <v>0</v>
      </c>
      <c r="X27" s="41">
        <f>IFERROR(INDEX(Calcs!$B$2:$AB$37,MATCH($N27,Calcs!$CJ$2:$CJ$37,0),MATCH(X$1,Calcs!$B$1:$AB$1,0)),"")</f>
        <v>0</v>
      </c>
      <c r="Y27" s="42">
        <f>IFERROR(INDEX(Calcs!$B$2:$AB$37,MATCH($N27,Calcs!$CJ$2:$CJ$37,0),MATCH(Y$1,Calcs!$B$1:$AB$1,0)),"")</f>
        <v>0</v>
      </c>
      <c r="Z27" s="40">
        <f>IFERROR(INDEX(Calcs!$B$2:$AB$37,MATCH($N27,Calcs!$CJ$2:$CJ$37,0),MATCH(Z$1,Calcs!$B$1:$AB$1,0)),"")</f>
        <v>0</v>
      </c>
      <c r="AA27" s="40">
        <f>IFERROR(INDEX(Calcs!$B$2:$AB$37,MATCH($N27,Calcs!$CJ$2:$CJ$37,0),MATCH(AA$1,Calcs!$B$1:$AB$1,0)),"")</f>
        <v>0</v>
      </c>
      <c r="AB27" s="40">
        <f>IFERROR(INDEX(Calcs!$B$2:$AB$37,MATCH($N27,Calcs!$CJ$2:$CJ$37,0),MATCH(AB$1,Calcs!$B$1:$AB$1,0)),"")</f>
        <v>0</v>
      </c>
      <c r="AC27" s="40">
        <f>IFERROR(INDEX(Calcs!$B$2:$AB$37,MATCH($N27,Calcs!$CJ$2:$CJ$37,0),MATCH(AC$1,Calcs!$B$1:$AB$1,0)),"")</f>
        <v>0</v>
      </c>
      <c r="AD27" s="40">
        <f>IFERROR(INDEX(Calcs!$B$2:$AB$37,MATCH($N27,Calcs!$CJ$2:$CJ$37,0),MATCH(AD$1,Calcs!$B$1:$AB$1,0)),"")</f>
        <v>0</v>
      </c>
      <c r="AE27" s="40">
        <f>IFERROR(INDEX(Calcs!$B$2:$AB$37,MATCH($N27,Calcs!$CJ$2:$CJ$37,0),MATCH(AE$1,Calcs!$B$1:$AB$1,0)),"")</f>
        <v>0</v>
      </c>
      <c r="AF27" s="41">
        <f>IFERROR(INDEX(Calcs!$B$2:$AB$37,MATCH($N27,Calcs!$CJ$2:$CJ$37,0),MATCH(AF$1,Calcs!$B$1:$AB$1,0)),"")</f>
        <v>0</v>
      </c>
      <c r="AG27" s="42">
        <f>IFERROR(INDEX(Calcs!$B$2:$AB$37,MATCH($N27,Calcs!$CJ$2:$CJ$37,0),MATCH(AG$1,Calcs!$B$1:$AB$1,0)),"")</f>
        <v>0</v>
      </c>
      <c r="AH27" s="40">
        <f>IFERROR(INDEX(Calcs!$B$2:$AB$37,MATCH($N27,Calcs!$CJ$2:$CJ$37,0),MATCH(AH$1,Calcs!$B$1:$AB$1,0)),"")</f>
        <v>0</v>
      </c>
      <c r="AI27" s="40">
        <f>IFERROR(INDEX(Calcs!$B$2:$AB$37,MATCH($N27,Calcs!$CJ$2:$CJ$37,0),MATCH(AI$1,Calcs!$B$1:$AB$1,0)),"")</f>
        <v>0</v>
      </c>
      <c r="AJ27" s="40">
        <f>IFERROR(INDEX(Calcs!$B$2:$AB$37,MATCH($N27,Calcs!$CJ$2:$CJ$37,0),MATCH(AJ$1,Calcs!$B$1:$AB$1,0)),"")</f>
        <v>0</v>
      </c>
      <c r="AK27" s="40">
        <f>IFERROR(INDEX(Calcs!$B$2:$AB$37,MATCH($N27,Calcs!$CJ$2:$CJ$37,0),MATCH(AK$1,Calcs!$B$1:$AB$1,0)),"")</f>
        <v>0</v>
      </c>
      <c r="AL27" s="40">
        <f>IFERROR(INDEX(Calcs!$B$2:$AB$37,MATCH($N27,Calcs!$CJ$2:$CJ$37,0),MATCH(AL$1,Calcs!$B$1:$AB$1,0)),"")</f>
        <v>0</v>
      </c>
      <c r="AM27" s="40">
        <f>IFERROR(INDEX(Calcs!$B$2:$AB$37,MATCH($N27,Calcs!$CJ$2:$CJ$37,0),MATCH(AM$1,Calcs!$B$1:$AB$1,0)),"")</f>
        <v>0</v>
      </c>
      <c r="AN27" s="43">
        <f>IFERROR(INDEX(Calcs!$B$2:$AB$37,MATCH($N27,Calcs!$CJ$2:$CJ$37,0),MATCH(AN$1,Calcs!$B$1:$AB$1,0)),"")</f>
        <v>0</v>
      </c>
      <c r="AO27" s="40">
        <f>IFERROR(INDEX(Calcs!$B$2:$AB$37,MATCH($N27,Calcs!$CJ$2:$CJ$37,0),MATCH(AO$1,Calcs!$B$1:$AB$1,0)),"")</f>
        <v>0</v>
      </c>
      <c r="AP27" s="40">
        <f>IFERROR(INDEX(Calcs!$B$2:$AB$37,MATCH($N27,Calcs!$CJ$2:$CJ$37,0),MATCH(AP$1,Calcs!$B$1:$AB$1,0)),"")</f>
        <v>0</v>
      </c>
      <c r="AQ27" s="43">
        <f>IFERROR(INDEX(Calcs!$B$2:$AB$37,MATCH($N27,Calcs!$CJ$2:$CJ$37,0),MATCH(AQ$1,Calcs!$B$1:$AB$1,0)),"")</f>
        <v>0</v>
      </c>
      <c r="AR27" s="188"/>
      <c r="AS27" s="202" t="str">
        <f>INDEX(Calcs!A$2:A$37,MATCH($N27,Calcs!$CF$2:$CF$37,0))</f>
        <v>PSV Eindhoven</v>
      </c>
      <c r="AT27" s="98"/>
      <c r="AU27" s="191">
        <f>INDEX(Calcs!$BZ$2:$BZ$37,MATCH($AS27,Calcs!$A$2:$A$37,0))</f>
        <v>1</v>
      </c>
      <c r="AV27" s="191">
        <f t="shared" si="1"/>
        <v>36</v>
      </c>
      <c r="AW27" s="191" t="str">
        <f t="shared" si="2"/>
        <v>1.36</v>
      </c>
      <c r="AX27" s="191">
        <f ca="1"/>
        <v>26</v>
      </c>
      <c r="AY27" s="188"/>
      <c r="AZ27" s="212" t="str">
        <f>TablaEquipos[[#This Row],[Team]]</f>
        <v>PSV Eindhoven</v>
      </c>
      <c r="BA27" s="100"/>
      <c r="BB27" s="188"/>
      <c r="BC27" s="188"/>
      <c r="BD27" s="188"/>
      <c r="BE27" s="188"/>
      <c r="BF27" s="319" t="str">
        <f t="shared" si="0"/>
        <v>Pendiente</v>
      </c>
      <c r="BH27" s="321" t="s">
        <v>746</v>
      </c>
      <c r="BI27" s="545">
        <f>SUM(BI19:BI26)</f>
        <v>0</v>
      </c>
      <c r="BJ27" s="545">
        <f>SUM(BJ19:BJ26)</f>
        <v>0</v>
      </c>
      <c r="BK27" s="545">
        <f t="shared" ref="BK27:CR27" si="4">SUM(BK19:BK26)</f>
        <v>0</v>
      </c>
      <c r="BL27" s="545">
        <f t="shared" si="4"/>
        <v>0</v>
      </c>
      <c r="BM27" s="545">
        <f t="shared" si="4"/>
        <v>0</v>
      </c>
      <c r="BN27" s="545">
        <f t="shared" si="4"/>
        <v>0</v>
      </c>
      <c r="BO27" s="545">
        <f t="shared" si="4"/>
        <v>0</v>
      </c>
      <c r="BP27" s="545">
        <f t="shared" si="4"/>
        <v>0</v>
      </c>
      <c r="BQ27" s="545">
        <f t="shared" si="4"/>
        <v>0</v>
      </c>
      <c r="BR27" s="545">
        <f t="shared" si="4"/>
        <v>0</v>
      </c>
      <c r="BS27" s="545">
        <f t="shared" si="4"/>
        <v>0</v>
      </c>
      <c r="BT27" s="545">
        <f t="shared" si="4"/>
        <v>0</v>
      </c>
      <c r="BU27" s="545">
        <f t="shared" si="4"/>
        <v>0</v>
      </c>
      <c r="BV27" s="545">
        <f t="shared" si="4"/>
        <v>0</v>
      </c>
      <c r="BW27" s="545">
        <f t="shared" si="4"/>
        <v>0</v>
      </c>
      <c r="BX27" s="545">
        <f t="shared" si="4"/>
        <v>0</v>
      </c>
      <c r="BY27" s="545">
        <f t="shared" si="4"/>
        <v>0</v>
      </c>
      <c r="BZ27" s="545">
        <f t="shared" si="4"/>
        <v>0</v>
      </c>
      <c r="CA27" s="545">
        <f t="shared" si="4"/>
        <v>0</v>
      </c>
      <c r="CB27" s="545">
        <f t="shared" si="4"/>
        <v>0</v>
      </c>
      <c r="CC27" s="545">
        <f t="shared" si="4"/>
        <v>0</v>
      </c>
      <c r="CD27" s="545">
        <f t="shared" si="4"/>
        <v>0</v>
      </c>
      <c r="CE27" s="545">
        <f t="shared" si="4"/>
        <v>0</v>
      </c>
      <c r="CF27" s="545">
        <f t="shared" si="4"/>
        <v>0</v>
      </c>
      <c r="CG27" s="545">
        <f t="shared" si="4"/>
        <v>0</v>
      </c>
      <c r="CH27" s="545">
        <f t="shared" si="4"/>
        <v>0</v>
      </c>
      <c r="CI27" s="545">
        <f t="shared" si="4"/>
        <v>0</v>
      </c>
      <c r="CJ27" s="545">
        <f t="shared" si="4"/>
        <v>0</v>
      </c>
      <c r="CK27" s="545">
        <f t="shared" si="4"/>
        <v>0</v>
      </c>
      <c r="CL27" s="545">
        <f t="shared" si="4"/>
        <v>0</v>
      </c>
      <c r="CM27" s="545">
        <f t="shared" si="4"/>
        <v>0</v>
      </c>
      <c r="CN27" s="545">
        <f t="shared" si="4"/>
        <v>0</v>
      </c>
      <c r="CO27" s="545">
        <f t="shared" si="4"/>
        <v>0</v>
      </c>
      <c r="CP27" s="545">
        <f t="shared" si="4"/>
        <v>0</v>
      </c>
      <c r="CQ27" s="545">
        <f t="shared" si="4"/>
        <v>0</v>
      </c>
      <c r="CR27" s="545">
        <f t="shared" si="4"/>
        <v>0</v>
      </c>
      <c r="CS27" s="220"/>
      <c r="CT27" s="220"/>
      <c r="CU27" s="220"/>
      <c r="CV27" s="220"/>
    </row>
    <row r="28" spans="1:100" ht="17" customHeight="1">
      <c r="A28" s="227">
        <v>2</v>
      </c>
      <c r="B28" s="116">
        <f>Horarios!C28</f>
        <v>46308.875</v>
      </c>
      <c r="C28" s="117">
        <f>Horarios!C28</f>
        <v>46308.875</v>
      </c>
      <c r="D28" s="118" t="s">
        <v>982</v>
      </c>
      <c r="E28" s="222" t="e" cm="1" vm="7">
        <f t="array" ref="E28">badge_home</f>
        <v>#VALUE!</v>
      </c>
      <c r="F28" s="225"/>
      <c r="G28" s="88"/>
      <c r="H28" s="90"/>
      <c r="I28" s="224"/>
      <c r="J28" s="225" t="e" cm="1" vm="27">
        <f t="array" ref="J28">badge_away</f>
        <v>#VALUE!</v>
      </c>
      <c r="K28" s="133" t="s">
        <v>980</v>
      </c>
      <c r="L28" s="129"/>
      <c r="M28" s="188"/>
      <c r="N28" s="54">
        <v>27</v>
      </c>
      <c r="O28" s="37" t="e" cm="1" vm="14">
        <f t="array" ref="O28">badge_away</f>
        <v>#VALUE!</v>
      </c>
      <c r="P28" s="38" t="str">
        <f>IFERROR(INDEX(Calcs!A$2:A$37,MATCH($N28,Calcs!$CJ$2:$CJ$37,0)),"")</f>
        <v>Real Madrid</v>
      </c>
      <c r="Q28" s="39">
        <f>IFERROR(INDEX(Calcs!$B$2:$AB$37,MATCH($N28,Calcs!$CJ$2:$CJ$37,0),MATCH(Q$1,Calcs!$B$1:$AB$1,0)),"")</f>
        <v>0</v>
      </c>
      <c r="R28" s="40">
        <f>IFERROR(INDEX(Calcs!$B$2:$AB$37,MATCH($N28,Calcs!$CJ$2:$CJ$37,0),MATCH(R$1,Calcs!$B$1:$AB$1,0)),"")</f>
        <v>0</v>
      </c>
      <c r="S28" s="40">
        <f>IFERROR(INDEX(Calcs!$B$2:$AB$37,MATCH($N28,Calcs!$CJ$2:$CJ$37,0),MATCH(S$1,Calcs!$B$1:$AB$1,0)),"")</f>
        <v>0</v>
      </c>
      <c r="T28" s="40">
        <f>IFERROR(INDEX(Calcs!$B$2:$AB$37,MATCH($N28,Calcs!$CJ$2:$CJ$37,0),MATCH(T$1,Calcs!$B$1:$AB$1,0)),"")</f>
        <v>0</v>
      </c>
      <c r="U28" s="40">
        <f>IFERROR(INDEX(Calcs!$B$2:$AB$37,MATCH($N28,Calcs!$CJ$2:$CJ$37,0),MATCH(U$1,Calcs!$B$1:$AB$1,0)),"")</f>
        <v>0</v>
      </c>
      <c r="V28" s="40">
        <f>IFERROR(INDEX(Calcs!$B$2:$AB$37,MATCH($N28,Calcs!$CJ$2:$CJ$37,0),MATCH(V$1,Calcs!$B$1:$AB$1,0)),"")</f>
        <v>0</v>
      </c>
      <c r="W28" s="40">
        <f>IFERROR(INDEX(Calcs!$B$2:$AB$37,MATCH($N28,Calcs!$CJ$2:$CJ$37,0),MATCH(W$1,Calcs!$B$1:$AB$1,0)),"")</f>
        <v>0</v>
      </c>
      <c r="X28" s="41">
        <f>IFERROR(INDEX(Calcs!$B$2:$AB$37,MATCH($N28,Calcs!$CJ$2:$CJ$37,0),MATCH(X$1,Calcs!$B$1:$AB$1,0)),"")</f>
        <v>0</v>
      </c>
      <c r="Y28" s="42">
        <f>IFERROR(INDEX(Calcs!$B$2:$AB$37,MATCH($N28,Calcs!$CJ$2:$CJ$37,0),MATCH(Y$1,Calcs!$B$1:$AB$1,0)),"")</f>
        <v>0</v>
      </c>
      <c r="Z28" s="40">
        <f>IFERROR(INDEX(Calcs!$B$2:$AB$37,MATCH($N28,Calcs!$CJ$2:$CJ$37,0),MATCH(Z$1,Calcs!$B$1:$AB$1,0)),"")</f>
        <v>0</v>
      </c>
      <c r="AA28" s="40">
        <f>IFERROR(INDEX(Calcs!$B$2:$AB$37,MATCH($N28,Calcs!$CJ$2:$CJ$37,0),MATCH(AA$1,Calcs!$B$1:$AB$1,0)),"")</f>
        <v>0</v>
      </c>
      <c r="AB28" s="40">
        <f>IFERROR(INDEX(Calcs!$B$2:$AB$37,MATCH($N28,Calcs!$CJ$2:$CJ$37,0),MATCH(AB$1,Calcs!$B$1:$AB$1,0)),"")</f>
        <v>0</v>
      </c>
      <c r="AC28" s="40">
        <f>IFERROR(INDEX(Calcs!$B$2:$AB$37,MATCH($N28,Calcs!$CJ$2:$CJ$37,0),MATCH(AC$1,Calcs!$B$1:$AB$1,0)),"")</f>
        <v>0</v>
      </c>
      <c r="AD28" s="40">
        <f>IFERROR(INDEX(Calcs!$B$2:$AB$37,MATCH($N28,Calcs!$CJ$2:$CJ$37,0),MATCH(AD$1,Calcs!$B$1:$AB$1,0)),"")</f>
        <v>0</v>
      </c>
      <c r="AE28" s="40">
        <f>IFERROR(INDEX(Calcs!$B$2:$AB$37,MATCH($N28,Calcs!$CJ$2:$CJ$37,0),MATCH(AE$1,Calcs!$B$1:$AB$1,0)),"")</f>
        <v>0</v>
      </c>
      <c r="AF28" s="41">
        <f>IFERROR(INDEX(Calcs!$B$2:$AB$37,MATCH($N28,Calcs!$CJ$2:$CJ$37,0),MATCH(AF$1,Calcs!$B$1:$AB$1,0)),"")</f>
        <v>0</v>
      </c>
      <c r="AG28" s="42">
        <f>IFERROR(INDEX(Calcs!$B$2:$AB$37,MATCH($N28,Calcs!$CJ$2:$CJ$37,0),MATCH(AG$1,Calcs!$B$1:$AB$1,0)),"")</f>
        <v>0</v>
      </c>
      <c r="AH28" s="40">
        <f>IFERROR(INDEX(Calcs!$B$2:$AB$37,MATCH($N28,Calcs!$CJ$2:$CJ$37,0),MATCH(AH$1,Calcs!$B$1:$AB$1,0)),"")</f>
        <v>0</v>
      </c>
      <c r="AI28" s="40">
        <f>IFERROR(INDEX(Calcs!$B$2:$AB$37,MATCH($N28,Calcs!$CJ$2:$CJ$37,0),MATCH(AI$1,Calcs!$B$1:$AB$1,0)),"")</f>
        <v>0</v>
      </c>
      <c r="AJ28" s="40">
        <f>IFERROR(INDEX(Calcs!$B$2:$AB$37,MATCH($N28,Calcs!$CJ$2:$CJ$37,0),MATCH(AJ$1,Calcs!$B$1:$AB$1,0)),"")</f>
        <v>0</v>
      </c>
      <c r="AK28" s="40">
        <f>IFERROR(INDEX(Calcs!$B$2:$AB$37,MATCH($N28,Calcs!$CJ$2:$CJ$37,0),MATCH(AK$1,Calcs!$B$1:$AB$1,0)),"")</f>
        <v>0</v>
      </c>
      <c r="AL28" s="40">
        <f>IFERROR(INDEX(Calcs!$B$2:$AB$37,MATCH($N28,Calcs!$CJ$2:$CJ$37,0),MATCH(AL$1,Calcs!$B$1:$AB$1,0)),"")</f>
        <v>0</v>
      </c>
      <c r="AM28" s="40">
        <f>IFERROR(INDEX(Calcs!$B$2:$AB$37,MATCH($N28,Calcs!$CJ$2:$CJ$37,0),MATCH(AM$1,Calcs!$B$1:$AB$1,0)),"")</f>
        <v>0</v>
      </c>
      <c r="AN28" s="43">
        <f>IFERROR(INDEX(Calcs!$B$2:$AB$37,MATCH($N28,Calcs!$CJ$2:$CJ$37,0),MATCH(AN$1,Calcs!$B$1:$AB$1,0)),"")</f>
        <v>0</v>
      </c>
      <c r="AO28" s="40">
        <f>IFERROR(INDEX(Calcs!$B$2:$AB$37,MATCH($N28,Calcs!$CJ$2:$CJ$37,0),MATCH(AO$1,Calcs!$B$1:$AB$1,0)),"")</f>
        <v>0</v>
      </c>
      <c r="AP28" s="40">
        <f>IFERROR(INDEX(Calcs!$B$2:$AB$37,MATCH($N28,Calcs!$CJ$2:$CJ$37,0),MATCH(AP$1,Calcs!$B$1:$AB$1,0)),"")</f>
        <v>0</v>
      </c>
      <c r="AQ28" s="43">
        <f>IFERROR(INDEX(Calcs!$B$2:$AB$37,MATCH($N28,Calcs!$CJ$2:$CJ$37,0),MATCH(AQ$1,Calcs!$B$1:$AB$1,0)),"")</f>
        <v>0</v>
      </c>
      <c r="AR28" s="188"/>
      <c r="AS28" s="202" t="str">
        <f>INDEX(Calcs!A$2:A$37,MATCH($N28,Calcs!$CF$2:$CF$37,0))</f>
        <v>Real Madrid</v>
      </c>
      <c r="AT28" s="98"/>
      <c r="AU28" s="191">
        <f>INDEX(Calcs!$BZ$2:$BZ$37,MATCH($AS28,Calcs!$A$2:$A$37,0))</f>
        <v>1</v>
      </c>
      <c r="AV28" s="191">
        <f t="shared" si="1"/>
        <v>36</v>
      </c>
      <c r="AW28" s="191" t="str">
        <f t="shared" si="2"/>
        <v>1.36</v>
      </c>
      <c r="AX28" s="191">
        <f ca="1"/>
        <v>27</v>
      </c>
      <c r="AY28" s="188"/>
      <c r="AZ28" s="203" t="str">
        <f>TablaEquipos[[#This Row],[Team]]</f>
        <v>Real Madrid</v>
      </c>
      <c r="BA28" s="99"/>
      <c r="BB28" s="188"/>
      <c r="BC28" s="188"/>
      <c r="BD28" s="188"/>
      <c r="BE28" s="188"/>
      <c r="BF28" s="319" t="str">
        <f t="shared" si="0"/>
        <v>Pendiente</v>
      </c>
      <c r="BH28" s="321" t="s">
        <v>8</v>
      </c>
      <c r="BI28" s="319">
        <f>SUMIF(Calcs!$A$2:$A$37,League!BI2,Calcs!$F$2:$F$37)</f>
        <v>0</v>
      </c>
      <c r="BJ28" s="319">
        <f>SUMIF(Calcs!$A$2:$A$37,League!BJ2,Calcs!$F$2:$F$37)</f>
        <v>0</v>
      </c>
      <c r="BK28" s="319">
        <f>SUMIF(Calcs!$A$2:$A$37,League!BK2,Calcs!$F$2:$F$37)</f>
        <v>0</v>
      </c>
      <c r="BL28" s="319">
        <f>SUMIF(Calcs!$A$2:$A$37,League!BL2,Calcs!$F$2:$F$37)</f>
        <v>0</v>
      </c>
      <c r="BM28" s="319">
        <f>SUMIF(Calcs!$A$2:$A$37,League!BM2,Calcs!$F$2:$F$37)</f>
        <v>0</v>
      </c>
      <c r="BN28" s="319">
        <f>SUMIF(Calcs!$A$2:$A$37,League!BN2,Calcs!$F$2:$F$37)</f>
        <v>0</v>
      </c>
      <c r="BO28" s="319">
        <f>SUMIF(Calcs!$A$2:$A$37,League!BO2,Calcs!$F$2:$F$37)</f>
        <v>0</v>
      </c>
      <c r="BP28" s="319">
        <f>SUMIF(Calcs!$A$2:$A$37,League!BP2,Calcs!$F$2:$F$37)</f>
        <v>0</v>
      </c>
      <c r="BQ28" s="319">
        <f>SUMIF(Calcs!$A$2:$A$37,League!BQ2,Calcs!$F$2:$F$37)</f>
        <v>0</v>
      </c>
      <c r="BR28" s="319">
        <f>SUMIF(Calcs!$A$2:$A$37,League!BR2,Calcs!$F$2:$F$37)</f>
        <v>0</v>
      </c>
      <c r="BS28" s="319">
        <f>SUMIF(Calcs!$A$2:$A$37,League!BS2,Calcs!$F$2:$F$37)</f>
        <v>0</v>
      </c>
      <c r="BT28" s="319">
        <f>SUMIF(Calcs!$A$2:$A$37,League!BT2,Calcs!$F$2:$F$37)</f>
        <v>0</v>
      </c>
      <c r="BU28" s="319">
        <f>SUMIF(Calcs!$A$2:$A$37,League!BU2,Calcs!$F$2:$F$37)</f>
        <v>0</v>
      </c>
      <c r="BV28" s="319">
        <f>SUMIF(Calcs!$A$2:$A$37,League!BV2,Calcs!$F$2:$F$37)</f>
        <v>0</v>
      </c>
      <c r="BW28" s="319">
        <f>SUMIF(Calcs!$A$2:$A$37,League!BW2,Calcs!$F$2:$F$37)</f>
        <v>0</v>
      </c>
      <c r="BX28" s="319">
        <f>SUMIF(Calcs!$A$2:$A$37,League!BX2,Calcs!$F$2:$F$37)</f>
        <v>0</v>
      </c>
      <c r="BY28" s="319">
        <f>SUMIF(Calcs!$A$2:$A$37,League!BY2,Calcs!$F$2:$F$37)</f>
        <v>0</v>
      </c>
      <c r="BZ28" s="319">
        <f>SUMIF(Calcs!$A$2:$A$37,League!BZ2,Calcs!$F$2:$F$37)</f>
        <v>0</v>
      </c>
      <c r="CA28" s="319">
        <f>SUMIF(Calcs!$A$2:$A$37,League!CA2,Calcs!$F$2:$F$37)</f>
        <v>0</v>
      </c>
      <c r="CB28" s="319">
        <f>SUMIF(Calcs!$A$2:$A$37,League!CB2,Calcs!$F$2:$F$37)</f>
        <v>0</v>
      </c>
      <c r="CC28" s="319">
        <f>SUMIF(Calcs!$A$2:$A$37,League!CC2,Calcs!$F$2:$F$37)</f>
        <v>0</v>
      </c>
      <c r="CD28" s="319">
        <f>SUMIF(Calcs!$A$2:$A$37,League!CD2,Calcs!$F$2:$F$37)</f>
        <v>0</v>
      </c>
      <c r="CE28" s="319">
        <f>SUMIF(Calcs!$A$2:$A$37,League!CE2,Calcs!$F$2:$F$37)</f>
        <v>0</v>
      </c>
      <c r="CF28" s="319">
        <f>SUMIF(Calcs!$A$2:$A$37,League!CF2,Calcs!$F$2:$F$37)</f>
        <v>0</v>
      </c>
      <c r="CG28" s="319">
        <f>SUMIF(Calcs!$A$2:$A$37,League!CG2,Calcs!$F$2:$F$37)</f>
        <v>0</v>
      </c>
      <c r="CH28" s="319">
        <f>SUMIF(Calcs!$A$2:$A$37,League!CH2,Calcs!$F$2:$F$37)</f>
        <v>0</v>
      </c>
      <c r="CI28" s="319">
        <f>SUMIF(Calcs!$A$2:$A$37,League!CI2,Calcs!$F$2:$F$37)</f>
        <v>0</v>
      </c>
      <c r="CJ28" s="319">
        <f>SUMIF(Calcs!$A$2:$A$37,League!CJ2,Calcs!$F$2:$F$37)</f>
        <v>0</v>
      </c>
      <c r="CK28" s="319">
        <f>SUMIF(Calcs!$A$2:$A$37,League!CK2,Calcs!$F$2:$F$37)</f>
        <v>0</v>
      </c>
      <c r="CL28" s="319">
        <f>SUMIF(Calcs!$A$2:$A$37,League!CL2,Calcs!$F$2:$F$37)</f>
        <v>0</v>
      </c>
      <c r="CM28" s="319">
        <f>SUMIF(Calcs!$A$2:$A$37,League!CM2,Calcs!$F$2:$F$37)</f>
        <v>0</v>
      </c>
      <c r="CN28" s="319">
        <f>SUMIF(Calcs!$A$2:$A$37,League!CN2,Calcs!$F$2:$F$37)</f>
        <v>0</v>
      </c>
      <c r="CO28" s="319">
        <f>SUMIF(Calcs!$A$2:$A$37,League!CO2,Calcs!$F$2:$F$37)</f>
        <v>0</v>
      </c>
      <c r="CP28" s="319">
        <f>SUMIF(Calcs!$A$2:$A$37,League!CP2,Calcs!$F$2:$F$37)</f>
        <v>0</v>
      </c>
      <c r="CQ28" s="319">
        <f>SUMIF(Calcs!$A$2:$A$37,League!CQ2,Calcs!$F$2:$F$37)</f>
        <v>0</v>
      </c>
      <c r="CR28" s="319">
        <f>SUMIF(Calcs!$A$2:$A$37,League!CR2,Calcs!$F$2:$F$37)</f>
        <v>0</v>
      </c>
      <c r="CS28" s="204"/>
      <c r="CT28" s="204"/>
      <c r="CU28" s="204"/>
      <c r="CV28" s="204"/>
    </row>
    <row r="29" spans="1:100" ht="17" customHeight="1">
      <c r="A29" s="227">
        <v>2</v>
      </c>
      <c r="B29" s="116">
        <f>Horarios!C29</f>
        <v>46309.78125</v>
      </c>
      <c r="C29" s="117">
        <f>Horarios!C29</f>
        <v>46309.78125</v>
      </c>
      <c r="D29" s="118" t="s">
        <v>737</v>
      </c>
      <c r="E29" s="222" t="e" cm="1" vm="17">
        <f t="array" ref="E29">badge_home</f>
        <v>#VALUE!</v>
      </c>
      <c r="F29" s="225"/>
      <c r="G29" s="88"/>
      <c r="H29" s="90"/>
      <c r="I29" s="224"/>
      <c r="J29" s="225" t="e" cm="1" vm="26">
        <f t="array" ref="J29">badge_away</f>
        <v>#VALUE!</v>
      </c>
      <c r="K29" s="133" t="s">
        <v>1002</v>
      </c>
      <c r="L29" s="129"/>
      <c r="M29" s="188"/>
      <c r="N29" s="55">
        <v>28</v>
      </c>
      <c r="O29" s="37" t="e" cm="1" vm="29">
        <f t="array" ref="O29">badge_away</f>
        <v>#VALUE!</v>
      </c>
      <c r="P29" s="38" t="str">
        <f>IFERROR(INDEX(Calcs!A$2:A$37,MATCH($N29,Calcs!$CJ$2:$CJ$37,0)),"")</f>
        <v>Roma</v>
      </c>
      <c r="Q29" s="39">
        <f>IFERROR(INDEX(Calcs!$B$2:$AB$37,MATCH($N29,Calcs!$CJ$2:$CJ$37,0),MATCH(Q$1,Calcs!$B$1:$AB$1,0)),"")</f>
        <v>0</v>
      </c>
      <c r="R29" s="40">
        <f>IFERROR(INDEX(Calcs!$B$2:$AB$37,MATCH($N29,Calcs!$CJ$2:$CJ$37,0),MATCH(R$1,Calcs!$B$1:$AB$1,0)),"")</f>
        <v>0</v>
      </c>
      <c r="S29" s="40">
        <f>IFERROR(INDEX(Calcs!$B$2:$AB$37,MATCH($N29,Calcs!$CJ$2:$CJ$37,0),MATCH(S$1,Calcs!$B$1:$AB$1,0)),"")</f>
        <v>0</v>
      </c>
      <c r="T29" s="40">
        <f>IFERROR(INDEX(Calcs!$B$2:$AB$37,MATCH($N29,Calcs!$CJ$2:$CJ$37,0),MATCH(T$1,Calcs!$B$1:$AB$1,0)),"")</f>
        <v>0</v>
      </c>
      <c r="U29" s="40">
        <f>IFERROR(INDEX(Calcs!$B$2:$AB$37,MATCH($N29,Calcs!$CJ$2:$CJ$37,0),MATCH(U$1,Calcs!$B$1:$AB$1,0)),"")</f>
        <v>0</v>
      </c>
      <c r="V29" s="40">
        <f>IFERROR(INDEX(Calcs!$B$2:$AB$37,MATCH($N29,Calcs!$CJ$2:$CJ$37,0),MATCH(V$1,Calcs!$B$1:$AB$1,0)),"")</f>
        <v>0</v>
      </c>
      <c r="W29" s="40">
        <f>IFERROR(INDEX(Calcs!$B$2:$AB$37,MATCH($N29,Calcs!$CJ$2:$CJ$37,0),MATCH(W$1,Calcs!$B$1:$AB$1,0)),"")</f>
        <v>0</v>
      </c>
      <c r="X29" s="41">
        <f>IFERROR(INDEX(Calcs!$B$2:$AB$37,MATCH($N29,Calcs!$CJ$2:$CJ$37,0),MATCH(X$1,Calcs!$B$1:$AB$1,0)),"")</f>
        <v>0</v>
      </c>
      <c r="Y29" s="42">
        <f>IFERROR(INDEX(Calcs!$B$2:$AB$37,MATCH($N29,Calcs!$CJ$2:$CJ$37,0),MATCH(Y$1,Calcs!$B$1:$AB$1,0)),"")</f>
        <v>0</v>
      </c>
      <c r="Z29" s="40">
        <f>IFERROR(INDEX(Calcs!$B$2:$AB$37,MATCH($N29,Calcs!$CJ$2:$CJ$37,0),MATCH(Z$1,Calcs!$B$1:$AB$1,0)),"")</f>
        <v>0</v>
      </c>
      <c r="AA29" s="40">
        <f>IFERROR(INDEX(Calcs!$B$2:$AB$37,MATCH($N29,Calcs!$CJ$2:$CJ$37,0),MATCH(AA$1,Calcs!$B$1:$AB$1,0)),"")</f>
        <v>0</v>
      </c>
      <c r="AB29" s="40">
        <f>IFERROR(INDEX(Calcs!$B$2:$AB$37,MATCH($N29,Calcs!$CJ$2:$CJ$37,0),MATCH(AB$1,Calcs!$B$1:$AB$1,0)),"")</f>
        <v>0</v>
      </c>
      <c r="AC29" s="40">
        <f>IFERROR(INDEX(Calcs!$B$2:$AB$37,MATCH($N29,Calcs!$CJ$2:$CJ$37,0),MATCH(AC$1,Calcs!$B$1:$AB$1,0)),"")</f>
        <v>0</v>
      </c>
      <c r="AD29" s="40">
        <f>IFERROR(INDEX(Calcs!$B$2:$AB$37,MATCH($N29,Calcs!$CJ$2:$CJ$37,0),MATCH(AD$1,Calcs!$B$1:$AB$1,0)),"")</f>
        <v>0</v>
      </c>
      <c r="AE29" s="40">
        <f>IFERROR(INDEX(Calcs!$B$2:$AB$37,MATCH($N29,Calcs!$CJ$2:$CJ$37,0),MATCH(AE$1,Calcs!$B$1:$AB$1,0)),"")</f>
        <v>0</v>
      </c>
      <c r="AF29" s="41">
        <f>IFERROR(INDEX(Calcs!$B$2:$AB$37,MATCH($N29,Calcs!$CJ$2:$CJ$37,0),MATCH(AF$1,Calcs!$B$1:$AB$1,0)),"")</f>
        <v>0</v>
      </c>
      <c r="AG29" s="42">
        <f>IFERROR(INDEX(Calcs!$B$2:$AB$37,MATCH($N29,Calcs!$CJ$2:$CJ$37,0),MATCH(AG$1,Calcs!$B$1:$AB$1,0)),"")</f>
        <v>0</v>
      </c>
      <c r="AH29" s="40">
        <f>IFERROR(INDEX(Calcs!$B$2:$AB$37,MATCH($N29,Calcs!$CJ$2:$CJ$37,0),MATCH(AH$1,Calcs!$B$1:$AB$1,0)),"")</f>
        <v>0</v>
      </c>
      <c r="AI29" s="40">
        <f>IFERROR(INDEX(Calcs!$B$2:$AB$37,MATCH($N29,Calcs!$CJ$2:$CJ$37,0),MATCH(AI$1,Calcs!$B$1:$AB$1,0)),"")</f>
        <v>0</v>
      </c>
      <c r="AJ29" s="40">
        <f>IFERROR(INDEX(Calcs!$B$2:$AB$37,MATCH($N29,Calcs!$CJ$2:$CJ$37,0),MATCH(AJ$1,Calcs!$B$1:$AB$1,0)),"")</f>
        <v>0</v>
      </c>
      <c r="AK29" s="40">
        <f>IFERROR(INDEX(Calcs!$B$2:$AB$37,MATCH($N29,Calcs!$CJ$2:$CJ$37,0),MATCH(AK$1,Calcs!$B$1:$AB$1,0)),"")</f>
        <v>0</v>
      </c>
      <c r="AL29" s="40">
        <f>IFERROR(INDEX(Calcs!$B$2:$AB$37,MATCH($N29,Calcs!$CJ$2:$CJ$37,0),MATCH(AL$1,Calcs!$B$1:$AB$1,0)),"")</f>
        <v>0</v>
      </c>
      <c r="AM29" s="40">
        <f>IFERROR(INDEX(Calcs!$B$2:$AB$37,MATCH($N29,Calcs!$CJ$2:$CJ$37,0),MATCH(AM$1,Calcs!$B$1:$AB$1,0)),"")</f>
        <v>0</v>
      </c>
      <c r="AN29" s="43">
        <f>IFERROR(INDEX(Calcs!$B$2:$AB$37,MATCH($N29,Calcs!$CJ$2:$CJ$37,0),MATCH(AN$1,Calcs!$B$1:$AB$1,0)),"")</f>
        <v>0</v>
      </c>
      <c r="AO29" s="40">
        <f>IFERROR(INDEX(Calcs!$B$2:$AB$37,MATCH($N29,Calcs!$CJ$2:$CJ$37,0),MATCH(AO$1,Calcs!$B$1:$AB$1,0)),"")</f>
        <v>0</v>
      </c>
      <c r="AP29" s="40">
        <f>IFERROR(INDEX(Calcs!$B$2:$AB$37,MATCH($N29,Calcs!$CJ$2:$CJ$37,0),MATCH(AP$1,Calcs!$B$1:$AB$1,0)),"")</f>
        <v>0</v>
      </c>
      <c r="AQ29" s="43">
        <f>IFERROR(INDEX(Calcs!$B$2:$AB$37,MATCH($N29,Calcs!$CJ$2:$CJ$37,0),MATCH(AQ$1,Calcs!$B$1:$AB$1,0)),"")</f>
        <v>0</v>
      </c>
      <c r="AR29" s="188"/>
      <c r="AS29" s="202" t="str">
        <f>INDEX(Calcs!A$2:A$37,MATCH($N29,Calcs!$CF$2:$CF$37,0))</f>
        <v>Roma</v>
      </c>
      <c r="AT29" s="98"/>
      <c r="AU29" s="191">
        <f>INDEX(Calcs!$BZ$2:$BZ$37,MATCH($AS29,Calcs!$A$2:$A$37,0))</f>
        <v>1</v>
      </c>
      <c r="AV29" s="191">
        <f t="shared" si="1"/>
        <v>36</v>
      </c>
      <c r="AW29" s="191" t="str">
        <f t="shared" si="2"/>
        <v>1.36</v>
      </c>
      <c r="AX29" s="191">
        <f ca="1"/>
        <v>28</v>
      </c>
      <c r="AY29" s="188"/>
      <c r="AZ29" s="212" t="str">
        <f>TablaEquipos[[#This Row],[Team]]</f>
        <v>Roma</v>
      </c>
      <c r="BA29" s="100"/>
      <c r="BB29" s="188"/>
      <c r="BC29" s="188"/>
      <c r="BD29" s="188"/>
      <c r="BE29" s="188"/>
      <c r="BF29" s="319" t="str">
        <f t="shared" si="0"/>
        <v>Pendiente</v>
      </c>
      <c r="BI29" s="319">
        <f>SUMIF(Calcs!$A$2:$A$37,League!BI3,Calcs!$F$2:$F$37)</f>
        <v>0</v>
      </c>
      <c r="BJ29" s="319">
        <f>SUMIF(Calcs!$A$2:$A$37,League!BJ3,Calcs!$F$2:$F$37)</f>
        <v>0</v>
      </c>
      <c r="BK29" s="319">
        <f>SUMIF(Calcs!$A$2:$A$37,League!BK3,Calcs!$F$2:$F$37)</f>
        <v>0</v>
      </c>
      <c r="BL29" s="319">
        <f>SUMIF(Calcs!$A$2:$A$37,League!BL3,Calcs!$F$2:$F$37)</f>
        <v>0</v>
      </c>
      <c r="BM29" s="319">
        <f>SUMIF(Calcs!$A$2:$A$37,League!BM3,Calcs!$F$2:$F$37)</f>
        <v>0</v>
      </c>
      <c r="BN29" s="319">
        <f>SUMIF(Calcs!$A$2:$A$37,League!BN3,Calcs!$F$2:$F$37)</f>
        <v>0</v>
      </c>
      <c r="BO29" s="319">
        <f>SUMIF(Calcs!$A$2:$A$37,League!BO3,Calcs!$F$2:$F$37)</f>
        <v>0</v>
      </c>
      <c r="BP29" s="319">
        <f>SUMIF(Calcs!$A$2:$A$37,League!BP3,Calcs!$F$2:$F$37)</f>
        <v>0</v>
      </c>
      <c r="BQ29" s="319">
        <f>SUMIF(Calcs!$A$2:$A$37,League!BQ3,Calcs!$F$2:$F$37)</f>
        <v>0</v>
      </c>
      <c r="BR29" s="319">
        <f>SUMIF(Calcs!$A$2:$A$37,League!BR3,Calcs!$F$2:$F$37)</f>
        <v>0</v>
      </c>
      <c r="BS29" s="319">
        <f>SUMIF(Calcs!$A$2:$A$37,League!BS3,Calcs!$F$2:$F$37)</f>
        <v>0</v>
      </c>
      <c r="BT29" s="319">
        <f>SUMIF(Calcs!$A$2:$A$37,League!BT3,Calcs!$F$2:$F$37)</f>
        <v>0</v>
      </c>
      <c r="BU29" s="319">
        <f>SUMIF(Calcs!$A$2:$A$37,League!BU3,Calcs!$F$2:$F$37)</f>
        <v>0</v>
      </c>
      <c r="BV29" s="319">
        <f>SUMIF(Calcs!$A$2:$A$37,League!BV3,Calcs!$F$2:$F$37)</f>
        <v>0</v>
      </c>
      <c r="BW29" s="319">
        <f>SUMIF(Calcs!$A$2:$A$37,League!BW3,Calcs!$F$2:$F$37)</f>
        <v>0</v>
      </c>
      <c r="BX29" s="319">
        <f>SUMIF(Calcs!$A$2:$A$37,League!BX3,Calcs!$F$2:$F$37)</f>
        <v>0</v>
      </c>
      <c r="BY29" s="319">
        <f>SUMIF(Calcs!$A$2:$A$37,League!BY3,Calcs!$F$2:$F$37)</f>
        <v>0</v>
      </c>
      <c r="BZ29" s="319">
        <f>SUMIF(Calcs!$A$2:$A$37,League!BZ3,Calcs!$F$2:$F$37)</f>
        <v>0</v>
      </c>
      <c r="CA29" s="319">
        <f>SUMIF(Calcs!$A$2:$A$37,League!CA3,Calcs!$F$2:$F$37)</f>
        <v>0</v>
      </c>
      <c r="CB29" s="319">
        <f>SUMIF(Calcs!$A$2:$A$37,League!CB3,Calcs!$F$2:$F$37)</f>
        <v>0</v>
      </c>
      <c r="CC29" s="319">
        <f>SUMIF(Calcs!$A$2:$A$37,League!CC3,Calcs!$F$2:$F$37)</f>
        <v>0</v>
      </c>
      <c r="CD29" s="319">
        <f>SUMIF(Calcs!$A$2:$A$37,League!CD3,Calcs!$F$2:$F$37)</f>
        <v>0</v>
      </c>
      <c r="CE29" s="319">
        <f>SUMIF(Calcs!$A$2:$A$37,League!CE3,Calcs!$F$2:$F$37)</f>
        <v>0</v>
      </c>
      <c r="CF29" s="319">
        <f>SUMIF(Calcs!$A$2:$A$37,League!CF3,Calcs!$F$2:$F$37)</f>
        <v>0</v>
      </c>
      <c r="CG29" s="319">
        <f>SUMIF(Calcs!$A$2:$A$37,League!CG3,Calcs!$F$2:$F$37)</f>
        <v>0</v>
      </c>
      <c r="CH29" s="319">
        <f>SUMIF(Calcs!$A$2:$A$37,League!CH3,Calcs!$F$2:$F$37)</f>
        <v>0</v>
      </c>
      <c r="CI29" s="319">
        <f>SUMIF(Calcs!$A$2:$A$37,League!CI3,Calcs!$F$2:$F$37)</f>
        <v>0</v>
      </c>
      <c r="CJ29" s="319">
        <f>SUMIF(Calcs!$A$2:$A$37,League!CJ3,Calcs!$F$2:$F$37)</f>
        <v>0</v>
      </c>
      <c r="CK29" s="319">
        <f>SUMIF(Calcs!$A$2:$A$37,League!CK3,Calcs!$F$2:$F$37)</f>
        <v>0</v>
      </c>
      <c r="CL29" s="319">
        <f>SUMIF(Calcs!$A$2:$A$37,League!CL3,Calcs!$F$2:$F$37)</f>
        <v>0</v>
      </c>
      <c r="CM29" s="319">
        <f>SUMIF(Calcs!$A$2:$A$37,League!CM3,Calcs!$F$2:$F$37)</f>
        <v>0</v>
      </c>
      <c r="CN29" s="319">
        <f>SUMIF(Calcs!$A$2:$A$37,League!CN3,Calcs!$F$2:$F$37)</f>
        <v>0</v>
      </c>
      <c r="CO29" s="319">
        <f>SUMIF(Calcs!$A$2:$A$37,League!CO3,Calcs!$F$2:$F$37)</f>
        <v>0</v>
      </c>
      <c r="CP29" s="319">
        <f>SUMIF(Calcs!$A$2:$A$37,League!CP3,Calcs!$F$2:$F$37)</f>
        <v>0</v>
      </c>
      <c r="CQ29" s="319">
        <f>SUMIF(Calcs!$A$2:$A$37,League!CQ3,Calcs!$F$2:$F$37)</f>
        <v>0</v>
      </c>
      <c r="CR29" s="319">
        <f>SUMIF(Calcs!$A$2:$A$37,League!CR3,Calcs!$F$2:$F$37)</f>
        <v>0</v>
      </c>
      <c r="CS29" s="204"/>
      <c r="CT29" s="204"/>
      <c r="CU29" s="204"/>
      <c r="CV29" s="204"/>
    </row>
    <row r="30" spans="1:100" ht="17" customHeight="1">
      <c r="A30" s="227">
        <v>2</v>
      </c>
      <c r="B30" s="116">
        <f>Horarios!C30</f>
        <v>46309.78125</v>
      </c>
      <c r="C30" s="117">
        <f>Horarios!C30</f>
        <v>46309.78125</v>
      </c>
      <c r="D30" s="118" t="s">
        <v>1032</v>
      </c>
      <c r="E30" s="222" t="e" cm="1" vm="2">
        <f t="array" ref="E30">badge_home</f>
        <v>#VALUE!</v>
      </c>
      <c r="F30" s="225"/>
      <c r="G30" s="88"/>
      <c r="H30" s="90"/>
      <c r="I30" s="224"/>
      <c r="J30" s="225" t="e" cm="1" vm="21">
        <f t="array" ref="J30">badge_away</f>
        <v>#VALUE!</v>
      </c>
      <c r="K30" s="133" t="s">
        <v>739</v>
      </c>
      <c r="L30" s="129"/>
      <c r="M30" s="188"/>
      <c r="N30" s="54">
        <v>29</v>
      </c>
      <c r="O30" s="37" t="e" cm="1" vm="34">
        <f t="array" ref="O30">badge_away</f>
        <v>#VALUE!</v>
      </c>
      <c r="P30" s="38" t="str">
        <f>IFERROR(INDEX(Calcs!A$2:A$37,MATCH($N30,Calcs!$CJ$2:$CJ$37,0)),"")</f>
        <v>Sabah</v>
      </c>
      <c r="Q30" s="39">
        <f>IFERROR(INDEX(Calcs!$B$2:$AB$37,MATCH($N30,Calcs!$CJ$2:$CJ$37,0),MATCH(Q$1,Calcs!$B$1:$AB$1,0)),"")</f>
        <v>0</v>
      </c>
      <c r="R30" s="40">
        <f>IFERROR(INDEX(Calcs!$B$2:$AB$37,MATCH($N30,Calcs!$CJ$2:$CJ$37,0),MATCH(R$1,Calcs!$B$1:$AB$1,0)),"")</f>
        <v>0</v>
      </c>
      <c r="S30" s="40">
        <f>IFERROR(INDEX(Calcs!$B$2:$AB$37,MATCH($N30,Calcs!$CJ$2:$CJ$37,0),MATCH(S$1,Calcs!$B$1:$AB$1,0)),"")</f>
        <v>0</v>
      </c>
      <c r="T30" s="40">
        <f>IFERROR(INDEX(Calcs!$B$2:$AB$37,MATCH($N30,Calcs!$CJ$2:$CJ$37,0),MATCH(T$1,Calcs!$B$1:$AB$1,0)),"")</f>
        <v>0</v>
      </c>
      <c r="U30" s="40">
        <f>IFERROR(INDEX(Calcs!$B$2:$AB$37,MATCH($N30,Calcs!$CJ$2:$CJ$37,0),MATCH(U$1,Calcs!$B$1:$AB$1,0)),"")</f>
        <v>0</v>
      </c>
      <c r="V30" s="40">
        <f>IFERROR(INDEX(Calcs!$B$2:$AB$37,MATCH($N30,Calcs!$CJ$2:$CJ$37,0),MATCH(V$1,Calcs!$B$1:$AB$1,0)),"")</f>
        <v>0</v>
      </c>
      <c r="W30" s="40">
        <f>IFERROR(INDEX(Calcs!$B$2:$AB$37,MATCH($N30,Calcs!$CJ$2:$CJ$37,0),MATCH(W$1,Calcs!$B$1:$AB$1,0)),"")</f>
        <v>0</v>
      </c>
      <c r="X30" s="41">
        <f>IFERROR(INDEX(Calcs!$B$2:$AB$37,MATCH($N30,Calcs!$CJ$2:$CJ$37,0),MATCH(X$1,Calcs!$B$1:$AB$1,0)),"")</f>
        <v>0</v>
      </c>
      <c r="Y30" s="42">
        <f>IFERROR(INDEX(Calcs!$B$2:$AB$37,MATCH($N30,Calcs!$CJ$2:$CJ$37,0),MATCH(Y$1,Calcs!$B$1:$AB$1,0)),"")</f>
        <v>0</v>
      </c>
      <c r="Z30" s="40">
        <f>IFERROR(INDEX(Calcs!$B$2:$AB$37,MATCH($N30,Calcs!$CJ$2:$CJ$37,0),MATCH(Z$1,Calcs!$B$1:$AB$1,0)),"")</f>
        <v>0</v>
      </c>
      <c r="AA30" s="40">
        <f>IFERROR(INDEX(Calcs!$B$2:$AB$37,MATCH($N30,Calcs!$CJ$2:$CJ$37,0),MATCH(AA$1,Calcs!$B$1:$AB$1,0)),"")</f>
        <v>0</v>
      </c>
      <c r="AB30" s="40">
        <f>IFERROR(INDEX(Calcs!$B$2:$AB$37,MATCH($N30,Calcs!$CJ$2:$CJ$37,0),MATCH(AB$1,Calcs!$B$1:$AB$1,0)),"")</f>
        <v>0</v>
      </c>
      <c r="AC30" s="40">
        <f>IFERROR(INDEX(Calcs!$B$2:$AB$37,MATCH($N30,Calcs!$CJ$2:$CJ$37,0),MATCH(AC$1,Calcs!$B$1:$AB$1,0)),"")</f>
        <v>0</v>
      </c>
      <c r="AD30" s="40">
        <f>IFERROR(INDEX(Calcs!$B$2:$AB$37,MATCH($N30,Calcs!$CJ$2:$CJ$37,0),MATCH(AD$1,Calcs!$B$1:$AB$1,0)),"")</f>
        <v>0</v>
      </c>
      <c r="AE30" s="40">
        <f>IFERROR(INDEX(Calcs!$B$2:$AB$37,MATCH($N30,Calcs!$CJ$2:$CJ$37,0),MATCH(AE$1,Calcs!$B$1:$AB$1,0)),"")</f>
        <v>0</v>
      </c>
      <c r="AF30" s="41">
        <f>IFERROR(INDEX(Calcs!$B$2:$AB$37,MATCH($N30,Calcs!$CJ$2:$CJ$37,0),MATCH(AF$1,Calcs!$B$1:$AB$1,0)),"")</f>
        <v>0</v>
      </c>
      <c r="AG30" s="42">
        <f>IFERROR(INDEX(Calcs!$B$2:$AB$37,MATCH($N30,Calcs!$CJ$2:$CJ$37,0),MATCH(AG$1,Calcs!$B$1:$AB$1,0)),"")</f>
        <v>0</v>
      </c>
      <c r="AH30" s="40">
        <f>IFERROR(INDEX(Calcs!$B$2:$AB$37,MATCH($N30,Calcs!$CJ$2:$CJ$37,0),MATCH(AH$1,Calcs!$B$1:$AB$1,0)),"")</f>
        <v>0</v>
      </c>
      <c r="AI30" s="40">
        <f>IFERROR(INDEX(Calcs!$B$2:$AB$37,MATCH($N30,Calcs!$CJ$2:$CJ$37,0),MATCH(AI$1,Calcs!$B$1:$AB$1,0)),"")</f>
        <v>0</v>
      </c>
      <c r="AJ30" s="40">
        <f>IFERROR(INDEX(Calcs!$B$2:$AB$37,MATCH($N30,Calcs!$CJ$2:$CJ$37,0),MATCH(AJ$1,Calcs!$B$1:$AB$1,0)),"")</f>
        <v>0</v>
      </c>
      <c r="AK30" s="40">
        <f>IFERROR(INDEX(Calcs!$B$2:$AB$37,MATCH($N30,Calcs!$CJ$2:$CJ$37,0),MATCH(AK$1,Calcs!$B$1:$AB$1,0)),"")</f>
        <v>0</v>
      </c>
      <c r="AL30" s="40">
        <f>IFERROR(INDEX(Calcs!$B$2:$AB$37,MATCH($N30,Calcs!$CJ$2:$CJ$37,0),MATCH(AL$1,Calcs!$B$1:$AB$1,0)),"")</f>
        <v>0</v>
      </c>
      <c r="AM30" s="40">
        <f>IFERROR(INDEX(Calcs!$B$2:$AB$37,MATCH($N30,Calcs!$CJ$2:$CJ$37,0),MATCH(AM$1,Calcs!$B$1:$AB$1,0)),"")</f>
        <v>0</v>
      </c>
      <c r="AN30" s="43">
        <f>IFERROR(INDEX(Calcs!$B$2:$AB$37,MATCH($N30,Calcs!$CJ$2:$CJ$37,0),MATCH(AN$1,Calcs!$B$1:$AB$1,0)),"")</f>
        <v>0</v>
      </c>
      <c r="AO30" s="40">
        <f>IFERROR(INDEX(Calcs!$B$2:$AB$37,MATCH($N30,Calcs!$CJ$2:$CJ$37,0),MATCH(AO$1,Calcs!$B$1:$AB$1,0)),"")</f>
        <v>0</v>
      </c>
      <c r="AP30" s="40">
        <f>IFERROR(INDEX(Calcs!$B$2:$AB$37,MATCH($N30,Calcs!$CJ$2:$CJ$37,0),MATCH(AP$1,Calcs!$B$1:$AB$1,0)),"")</f>
        <v>0</v>
      </c>
      <c r="AQ30" s="43">
        <f>IFERROR(INDEX(Calcs!$B$2:$AB$37,MATCH($N30,Calcs!$CJ$2:$CJ$37,0),MATCH(AQ$1,Calcs!$B$1:$AB$1,0)),"")</f>
        <v>0</v>
      </c>
      <c r="AR30" s="188"/>
      <c r="AS30" s="202" t="str">
        <f>INDEX(Calcs!A$2:A$37,MATCH($N30,Calcs!$CF$2:$CF$37,0))</f>
        <v>Sabah</v>
      </c>
      <c r="AT30" s="98"/>
      <c r="AU30" s="191">
        <f>INDEX(Calcs!$BZ$2:$BZ$37,MATCH($AS30,Calcs!$A$2:$A$37,0))</f>
        <v>1</v>
      </c>
      <c r="AV30" s="191">
        <f t="shared" si="1"/>
        <v>36</v>
      </c>
      <c r="AW30" s="191" t="str">
        <f t="shared" si="2"/>
        <v>1.36</v>
      </c>
      <c r="AX30" s="191">
        <f ca="1"/>
        <v>29</v>
      </c>
      <c r="AY30" s="188"/>
      <c r="AZ30" s="203" t="str">
        <f>TablaEquipos[[#This Row],[Team]]</f>
        <v>Sabah</v>
      </c>
      <c r="BA30" s="99"/>
      <c r="BB30" s="188"/>
      <c r="BC30" s="188"/>
      <c r="BD30" s="188"/>
      <c r="BE30" s="188"/>
      <c r="BF30" s="319" t="str">
        <f t="shared" si="0"/>
        <v>Pendiente</v>
      </c>
      <c r="BI30" s="319">
        <f>SUMIF(Calcs!$A$2:$A$37,League!BI4,Calcs!$F$2:$F$37)</f>
        <v>0</v>
      </c>
      <c r="BJ30" s="319">
        <f>SUMIF(Calcs!$A$2:$A$37,League!BJ4,Calcs!$F$2:$F$37)</f>
        <v>0</v>
      </c>
      <c r="BK30" s="319">
        <f>SUMIF(Calcs!$A$2:$A$37,League!BK4,Calcs!$F$2:$F$37)</f>
        <v>0</v>
      </c>
      <c r="BL30" s="319">
        <f>SUMIF(Calcs!$A$2:$A$37,League!BL4,Calcs!$F$2:$F$37)</f>
        <v>0</v>
      </c>
      <c r="BM30" s="319">
        <f>SUMIF(Calcs!$A$2:$A$37,League!BM4,Calcs!$F$2:$F$37)</f>
        <v>0</v>
      </c>
      <c r="BN30" s="319">
        <f>SUMIF(Calcs!$A$2:$A$37,League!BN4,Calcs!$F$2:$F$37)</f>
        <v>0</v>
      </c>
      <c r="BO30" s="319">
        <f>SUMIF(Calcs!$A$2:$A$37,League!BO4,Calcs!$F$2:$F$37)</f>
        <v>0</v>
      </c>
      <c r="BP30" s="319">
        <f>SUMIF(Calcs!$A$2:$A$37,League!BP4,Calcs!$F$2:$F$37)</f>
        <v>0</v>
      </c>
      <c r="BQ30" s="319">
        <f>SUMIF(Calcs!$A$2:$A$37,League!BQ4,Calcs!$F$2:$F$37)</f>
        <v>0</v>
      </c>
      <c r="BR30" s="319">
        <f>SUMIF(Calcs!$A$2:$A$37,League!BR4,Calcs!$F$2:$F$37)</f>
        <v>0</v>
      </c>
      <c r="BS30" s="319">
        <f>SUMIF(Calcs!$A$2:$A$37,League!BS4,Calcs!$F$2:$F$37)</f>
        <v>0</v>
      </c>
      <c r="BT30" s="319">
        <f>SUMIF(Calcs!$A$2:$A$37,League!BT4,Calcs!$F$2:$F$37)</f>
        <v>0</v>
      </c>
      <c r="BU30" s="319">
        <f>SUMIF(Calcs!$A$2:$A$37,League!BU4,Calcs!$F$2:$F$37)</f>
        <v>0</v>
      </c>
      <c r="BV30" s="319">
        <f>SUMIF(Calcs!$A$2:$A$37,League!BV4,Calcs!$F$2:$F$37)</f>
        <v>0</v>
      </c>
      <c r="BW30" s="319">
        <f>SUMIF(Calcs!$A$2:$A$37,League!BW4,Calcs!$F$2:$F$37)</f>
        <v>0</v>
      </c>
      <c r="BX30" s="319">
        <f>SUMIF(Calcs!$A$2:$A$37,League!BX4,Calcs!$F$2:$F$37)</f>
        <v>0</v>
      </c>
      <c r="BY30" s="319">
        <f>SUMIF(Calcs!$A$2:$A$37,League!BY4,Calcs!$F$2:$F$37)</f>
        <v>0</v>
      </c>
      <c r="BZ30" s="319">
        <f>SUMIF(Calcs!$A$2:$A$37,League!BZ4,Calcs!$F$2:$F$37)</f>
        <v>0</v>
      </c>
      <c r="CA30" s="319">
        <f>SUMIF(Calcs!$A$2:$A$37,League!CA4,Calcs!$F$2:$F$37)</f>
        <v>0</v>
      </c>
      <c r="CB30" s="319">
        <f>SUMIF(Calcs!$A$2:$A$37,League!CB4,Calcs!$F$2:$F$37)</f>
        <v>0</v>
      </c>
      <c r="CC30" s="319">
        <f>SUMIF(Calcs!$A$2:$A$37,League!CC4,Calcs!$F$2:$F$37)</f>
        <v>0</v>
      </c>
      <c r="CD30" s="319">
        <f>SUMIF(Calcs!$A$2:$A$37,League!CD4,Calcs!$F$2:$F$37)</f>
        <v>0</v>
      </c>
      <c r="CE30" s="319">
        <f>SUMIF(Calcs!$A$2:$A$37,League!CE4,Calcs!$F$2:$F$37)</f>
        <v>0</v>
      </c>
      <c r="CF30" s="319">
        <f>SUMIF(Calcs!$A$2:$A$37,League!CF4,Calcs!$F$2:$F$37)</f>
        <v>0</v>
      </c>
      <c r="CG30" s="319">
        <f>SUMIF(Calcs!$A$2:$A$37,League!CG4,Calcs!$F$2:$F$37)</f>
        <v>0</v>
      </c>
      <c r="CH30" s="319">
        <f>SUMIF(Calcs!$A$2:$A$37,League!CH4,Calcs!$F$2:$F$37)</f>
        <v>0</v>
      </c>
      <c r="CI30" s="319">
        <f>SUMIF(Calcs!$A$2:$A$37,League!CI4,Calcs!$F$2:$F$37)</f>
        <v>0</v>
      </c>
      <c r="CJ30" s="319">
        <f>SUMIF(Calcs!$A$2:$A$37,League!CJ4,Calcs!$F$2:$F$37)</f>
        <v>0</v>
      </c>
      <c r="CK30" s="319">
        <f>SUMIF(Calcs!$A$2:$A$37,League!CK4,Calcs!$F$2:$F$37)</f>
        <v>0</v>
      </c>
      <c r="CL30" s="319">
        <f>SUMIF(Calcs!$A$2:$A$37,League!CL4,Calcs!$F$2:$F$37)</f>
        <v>0</v>
      </c>
      <c r="CM30" s="319">
        <f>SUMIF(Calcs!$A$2:$A$37,League!CM4,Calcs!$F$2:$F$37)</f>
        <v>0</v>
      </c>
      <c r="CN30" s="319">
        <f>SUMIF(Calcs!$A$2:$A$37,League!CN4,Calcs!$F$2:$F$37)</f>
        <v>0</v>
      </c>
      <c r="CO30" s="319">
        <f>SUMIF(Calcs!$A$2:$A$37,League!CO4,Calcs!$F$2:$F$37)</f>
        <v>0</v>
      </c>
      <c r="CP30" s="319">
        <f>SUMIF(Calcs!$A$2:$A$37,League!CP4,Calcs!$F$2:$F$37)</f>
        <v>0</v>
      </c>
      <c r="CQ30" s="319">
        <f>SUMIF(Calcs!$A$2:$A$37,League!CQ4,Calcs!$F$2:$F$37)</f>
        <v>0</v>
      </c>
      <c r="CR30" s="319">
        <f>SUMIF(Calcs!$A$2:$A$37,League!CR4,Calcs!$F$2:$F$37)</f>
        <v>0</v>
      </c>
      <c r="CS30" s="204"/>
      <c r="CT30" s="204"/>
      <c r="CU30" s="204"/>
      <c r="CV30" s="204"/>
    </row>
    <row r="31" spans="1:100" ht="17" customHeight="1">
      <c r="A31" s="227">
        <v>2</v>
      </c>
      <c r="B31" s="116">
        <f>Horarios!C31</f>
        <v>46309.875</v>
      </c>
      <c r="C31" s="117">
        <f>Horarios!C31</f>
        <v>46309.875</v>
      </c>
      <c r="D31" s="118" t="s">
        <v>1006</v>
      </c>
      <c r="E31" s="222" t="e" cm="1" vm="29">
        <f t="array" ref="E31">badge_home</f>
        <v>#VALUE!</v>
      </c>
      <c r="F31" s="225"/>
      <c r="G31" s="88"/>
      <c r="H31" s="90"/>
      <c r="I31" s="224"/>
      <c r="J31" s="225" t="e" cm="1" vm="14">
        <f t="array" ref="J31">badge_away</f>
        <v>#VALUE!</v>
      </c>
      <c r="K31" s="133" t="s">
        <v>2</v>
      </c>
      <c r="L31" s="129"/>
      <c r="M31" s="188"/>
      <c r="N31" s="55">
        <v>30</v>
      </c>
      <c r="O31" s="37" t="e" cm="1" vm="31">
        <f t="array" ref="O31">badge_away</f>
        <v>#VALUE!</v>
      </c>
      <c r="P31" s="38" t="str">
        <f>IFERROR(INDEX(Calcs!A$2:A$37,MATCH($N31,Calcs!$CJ$2:$CJ$37,0)),"")</f>
        <v>Shakhtar Donetsk</v>
      </c>
      <c r="Q31" s="39">
        <f>IFERROR(INDEX(Calcs!$B$2:$AB$37,MATCH($N31,Calcs!$CJ$2:$CJ$37,0),MATCH(Q$1,Calcs!$B$1:$AB$1,0)),"")</f>
        <v>0</v>
      </c>
      <c r="R31" s="40">
        <f>IFERROR(INDEX(Calcs!$B$2:$AB$37,MATCH($N31,Calcs!$CJ$2:$CJ$37,0),MATCH(R$1,Calcs!$B$1:$AB$1,0)),"")</f>
        <v>0</v>
      </c>
      <c r="S31" s="40">
        <f>IFERROR(INDEX(Calcs!$B$2:$AB$37,MATCH($N31,Calcs!$CJ$2:$CJ$37,0),MATCH(S$1,Calcs!$B$1:$AB$1,0)),"")</f>
        <v>0</v>
      </c>
      <c r="T31" s="40">
        <f>IFERROR(INDEX(Calcs!$B$2:$AB$37,MATCH($N31,Calcs!$CJ$2:$CJ$37,0),MATCH(T$1,Calcs!$B$1:$AB$1,0)),"")</f>
        <v>0</v>
      </c>
      <c r="U31" s="40">
        <f>IFERROR(INDEX(Calcs!$B$2:$AB$37,MATCH($N31,Calcs!$CJ$2:$CJ$37,0),MATCH(U$1,Calcs!$B$1:$AB$1,0)),"")</f>
        <v>0</v>
      </c>
      <c r="V31" s="40">
        <f>IFERROR(INDEX(Calcs!$B$2:$AB$37,MATCH($N31,Calcs!$CJ$2:$CJ$37,0),MATCH(V$1,Calcs!$B$1:$AB$1,0)),"")</f>
        <v>0</v>
      </c>
      <c r="W31" s="40">
        <f>IFERROR(INDEX(Calcs!$B$2:$AB$37,MATCH($N31,Calcs!$CJ$2:$CJ$37,0),MATCH(W$1,Calcs!$B$1:$AB$1,0)),"")</f>
        <v>0</v>
      </c>
      <c r="X31" s="41">
        <f>IFERROR(INDEX(Calcs!$B$2:$AB$37,MATCH($N31,Calcs!$CJ$2:$CJ$37,0),MATCH(X$1,Calcs!$B$1:$AB$1,0)),"")</f>
        <v>0</v>
      </c>
      <c r="Y31" s="42">
        <f>IFERROR(INDEX(Calcs!$B$2:$AB$37,MATCH($N31,Calcs!$CJ$2:$CJ$37,0),MATCH(Y$1,Calcs!$B$1:$AB$1,0)),"")</f>
        <v>0</v>
      </c>
      <c r="Z31" s="40">
        <f>IFERROR(INDEX(Calcs!$B$2:$AB$37,MATCH($N31,Calcs!$CJ$2:$CJ$37,0),MATCH(Z$1,Calcs!$B$1:$AB$1,0)),"")</f>
        <v>0</v>
      </c>
      <c r="AA31" s="40">
        <f>IFERROR(INDEX(Calcs!$B$2:$AB$37,MATCH($N31,Calcs!$CJ$2:$CJ$37,0),MATCH(AA$1,Calcs!$B$1:$AB$1,0)),"")</f>
        <v>0</v>
      </c>
      <c r="AB31" s="40">
        <f>IFERROR(INDEX(Calcs!$B$2:$AB$37,MATCH($N31,Calcs!$CJ$2:$CJ$37,0),MATCH(AB$1,Calcs!$B$1:$AB$1,0)),"")</f>
        <v>0</v>
      </c>
      <c r="AC31" s="40">
        <f>IFERROR(INDEX(Calcs!$B$2:$AB$37,MATCH($N31,Calcs!$CJ$2:$CJ$37,0),MATCH(AC$1,Calcs!$B$1:$AB$1,0)),"")</f>
        <v>0</v>
      </c>
      <c r="AD31" s="40">
        <f>IFERROR(INDEX(Calcs!$B$2:$AB$37,MATCH($N31,Calcs!$CJ$2:$CJ$37,0),MATCH(AD$1,Calcs!$B$1:$AB$1,0)),"")</f>
        <v>0</v>
      </c>
      <c r="AE31" s="40">
        <f>IFERROR(INDEX(Calcs!$B$2:$AB$37,MATCH($N31,Calcs!$CJ$2:$CJ$37,0),MATCH(AE$1,Calcs!$B$1:$AB$1,0)),"")</f>
        <v>0</v>
      </c>
      <c r="AF31" s="41">
        <f>IFERROR(INDEX(Calcs!$B$2:$AB$37,MATCH($N31,Calcs!$CJ$2:$CJ$37,0),MATCH(AF$1,Calcs!$B$1:$AB$1,0)),"")</f>
        <v>0</v>
      </c>
      <c r="AG31" s="42">
        <f>IFERROR(INDEX(Calcs!$B$2:$AB$37,MATCH($N31,Calcs!$CJ$2:$CJ$37,0),MATCH(AG$1,Calcs!$B$1:$AB$1,0)),"")</f>
        <v>0</v>
      </c>
      <c r="AH31" s="40">
        <f>IFERROR(INDEX(Calcs!$B$2:$AB$37,MATCH($N31,Calcs!$CJ$2:$CJ$37,0),MATCH(AH$1,Calcs!$B$1:$AB$1,0)),"")</f>
        <v>0</v>
      </c>
      <c r="AI31" s="40">
        <f>IFERROR(INDEX(Calcs!$B$2:$AB$37,MATCH($N31,Calcs!$CJ$2:$CJ$37,0),MATCH(AI$1,Calcs!$B$1:$AB$1,0)),"")</f>
        <v>0</v>
      </c>
      <c r="AJ31" s="40">
        <f>IFERROR(INDEX(Calcs!$B$2:$AB$37,MATCH($N31,Calcs!$CJ$2:$CJ$37,0),MATCH(AJ$1,Calcs!$B$1:$AB$1,0)),"")</f>
        <v>0</v>
      </c>
      <c r="AK31" s="40">
        <f>IFERROR(INDEX(Calcs!$B$2:$AB$37,MATCH($N31,Calcs!$CJ$2:$CJ$37,0),MATCH(AK$1,Calcs!$B$1:$AB$1,0)),"")</f>
        <v>0</v>
      </c>
      <c r="AL31" s="40">
        <f>IFERROR(INDEX(Calcs!$B$2:$AB$37,MATCH($N31,Calcs!$CJ$2:$CJ$37,0),MATCH(AL$1,Calcs!$B$1:$AB$1,0)),"")</f>
        <v>0</v>
      </c>
      <c r="AM31" s="40">
        <f>IFERROR(INDEX(Calcs!$B$2:$AB$37,MATCH($N31,Calcs!$CJ$2:$CJ$37,0),MATCH(AM$1,Calcs!$B$1:$AB$1,0)),"")</f>
        <v>0</v>
      </c>
      <c r="AN31" s="43">
        <f>IFERROR(INDEX(Calcs!$B$2:$AB$37,MATCH($N31,Calcs!$CJ$2:$CJ$37,0),MATCH(AN$1,Calcs!$B$1:$AB$1,0)),"")</f>
        <v>0</v>
      </c>
      <c r="AO31" s="40">
        <f>IFERROR(INDEX(Calcs!$B$2:$AB$37,MATCH($N31,Calcs!$CJ$2:$CJ$37,0),MATCH(AO$1,Calcs!$B$1:$AB$1,0)),"")</f>
        <v>0</v>
      </c>
      <c r="AP31" s="40">
        <f>IFERROR(INDEX(Calcs!$B$2:$AB$37,MATCH($N31,Calcs!$CJ$2:$CJ$37,0),MATCH(AP$1,Calcs!$B$1:$AB$1,0)),"")</f>
        <v>0</v>
      </c>
      <c r="AQ31" s="43">
        <f>IFERROR(INDEX(Calcs!$B$2:$AB$37,MATCH($N31,Calcs!$CJ$2:$CJ$37,0),MATCH(AQ$1,Calcs!$B$1:$AB$1,0)),"")</f>
        <v>0</v>
      </c>
      <c r="AR31" s="188"/>
      <c r="AS31" s="202" t="str">
        <f>INDEX(Calcs!A$2:A$37,MATCH($N31,Calcs!$CF$2:$CF$37,0))</f>
        <v>Shakhtar Donetsk</v>
      </c>
      <c r="AT31" s="98"/>
      <c r="AU31" s="191">
        <f>INDEX(Calcs!$BZ$2:$BZ$37,MATCH($AS31,Calcs!$A$2:$A$37,0))</f>
        <v>1</v>
      </c>
      <c r="AV31" s="191">
        <f t="shared" si="1"/>
        <v>36</v>
      </c>
      <c r="AW31" s="191" t="str">
        <f t="shared" si="2"/>
        <v>1.36</v>
      </c>
      <c r="AX31" s="191">
        <f ca="1"/>
        <v>30</v>
      </c>
      <c r="AY31" s="188"/>
      <c r="AZ31" s="212" t="str">
        <f>TablaEquipos[[#This Row],[Team]]</f>
        <v>Shakhtar Donetsk</v>
      </c>
      <c r="BA31" s="100"/>
      <c r="BB31" s="188"/>
      <c r="BC31" s="188"/>
      <c r="BD31" s="188"/>
      <c r="BE31" s="188"/>
      <c r="BF31" s="319" t="str">
        <f t="shared" si="0"/>
        <v>Pendiente</v>
      </c>
      <c r="BI31" s="319">
        <f>SUMIF(Calcs!$A$2:$A$37,League!BI5,Calcs!$F$2:$F$37)</f>
        <v>0</v>
      </c>
      <c r="BJ31" s="319">
        <f>SUMIF(Calcs!$A$2:$A$37,League!BJ5,Calcs!$F$2:$F$37)</f>
        <v>0</v>
      </c>
      <c r="BK31" s="319">
        <f>SUMIF(Calcs!$A$2:$A$37,League!BK5,Calcs!$F$2:$F$37)</f>
        <v>0</v>
      </c>
      <c r="BL31" s="319">
        <f>SUMIF(Calcs!$A$2:$A$37,League!BL5,Calcs!$F$2:$F$37)</f>
        <v>0</v>
      </c>
      <c r="BM31" s="319">
        <f>SUMIF(Calcs!$A$2:$A$37,League!BM5,Calcs!$F$2:$F$37)</f>
        <v>0</v>
      </c>
      <c r="BN31" s="319">
        <f>SUMIF(Calcs!$A$2:$A$37,League!BN5,Calcs!$F$2:$F$37)</f>
        <v>0</v>
      </c>
      <c r="BO31" s="319">
        <f>SUMIF(Calcs!$A$2:$A$37,League!BO5,Calcs!$F$2:$F$37)</f>
        <v>0</v>
      </c>
      <c r="BP31" s="319">
        <f>SUMIF(Calcs!$A$2:$A$37,League!BP5,Calcs!$F$2:$F$37)</f>
        <v>0</v>
      </c>
      <c r="BQ31" s="319">
        <f>SUMIF(Calcs!$A$2:$A$37,League!BQ5,Calcs!$F$2:$F$37)</f>
        <v>0</v>
      </c>
      <c r="BR31" s="319">
        <f>SUMIF(Calcs!$A$2:$A$37,League!BR5,Calcs!$F$2:$F$37)</f>
        <v>0</v>
      </c>
      <c r="BS31" s="319">
        <f>SUMIF(Calcs!$A$2:$A$37,League!BS5,Calcs!$F$2:$F$37)</f>
        <v>0</v>
      </c>
      <c r="BT31" s="319">
        <f>SUMIF(Calcs!$A$2:$A$37,League!BT5,Calcs!$F$2:$F$37)</f>
        <v>0</v>
      </c>
      <c r="BU31" s="319">
        <f>SUMIF(Calcs!$A$2:$A$37,League!BU5,Calcs!$F$2:$F$37)</f>
        <v>0</v>
      </c>
      <c r="BV31" s="319">
        <f>SUMIF(Calcs!$A$2:$A$37,League!BV5,Calcs!$F$2:$F$37)</f>
        <v>0</v>
      </c>
      <c r="BW31" s="319">
        <f>SUMIF(Calcs!$A$2:$A$37,League!BW5,Calcs!$F$2:$F$37)</f>
        <v>0</v>
      </c>
      <c r="BX31" s="319">
        <f>SUMIF(Calcs!$A$2:$A$37,League!BX5,Calcs!$F$2:$F$37)</f>
        <v>0</v>
      </c>
      <c r="BY31" s="319">
        <f>SUMIF(Calcs!$A$2:$A$37,League!BY5,Calcs!$F$2:$F$37)</f>
        <v>0</v>
      </c>
      <c r="BZ31" s="319">
        <f>SUMIF(Calcs!$A$2:$A$37,League!BZ5,Calcs!$F$2:$F$37)</f>
        <v>0</v>
      </c>
      <c r="CA31" s="319">
        <f>SUMIF(Calcs!$A$2:$A$37,League!CA5,Calcs!$F$2:$F$37)</f>
        <v>0</v>
      </c>
      <c r="CB31" s="319">
        <f>SUMIF(Calcs!$A$2:$A$37,League!CB5,Calcs!$F$2:$F$37)</f>
        <v>0</v>
      </c>
      <c r="CC31" s="319">
        <f>SUMIF(Calcs!$A$2:$A$37,League!CC5,Calcs!$F$2:$F$37)</f>
        <v>0</v>
      </c>
      <c r="CD31" s="319">
        <f>SUMIF(Calcs!$A$2:$A$37,League!CD5,Calcs!$F$2:$F$37)</f>
        <v>0</v>
      </c>
      <c r="CE31" s="319">
        <f>SUMIF(Calcs!$A$2:$A$37,League!CE5,Calcs!$F$2:$F$37)</f>
        <v>0</v>
      </c>
      <c r="CF31" s="319">
        <f>SUMIF(Calcs!$A$2:$A$37,League!CF5,Calcs!$F$2:$F$37)</f>
        <v>0</v>
      </c>
      <c r="CG31" s="319">
        <f>SUMIF(Calcs!$A$2:$A$37,League!CG5,Calcs!$F$2:$F$37)</f>
        <v>0</v>
      </c>
      <c r="CH31" s="319">
        <f>SUMIF(Calcs!$A$2:$A$37,League!CH5,Calcs!$F$2:$F$37)</f>
        <v>0</v>
      </c>
      <c r="CI31" s="319">
        <f>SUMIF(Calcs!$A$2:$A$37,League!CI5,Calcs!$F$2:$F$37)</f>
        <v>0</v>
      </c>
      <c r="CJ31" s="319">
        <f>SUMIF(Calcs!$A$2:$A$37,League!CJ5,Calcs!$F$2:$F$37)</f>
        <v>0</v>
      </c>
      <c r="CK31" s="319">
        <f>SUMIF(Calcs!$A$2:$A$37,League!CK5,Calcs!$F$2:$F$37)</f>
        <v>0</v>
      </c>
      <c r="CL31" s="319">
        <f>SUMIF(Calcs!$A$2:$A$37,League!CL5,Calcs!$F$2:$F$37)</f>
        <v>0</v>
      </c>
      <c r="CM31" s="319">
        <f>SUMIF(Calcs!$A$2:$A$37,League!CM5,Calcs!$F$2:$F$37)</f>
        <v>0</v>
      </c>
      <c r="CN31" s="319">
        <f>SUMIF(Calcs!$A$2:$A$37,League!CN5,Calcs!$F$2:$F$37)</f>
        <v>0</v>
      </c>
      <c r="CO31" s="319">
        <f>SUMIF(Calcs!$A$2:$A$37,League!CO5,Calcs!$F$2:$F$37)</f>
        <v>0</v>
      </c>
      <c r="CP31" s="319">
        <f>SUMIF(Calcs!$A$2:$A$37,League!CP5,Calcs!$F$2:$F$37)</f>
        <v>0</v>
      </c>
      <c r="CQ31" s="319">
        <f>SUMIF(Calcs!$A$2:$A$37,League!CQ5,Calcs!$F$2:$F$37)</f>
        <v>0</v>
      </c>
      <c r="CR31" s="319">
        <f>SUMIF(Calcs!$A$2:$A$37,League!CR5,Calcs!$F$2:$F$37)</f>
        <v>0</v>
      </c>
      <c r="CS31" s="204"/>
      <c r="CT31" s="204"/>
      <c r="CU31" s="204"/>
      <c r="CV31" s="204"/>
    </row>
    <row r="32" spans="1:100" ht="17" customHeight="1">
      <c r="A32" s="227">
        <v>2</v>
      </c>
      <c r="B32" s="116">
        <f>Horarios!C32</f>
        <v>46309.875</v>
      </c>
      <c r="C32" s="117">
        <f>Horarios!C32</f>
        <v>46309.875</v>
      </c>
      <c r="D32" s="118" t="s">
        <v>808</v>
      </c>
      <c r="E32" s="222" t="e" cm="1" vm="4">
        <f t="array" ref="E32">badge_home</f>
        <v>#VALUE!</v>
      </c>
      <c r="F32" s="225"/>
      <c r="G32" s="88"/>
      <c r="H32" s="90"/>
      <c r="I32" s="224"/>
      <c r="J32" s="225" t="e" cm="1" vm="28">
        <f t="array" ref="J32">badge_away</f>
        <v>#VALUE!</v>
      </c>
      <c r="K32" s="133" t="s">
        <v>1028</v>
      </c>
      <c r="L32" s="129"/>
      <c r="M32" s="188"/>
      <c r="N32" s="54">
        <v>31</v>
      </c>
      <c r="O32" s="37" t="e" cm="1" vm="35">
        <f t="array" ref="O32">badge_away</f>
        <v>#VALUE!</v>
      </c>
      <c r="P32" s="38" t="str">
        <f>IFERROR(INDEX(Calcs!A$2:A$37,MATCH($N32,Calcs!$CJ$2:$CJ$37,0)),"")</f>
        <v>Slavia Praha</v>
      </c>
      <c r="Q32" s="39">
        <f>IFERROR(INDEX(Calcs!$B$2:$AB$37,MATCH($N32,Calcs!$CJ$2:$CJ$37,0),MATCH(Q$1,Calcs!$B$1:$AB$1,0)),"")</f>
        <v>0</v>
      </c>
      <c r="R32" s="40">
        <f>IFERROR(INDEX(Calcs!$B$2:$AB$37,MATCH($N32,Calcs!$CJ$2:$CJ$37,0),MATCH(R$1,Calcs!$B$1:$AB$1,0)),"")</f>
        <v>0</v>
      </c>
      <c r="S32" s="40">
        <f>IFERROR(INDEX(Calcs!$B$2:$AB$37,MATCH($N32,Calcs!$CJ$2:$CJ$37,0),MATCH(S$1,Calcs!$B$1:$AB$1,0)),"")</f>
        <v>0</v>
      </c>
      <c r="T32" s="40">
        <f>IFERROR(INDEX(Calcs!$B$2:$AB$37,MATCH($N32,Calcs!$CJ$2:$CJ$37,0),MATCH(T$1,Calcs!$B$1:$AB$1,0)),"")</f>
        <v>0</v>
      </c>
      <c r="U32" s="40">
        <f>IFERROR(INDEX(Calcs!$B$2:$AB$37,MATCH($N32,Calcs!$CJ$2:$CJ$37,0),MATCH(U$1,Calcs!$B$1:$AB$1,0)),"")</f>
        <v>0</v>
      </c>
      <c r="V32" s="40">
        <f>IFERROR(INDEX(Calcs!$B$2:$AB$37,MATCH($N32,Calcs!$CJ$2:$CJ$37,0),MATCH(V$1,Calcs!$B$1:$AB$1,0)),"")</f>
        <v>0</v>
      </c>
      <c r="W32" s="40">
        <f>IFERROR(INDEX(Calcs!$B$2:$AB$37,MATCH($N32,Calcs!$CJ$2:$CJ$37,0),MATCH(W$1,Calcs!$B$1:$AB$1,0)),"")</f>
        <v>0</v>
      </c>
      <c r="X32" s="41">
        <f>IFERROR(INDEX(Calcs!$B$2:$AB$37,MATCH($N32,Calcs!$CJ$2:$CJ$37,0),MATCH(X$1,Calcs!$B$1:$AB$1,0)),"")</f>
        <v>0</v>
      </c>
      <c r="Y32" s="42">
        <f>IFERROR(INDEX(Calcs!$B$2:$AB$37,MATCH($N32,Calcs!$CJ$2:$CJ$37,0),MATCH(Y$1,Calcs!$B$1:$AB$1,0)),"")</f>
        <v>0</v>
      </c>
      <c r="Z32" s="40">
        <f>IFERROR(INDEX(Calcs!$B$2:$AB$37,MATCH($N32,Calcs!$CJ$2:$CJ$37,0),MATCH(Z$1,Calcs!$B$1:$AB$1,0)),"")</f>
        <v>0</v>
      </c>
      <c r="AA32" s="40">
        <f>IFERROR(INDEX(Calcs!$B$2:$AB$37,MATCH($N32,Calcs!$CJ$2:$CJ$37,0),MATCH(AA$1,Calcs!$B$1:$AB$1,0)),"")</f>
        <v>0</v>
      </c>
      <c r="AB32" s="40">
        <f>IFERROR(INDEX(Calcs!$B$2:$AB$37,MATCH($N32,Calcs!$CJ$2:$CJ$37,0),MATCH(AB$1,Calcs!$B$1:$AB$1,0)),"")</f>
        <v>0</v>
      </c>
      <c r="AC32" s="40">
        <f>IFERROR(INDEX(Calcs!$B$2:$AB$37,MATCH($N32,Calcs!$CJ$2:$CJ$37,0),MATCH(AC$1,Calcs!$B$1:$AB$1,0)),"")</f>
        <v>0</v>
      </c>
      <c r="AD32" s="40">
        <f>IFERROR(INDEX(Calcs!$B$2:$AB$37,MATCH($N32,Calcs!$CJ$2:$CJ$37,0),MATCH(AD$1,Calcs!$B$1:$AB$1,0)),"")</f>
        <v>0</v>
      </c>
      <c r="AE32" s="40">
        <f>IFERROR(INDEX(Calcs!$B$2:$AB$37,MATCH($N32,Calcs!$CJ$2:$CJ$37,0),MATCH(AE$1,Calcs!$B$1:$AB$1,0)),"")</f>
        <v>0</v>
      </c>
      <c r="AF32" s="41">
        <f>IFERROR(INDEX(Calcs!$B$2:$AB$37,MATCH($N32,Calcs!$CJ$2:$CJ$37,0),MATCH(AF$1,Calcs!$B$1:$AB$1,0)),"")</f>
        <v>0</v>
      </c>
      <c r="AG32" s="42">
        <f>IFERROR(INDEX(Calcs!$B$2:$AB$37,MATCH($N32,Calcs!$CJ$2:$CJ$37,0),MATCH(AG$1,Calcs!$B$1:$AB$1,0)),"")</f>
        <v>0</v>
      </c>
      <c r="AH32" s="40">
        <f>IFERROR(INDEX(Calcs!$B$2:$AB$37,MATCH($N32,Calcs!$CJ$2:$CJ$37,0),MATCH(AH$1,Calcs!$B$1:$AB$1,0)),"")</f>
        <v>0</v>
      </c>
      <c r="AI32" s="40">
        <f>IFERROR(INDEX(Calcs!$B$2:$AB$37,MATCH($N32,Calcs!$CJ$2:$CJ$37,0),MATCH(AI$1,Calcs!$B$1:$AB$1,0)),"")</f>
        <v>0</v>
      </c>
      <c r="AJ32" s="40">
        <f>IFERROR(INDEX(Calcs!$B$2:$AB$37,MATCH($N32,Calcs!$CJ$2:$CJ$37,0),MATCH(AJ$1,Calcs!$B$1:$AB$1,0)),"")</f>
        <v>0</v>
      </c>
      <c r="AK32" s="40">
        <f>IFERROR(INDEX(Calcs!$B$2:$AB$37,MATCH($N32,Calcs!$CJ$2:$CJ$37,0),MATCH(AK$1,Calcs!$B$1:$AB$1,0)),"")</f>
        <v>0</v>
      </c>
      <c r="AL32" s="40">
        <f>IFERROR(INDEX(Calcs!$B$2:$AB$37,MATCH($N32,Calcs!$CJ$2:$CJ$37,0),MATCH(AL$1,Calcs!$B$1:$AB$1,0)),"")</f>
        <v>0</v>
      </c>
      <c r="AM32" s="40">
        <f>IFERROR(INDEX(Calcs!$B$2:$AB$37,MATCH($N32,Calcs!$CJ$2:$CJ$37,0),MATCH(AM$1,Calcs!$B$1:$AB$1,0)),"")</f>
        <v>0</v>
      </c>
      <c r="AN32" s="43">
        <f>IFERROR(INDEX(Calcs!$B$2:$AB$37,MATCH($N32,Calcs!$CJ$2:$CJ$37,0),MATCH(AN$1,Calcs!$B$1:$AB$1,0)),"")</f>
        <v>0</v>
      </c>
      <c r="AO32" s="40">
        <f>IFERROR(INDEX(Calcs!$B$2:$AB$37,MATCH($N32,Calcs!$CJ$2:$CJ$37,0),MATCH(AO$1,Calcs!$B$1:$AB$1,0)),"")</f>
        <v>0</v>
      </c>
      <c r="AP32" s="40">
        <f>IFERROR(INDEX(Calcs!$B$2:$AB$37,MATCH($N32,Calcs!$CJ$2:$CJ$37,0),MATCH(AP$1,Calcs!$B$1:$AB$1,0)),"")</f>
        <v>0</v>
      </c>
      <c r="AQ32" s="43">
        <f>IFERROR(INDEX(Calcs!$B$2:$AB$37,MATCH($N32,Calcs!$CJ$2:$CJ$37,0),MATCH(AQ$1,Calcs!$B$1:$AB$1,0)),"")</f>
        <v>0</v>
      </c>
      <c r="AR32" s="188"/>
      <c r="AS32" s="202" t="str">
        <f>INDEX(Calcs!A$2:A$37,MATCH($N32,Calcs!$CF$2:$CF$37,0))</f>
        <v>Slavia Praha</v>
      </c>
      <c r="AT32" s="98"/>
      <c r="AU32" s="191">
        <f>INDEX(Calcs!$BZ$2:$BZ$37,MATCH($AS32,Calcs!$A$2:$A$37,0))</f>
        <v>1</v>
      </c>
      <c r="AV32" s="191">
        <f t="shared" si="1"/>
        <v>36</v>
      </c>
      <c r="AW32" s="191" t="str">
        <f t="shared" si="2"/>
        <v>1.36</v>
      </c>
      <c r="AX32" s="191">
        <f ca="1"/>
        <v>31</v>
      </c>
      <c r="AY32" s="188"/>
      <c r="AZ32" s="203" t="str">
        <f>TablaEquipos[[#This Row],[Team]]</f>
        <v>Slavia Praha</v>
      </c>
      <c r="BA32" s="99"/>
      <c r="BB32" s="188"/>
      <c r="BC32" s="188"/>
      <c r="BD32" s="188"/>
      <c r="BE32" s="188"/>
      <c r="BF32" s="319" t="str">
        <f t="shared" si="0"/>
        <v>Pendiente</v>
      </c>
      <c r="BI32" s="319">
        <f>SUMIF(Calcs!$A$2:$A$37,League!BI6,Calcs!$F$2:$F$37)</f>
        <v>0</v>
      </c>
      <c r="BJ32" s="319">
        <f>SUMIF(Calcs!$A$2:$A$37,League!BJ6,Calcs!$F$2:$F$37)</f>
        <v>0</v>
      </c>
      <c r="BK32" s="319">
        <f>SUMIF(Calcs!$A$2:$A$37,League!BK6,Calcs!$F$2:$F$37)</f>
        <v>0</v>
      </c>
      <c r="BL32" s="319">
        <f>SUMIF(Calcs!$A$2:$A$37,League!BL6,Calcs!$F$2:$F$37)</f>
        <v>0</v>
      </c>
      <c r="BM32" s="319">
        <f>SUMIF(Calcs!$A$2:$A$37,League!BM6,Calcs!$F$2:$F$37)</f>
        <v>0</v>
      </c>
      <c r="BN32" s="319">
        <f>SUMIF(Calcs!$A$2:$A$37,League!BN6,Calcs!$F$2:$F$37)</f>
        <v>0</v>
      </c>
      <c r="BO32" s="319">
        <f>SUMIF(Calcs!$A$2:$A$37,League!BO6,Calcs!$F$2:$F$37)</f>
        <v>0</v>
      </c>
      <c r="BP32" s="319">
        <f>SUMIF(Calcs!$A$2:$A$37,League!BP6,Calcs!$F$2:$F$37)</f>
        <v>0</v>
      </c>
      <c r="BQ32" s="319">
        <f>SUMIF(Calcs!$A$2:$A$37,League!BQ6,Calcs!$F$2:$F$37)</f>
        <v>0</v>
      </c>
      <c r="BR32" s="319">
        <f>SUMIF(Calcs!$A$2:$A$37,League!BR6,Calcs!$F$2:$F$37)</f>
        <v>0</v>
      </c>
      <c r="BS32" s="319">
        <f>SUMIF(Calcs!$A$2:$A$37,League!BS6,Calcs!$F$2:$F$37)</f>
        <v>0</v>
      </c>
      <c r="BT32" s="319">
        <f>SUMIF(Calcs!$A$2:$A$37,League!BT6,Calcs!$F$2:$F$37)</f>
        <v>0</v>
      </c>
      <c r="BU32" s="319">
        <f>SUMIF(Calcs!$A$2:$A$37,League!BU6,Calcs!$F$2:$F$37)</f>
        <v>0</v>
      </c>
      <c r="BV32" s="319">
        <f>SUMIF(Calcs!$A$2:$A$37,League!BV6,Calcs!$F$2:$F$37)</f>
        <v>0</v>
      </c>
      <c r="BW32" s="319">
        <f>SUMIF(Calcs!$A$2:$A$37,League!BW6,Calcs!$F$2:$F$37)</f>
        <v>0</v>
      </c>
      <c r="BX32" s="319">
        <f>SUMIF(Calcs!$A$2:$A$37,League!BX6,Calcs!$F$2:$F$37)</f>
        <v>0</v>
      </c>
      <c r="BY32" s="319">
        <f>SUMIF(Calcs!$A$2:$A$37,League!BY6,Calcs!$F$2:$F$37)</f>
        <v>0</v>
      </c>
      <c r="BZ32" s="319">
        <f>SUMIF(Calcs!$A$2:$A$37,League!BZ6,Calcs!$F$2:$F$37)</f>
        <v>0</v>
      </c>
      <c r="CA32" s="319">
        <f>SUMIF(Calcs!$A$2:$A$37,League!CA6,Calcs!$F$2:$F$37)</f>
        <v>0</v>
      </c>
      <c r="CB32" s="319">
        <f>SUMIF(Calcs!$A$2:$A$37,League!CB6,Calcs!$F$2:$F$37)</f>
        <v>0</v>
      </c>
      <c r="CC32" s="319">
        <f>SUMIF(Calcs!$A$2:$A$37,League!CC6,Calcs!$F$2:$F$37)</f>
        <v>0</v>
      </c>
      <c r="CD32" s="319">
        <f>SUMIF(Calcs!$A$2:$A$37,League!CD6,Calcs!$F$2:$F$37)</f>
        <v>0</v>
      </c>
      <c r="CE32" s="319">
        <f>SUMIF(Calcs!$A$2:$A$37,League!CE6,Calcs!$F$2:$F$37)</f>
        <v>0</v>
      </c>
      <c r="CF32" s="319">
        <f>SUMIF(Calcs!$A$2:$A$37,League!CF6,Calcs!$F$2:$F$37)</f>
        <v>0</v>
      </c>
      <c r="CG32" s="319">
        <f>SUMIF(Calcs!$A$2:$A$37,League!CG6,Calcs!$F$2:$F$37)</f>
        <v>0</v>
      </c>
      <c r="CH32" s="319">
        <f>SUMIF(Calcs!$A$2:$A$37,League!CH6,Calcs!$F$2:$F$37)</f>
        <v>0</v>
      </c>
      <c r="CI32" s="319">
        <f>SUMIF(Calcs!$A$2:$A$37,League!CI6,Calcs!$F$2:$F$37)</f>
        <v>0</v>
      </c>
      <c r="CJ32" s="319">
        <f>SUMIF(Calcs!$A$2:$A$37,League!CJ6,Calcs!$F$2:$F$37)</f>
        <v>0</v>
      </c>
      <c r="CK32" s="319">
        <f>SUMIF(Calcs!$A$2:$A$37,League!CK6,Calcs!$F$2:$F$37)</f>
        <v>0</v>
      </c>
      <c r="CL32" s="319">
        <f>SUMIF(Calcs!$A$2:$A$37,League!CL6,Calcs!$F$2:$F$37)</f>
        <v>0</v>
      </c>
      <c r="CM32" s="319">
        <f>SUMIF(Calcs!$A$2:$A$37,League!CM6,Calcs!$F$2:$F$37)</f>
        <v>0</v>
      </c>
      <c r="CN32" s="319">
        <f>SUMIF(Calcs!$A$2:$A$37,League!CN6,Calcs!$F$2:$F$37)</f>
        <v>0</v>
      </c>
      <c r="CO32" s="319">
        <f>SUMIF(Calcs!$A$2:$A$37,League!CO6,Calcs!$F$2:$F$37)</f>
        <v>0</v>
      </c>
      <c r="CP32" s="319">
        <f>SUMIF(Calcs!$A$2:$A$37,League!CP6,Calcs!$F$2:$F$37)</f>
        <v>0</v>
      </c>
      <c r="CQ32" s="319">
        <f>SUMIF(Calcs!$A$2:$A$37,League!CQ6,Calcs!$F$2:$F$37)</f>
        <v>0</v>
      </c>
      <c r="CR32" s="319">
        <f>SUMIF(Calcs!$A$2:$A$37,League!CR6,Calcs!$F$2:$F$37)</f>
        <v>0</v>
      </c>
      <c r="CS32" s="204"/>
      <c r="CT32" s="204"/>
      <c r="CU32" s="204"/>
      <c r="CV32" s="204"/>
    </row>
    <row r="33" spans="1:100" ht="17" customHeight="1">
      <c r="A33" s="227">
        <v>2</v>
      </c>
      <c r="B33" s="116">
        <f>Horarios!C33</f>
        <v>46309.875</v>
      </c>
      <c r="C33" s="117">
        <f>Horarios!C33</f>
        <v>46309.875</v>
      </c>
      <c r="D33" s="118" t="s">
        <v>818</v>
      </c>
      <c r="E33" s="222" t="e" cm="1" vm="31">
        <f t="array" ref="E33">badge_home</f>
        <v>#VALUE!</v>
      </c>
      <c r="F33" s="225"/>
      <c r="G33" s="88"/>
      <c r="H33" s="90"/>
      <c r="I33" s="224"/>
      <c r="J33" s="225" t="e" cm="1" vm="1">
        <f t="array" ref="J33">badge_away</f>
        <v>#VALUE!</v>
      </c>
      <c r="K33" s="133" t="s">
        <v>1031</v>
      </c>
      <c r="L33" s="129"/>
      <c r="M33" s="188"/>
      <c r="N33" s="55">
        <v>32</v>
      </c>
      <c r="O33" s="37" t="e" cm="1" vm="23">
        <f t="array" ref="O33">badge_away</f>
        <v>#VALUE!</v>
      </c>
      <c r="P33" s="38" t="str">
        <f>IFERROR(INDEX(Calcs!A$2:A$37,MATCH($N33,Calcs!$CJ$2:$CJ$37,0)),"")</f>
        <v>Slovan Bratislava </v>
      </c>
      <c r="Q33" s="39">
        <f>IFERROR(INDEX(Calcs!$B$2:$AB$37,MATCH($N33,Calcs!$CJ$2:$CJ$37,0),MATCH(Q$1,Calcs!$B$1:$AB$1,0)),"")</f>
        <v>0</v>
      </c>
      <c r="R33" s="40">
        <f>IFERROR(INDEX(Calcs!$B$2:$AB$37,MATCH($N33,Calcs!$CJ$2:$CJ$37,0),MATCH(R$1,Calcs!$B$1:$AB$1,0)),"")</f>
        <v>0</v>
      </c>
      <c r="S33" s="40">
        <f>IFERROR(INDEX(Calcs!$B$2:$AB$37,MATCH($N33,Calcs!$CJ$2:$CJ$37,0),MATCH(S$1,Calcs!$B$1:$AB$1,0)),"")</f>
        <v>0</v>
      </c>
      <c r="T33" s="40">
        <f>IFERROR(INDEX(Calcs!$B$2:$AB$37,MATCH($N33,Calcs!$CJ$2:$CJ$37,0),MATCH(T$1,Calcs!$B$1:$AB$1,0)),"")</f>
        <v>0</v>
      </c>
      <c r="U33" s="40">
        <f>IFERROR(INDEX(Calcs!$B$2:$AB$37,MATCH($N33,Calcs!$CJ$2:$CJ$37,0),MATCH(U$1,Calcs!$B$1:$AB$1,0)),"")</f>
        <v>0</v>
      </c>
      <c r="V33" s="40">
        <f>IFERROR(INDEX(Calcs!$B$2:$AB$37,MATCH($N33,Calcs!$CJ$2:$CJ$37,0),MATCH(V$1,Calcs!$B$1:$AB$1,0)),"")</f>
        <v>0</v>
      </c>
      <c r="W33" s="40">
        <f>IFERROR(INDEX(Calcs!$B$2:$AB$37,MATCH($N33,Calcs!$CJ$2:$CJ$37,0),MATCH(W$1,Calcs!$B$1:$AB$1,0)),"")</f>
        <v>0</v>
      </c>
      <c r="X33" s="41">
        <f>IFERROR(INDEX(Calcs!$B$2:$AB$37,MATCH($N33,Calcs!$CJ$2:$CJ$37,0),MATCH(X$1,Calcs!$B$1:$AB$1,0)),"")</f>
        <v>0</v>
      </c>
      <c r="Y33" s="42">
        <f>IFERROR(INDEX(Calcs!$B$2:$AB$37,MATCH($N33,Calcs!$CJ$2:$CJ$37,0),MATCH(Y$1,Calcs!$B$1:$AB$1,0)),"")</f>
        <v>0</v>
      </c>
      <c r="Z33" s="40">
        <f>IFERROR(INDEX(Calcs!$B$2:$AB$37,MATCH($N33,Calcs!$CJ$2:$CJ$37,0),MATCH(Z$1,Calcs!$B$1:$AB$1,0)),"")</f>
        <v>0</v>
      </c>
      <c r="AA33" s="40">
        <f>IFERROR(INDEX(Calcs!$B$2:$AB$37,MATCH($N33,Calcs!$CJ$2:$CJ$37,0),MATCH(AA$1,Calcs!$B$1:$AB$1,0)),"")</f>
        <v>0</v>
      </c>
      <c r="AB33" s="40">
        <f>IFERROR(INDEX(Calcs!$B$2:$AB$37,MATCH($N33,Calcs!$CJ$2:$CJ$37,0),MATCH(AB$1,Calcs!$B$1:$AB$1,0)),"")</f>
        <v>0</v>
      </c>
      <c r="AC33" s="40">
        <f>IFERROR(INDEX(Calcs!$B$2:$AB$37,MATCH($N33,Calcs!$CJ$2:$CJ$37,0),MATCH(AC$1,Calcs!$B$1:$AB$1,0)),"")</f>
        <v>0</v>
      </c>
      <c r="AD33" s="40">
        <f>IFERROR(INDEX(Calcs!$B$2:$AB$37,MATCH($N33,Calcs!$CJ$2:$CJ$37,0),MATCH(AD$1,Calcs!$B$1:$AB$1,0)),"")</f>
        <v>0</v>
      </c>
      <c r="AE33" s="40">
        <f>IFERROR(INDEX(Calcs!$B$2:$AB$37,MATCH($N33,Calcs!$CJ$2:$CJ$37,0),MATCH(AE$1,Calcs!$B$1:$AB$1,0)),"")</f>
        <v>0</v>
      </c>
      <c r="AF33" s="41">
        <f>IFERROR(INDEX(Calcs!$B$2:$AB$37,MATCH($N33,Calcs!$CJ$2:$CJ$37,0),MATCH(AF$1,Calcs!$B$1:$AB$1,0)),"")</f>
        <v>0</v>
      </c>
      <c r="AG33" s="42">
        <f>IFERROR(INDEX(Calcs!$B$2:$AB$37,MATCH($N33,Calcs!$CJ$2:$CJ$37,0),MATCH(AG$1,Calcs!$B$1:$AB$1,0)),"")</f>
        <v>0</v>
      </c>
      <c r="AH33" s="40">
        <f>IFERROR(INDEX(Calcs!$B$2:$AB$37,MATCH($N33,Calcs!$CJ$2:$CJ$37,0),MATCH(AH$1,Calcs!$B$1:$AB$1,0)),"")</f>
        <v>0</v>
      </c>
      <c r="AI33" s="40">
        <f>IFERROR(INDEX(Calcs!$B$2:$AB$37,MATCH($N33,Calcs!$CJ$2:$CJ$37,0),MATCH(AI$1,Calcs!$B$1:$AB$1,0)),"")</f>
        <v>0</v>
      </c>
      <c r="AJ33" s="40">
        <f>IFERROR(INDEX(Calcs!$B$2:$AB$37,MATCH($N33,Calcs!$CJ$2:$CJ$37,0),MATCH(AJ$1,Calcs!$B$1:$AB$1,0)),"")</f>
        <v>0</v>
      </c>
      <c r="AK33" s="40">
        <f>IFERROR(INDEX(Calcs!$B$2:$AB$37,MATCH($N33,Calcs!$CJ$2:$CJ$37,0),MATCH(AK$1,Calcs!$B$1:$AB$1,0)),"")</f>
        <v>0</v>
      </c>
      <c r="AL33" s="40">
        <f>IFERROR(INDEX(Calcs!$B$2:$AB$37,MATCH($N33,Calcs!$CJ$2:$CJ$37,0),MATCH(AL$1,Calcs!$B$1:$AB$1,0)),"")</f>
        <v>0</v>
      </c>
      <c r="AM33" s="40">
        <f>IFERROR(INDEX(Calcs!$B$2:$AB$37,MATCH($N33,Calcs!$CJ$2:$CJ$37,0),MATCH(AM$1,Calcs!$B$1:$AB$1,0)),"")</f>
        <v>0</v>
      </c>
      <c r="AN33" s="43">
        <f>IFERROR(INDEX(Calcs!$B$2:$AB$37,MATCH($N33,Calcs!$CJ$2:$CJ$37,0),MATCH(AN$1,Calcs!$B$1:$AB$1,0)),"")</f>
        <v>0</v>
      </c>
      <c r="AO33" s="40">
        <f>IFERROR(INDEX(Calcs!$B$2:$AB$37,MATCH($N33,Calcs!$CJ$2:$CJ$37,0),MATCH(AO$1,Calcs!$B$1:$AB$1,0)),"")</f>
        <v>0</v>
      </c>
      <c r="AP33" s="40">
        <f>IFERROR(INDEX(Calcs!$B$2:$AB$37,MATCH($N33,Calcs!$CJ$2:$CJ$37,0),MATCH(AP$1,Calcs!$B$1:$AB$1,0)),"")</f>
        <v>0</v>
      </c>
      <c r="AQ33" s="43">
        <f>IFERROR(INDEX(Calcs!$B$2:$AB$37,MATCH($N33,Calcs!$CJ$2:$CJ$37,0),MATCH(AQ$1,Calcs!$B$1:$AB$1,0)),"")</f>
        <v>0</v>
      </c>
      <c r="AR33" s="188"/>
      <c r="AS33" s="202" t="str">
        <f>INDEX(Calcs!A$2:A$37,MATCH($N33,Calcs!$CF$2:$CF$37,0))</f>
        <v>Slovan Bratislava </v>
      </c>
      <c r="AT33" s="98"/>
      <c r="AU33" s="191">
        <f>INDEX(Calcs!$BZ$2:$BZ$37,MATCH($AS33,Calcs!$A$2:$A$37,0))</f>
        <v>1</v>
      </c>
      <c r="AV33" s="191">
        <f t="shared" si="1"/>
        <v>36</v>
      </c>
      <c r="AW33" s="191" t="str">
        <f t="shared" si="2"/>
        <v>1.36</v>
      </c>
      <c r="AX33" s="191">
        <f ca="1"/>
        <v>32</v>
      </c>
      <c r="AY33" s="188"/>
      <c r="AZ33" s="212" t="str">
        <f>TablaEquipos[[#This Row],[Team]]</f>
        <v>Slovan Bratislava </v>
      </c>
      <c r="BA33" s="100"/>
      <c r="BB33" s="188"/>
      <c r="BC33" s="188"/>
      <c r="BD33" s="188"/>
      <c r="BE33" s="188"/>
      <c r="BF33" s="319" t="str">
        <f t="shared" si="0"/>
        <v>Pendiente</v>
      </c>
      <c r="BI33" s="319">
        <f>SUMIF(Calcs!$A$2:$A$37,League!BI7,Calcs!$F$2:$F$37)</f>
        <v>0</v>
      </c>
      <c r="BJ33" s="319">
        <f>SUMIF(Calcs!$A$2:$A$37,League!BJ7,Calcs!$F$2:$F$37)</f>
        <v>0</v>
      </c>
      <c r="BK33" s="319">
        <f>SUMIF(Calcs!$A$2:$A$37,League!BK7,Calcs!$F$2:$F$37)</f>
        <v>0</v>
      </c>
      <c r="BL33" s="319">
        <f>SUMIF(Calcs!$A$2:$A$37,League!BL7,Calcs!$F$2:$F$37)</f>
        <v>0</v>
      </c>
      <c r="BM33" s="319">
        <f>SUMIF(Calcs!$A$2:$A$37,League!BM7,Calcs!$F$2:$F$37)</f>
        <v>0</v>
      </c>
      <c r="BN33" s="319">
        <f>SUMIF(Calcs!$A$2:$A$37,League!BN7,Calcs!$F$2:$F$37)</f>
        <v>0</v>
      </c>
      <c r="BO33" s="319">
        <f>SUMIF(Calcs!$A$2:$A$37,League!BO7,Calcs!$F$2:$F$37)</f>
        <v>0</v>
      </c>
      <c r="BP33" s="319">
        <f>SUMIF(Calcs!$A$2:$A$37,League!BP7,Calcs!$F$2:$F$37)</f>
        <v>0</v>
      </c>
      <c r="BQ33" s="319">
        <f>SUMIF(Calcs!$A$2:$A$37,League!BQ7,Calcs!$F$2:$F$37)</f>
        <v>0</v>
      </c>
      <c r="BR33" s="319">
        <f>SUMIF(Calcs!$A$2:$A$37,League!BR7,Calcs!$F$2:$F$37)</f>
        <v>0</v>
      </c>
      <c r="BS33" s="319">
        <f>SUMIF(Calcs!$A$2:$A$37,League!BS7,Calcs!$F$2:$F$37)</f>
        <v>0</v>
      </c>
      <c r="BT33" s="319">
        <f>SUMIF(Calcs!$A$2:$A$37,League!BT7,Calcs!$F$2:$F$37)</f>
        <v>0</v>
      </c>
      <c r="BU33" s="319">
        <f>SUMIF(Calcs!$A$2:$A$37,League!BU7,Calcs!$F$2:$F$37)</f>
        <v>0</v>
      </c>
      <c r="BV33" s="319">
        <f>SUMIF(Calcs!$A$2:$A$37,League!BV7,Calcs!$F$2:$F$37)</f>
        <v>0</v>
      </c>
      <c r="BW33" s="319">
        <f>SUMIF(Calcs!$A$2:$A$37,League!BW7,Calcs!$F$2:$F$37)</f>
        <v>0</v>
      </c>
      <c r="BX33" s="319">
        <f>SUMIF(Calcs!$A$2:$A$37,League!BX7,Calcs!$F$2:$F$37)</f>
        <v>0</v>
      </c>
      <c r="BY33" s="319">
        <f>SUMIF(Calcs!$A$2:$A$37,League!BY7,Calcs!$F$2:$F$37)</f>
        <v>0</v>
      </c>
      <c r="BZ33" s="319">
        <f>SUMIF(Calcs!$A$2:$A$37,League!BZ7,Calcs!$F$2:$F$37)</f>
        <v>0</v>
      </c>
      <c r="CA33" s="319">
        <f>SUMIF(Calcs!$A$2:$A$37,League!CA7,Calcs!$F$2:$F$37)</f>
        <v>0</v>
      </c>
      <c r="CB33" s="319">
        <f>SUMIF(Calcs!$A$2:$A$37,League!CB7,Calcs!$F$2:$F$37)</f>
        <v>0</v>
      </c>
      <c r="CC33" s="319">
        <f>SUMIF(Calcs!$A$2:$A$37,League!CC7,Calcs!$F$2:$F$37)</f>
        <v>0</v>
      </c>
      <c r="CD33" s="319">
        <f>SUMIF(Calcs!$A$2:$A$37,League!CD7,Calcs!$F$2:$F$37)</f>
        <v>0</v>
      </c>
      <c r="CE33" s="319">
        <f>SUMIF(Calcs!$A$2:$A$37,League!CE7,Calcs!$F$2:$F$37)</f>
        <v>0</v>
      </c>
      <c r="CF33" s="319">
        <f>SUMIF(Calcs!$A$2:$A$37,League!CF7,Calcs!$F$2:$F$37)</f>
        <v>0</v>
      </c>
      <c r="CG33" s="319">
        <f>SUMIF(Calcs!$A$2:$A$37,League!CG7,Calcs!$F$2:$F$37)</f>
        <v>0</v>
      </c>
      <c r="CH33" s="319">
        <f>SUMIF(Calcs!$A$2:$A$37,League!CH7,Calcs!$F$2:$F$37)</f>
        <v>0</v>
      </c>
      <c r="CI33" s="319">
        <f>SUMIF(Calcs!$A$2:$A$37,League!CI7,Calcs!$F$2:$F$37)</f>
        <v>0</v>
      </c>
      <c r="CJ33" s="319">
        <f>SUMIF(Calcs!$A$2:$A$37,League!CJ7,Calcs!$F$2:$F$37)</f>
        <v>0</v>
      </c>
      <c r="CK33" s="319">
        <f>SUMIF(Calcs!$A$2:$A$37,League!CK7,Calcs!$F$2:$F$37)</f>
        <v>0</v>
      </c>
      <c r="CL33" s="319">
        <f>SUMIF(Calcs!$A$2:$A$37,League!CL7,Calcs!$F$2:$F$37)</f>
        <v>0</v>
      </c>
      <c r="CM33" s="319">
        <f>SUMIF(Calcs!$A$2:$A$37,League!CM7,Calcs!$F$2:$F$37)</f>
        <v>0</v>
      </c>
      <c r="CN33" s="319">
        <f>SUMIF(Calcs!$A$2:$A$37,League!CN7,Calcs!$F$2:$F$37)</f>
        <v>0</v>
      </c>
      <c r="CO33" s="319">
        <f>SUMIF(Calcs!$A$2:$A$37,League!CO7,Calcs!$F$2:$F$37)</f>
        <v>0</v>
      </c>
      <c r="CP33" s="319">
        <f>SUMIF(Calcs!$A$2:$A$37,League!CP7,Calcs!$F$2:$F$37)</f>
        <v>0</v>
      </c>
      <c r="CQ33" s="319">
        <f>SUMIF(Calcs!$A$2:$A$37,League!CQ7,Calcs!$F$2:$F$37)</f>
        <v>0</v>
      </c>
      <c r="CR33" s="319">
        <f>SUMIF(Calcs!$A$2:$A$37,League!CR7,Calcs!$F$2:$F$37)</f>
        <v>0</v>
      </c>
      <c r="CS33" s="204"/>
      <c r="CT33" s="204"/>
      <c r="CU33" s="204"/>
      <c r="CV33" s="204"/>
    </row>
    <row r="34" spans="1:100" ht="17" customHeight="1">
      <c r="A34" s="227">
        <v>2</v>
      </c>
      <c r="B34" s="116">
        <f>Horarios!C34</f>
        <v>46309.875</v>
      </c>
      <c r="C34" s="117">
        <f>Horarios!C34</f>
        <v>46309.875</v>
      </c>
      <c r="D34" s="118" t="s">
        <v>821</v>
      </c>
      <c r="E34" s="222" t="e" cm="1" vm="20">
        <f t="array" ref="E34">badge_home</f>
        <v>#VALUE!</v>
      </c>
      <c r="F34" s="225"/>
      <c r="G34" s="88"/>
      <c r="H34" s="90"/>
      <c r="I34" s="224"/>
      <c r="J34" s="225" t="e" cm="1" vm="6">
        <f t="array" ref="J34">badge_away</f>
        <v>#VALUE!</v>
      </c>
      <c r="K34" s="133" t="s">
        <v>736</v>
      </c>
      <c r="L34" s="129"/>
      <c r="M34" s="188"/>
      <c r="N34" s="54">
        <v>33</v>
      </c>
      <c r="O34" s="37" t="e" cm="1" vm="24">
        <f t="array" ref="O34">badge_away</f>
        <v>#VALUE!</v>
      </c>
      <c r="P34" s="38" t="str">
        <f>IFERROR(INDEX(Calcs!A$2:A$37,MATCH($N34,Calcs!$CJ$2:$CJ$37,0)),"")</f>
        <v>Sporting Portugal</v>
      </c>
      <c r="Q34" s="39">
        <f>IFERROR(INDEX(Calcs!$B$2:$AB$37,MATCH($N34,Calcs!$CJ$2:$CJ$37,0),MATCH(Q$1,Calcs!$B$1:$AB$1,0)),"")</f>
        <v>0</v>
      </c>
      <c r="R34" s="40">
        <f>IFERROR(INDEX(Calcs!$B$2:$AB$37,MATCH($N34,Calcs!$CJ$2:$CJ$37,0),MATCH(R$1,Calcs!$B$1:$AB$1,0)),"")</f>
        <v>0</v>
      </c>
      <c r="S34" s="40">
        <f>IFERROR(INDEX(Calcs!$B$2:$AB$37,MATCH($N34,Calcs!$CJ$2:$CJ$37,0),MATCH(S$1,Calcs!$B$1:$AB$1,0)),"")</f>
        <v>0</v>
      </c>
      <c r="T34" s="40">
        <f>IFERROR(INDEX(Calcs!$B$2:$AB$37,MATCH($N34,Calcs!$CJ$2:$CJ$37,0),MATCH(T$1,Calcs!$B$1:$AB$1,0)),"")</f>
        <v>0</v>
      </c>
      <c r="U34" s="40">
        <f>IFERROR(INDEX(Calcs!$B$2:$AB$37,MATCH($N34,Calcs!$CJ$2:$CJ$37,0),MATCH(U$1,Calcs!$B$1:$AB$1,0)),"")</f>
        <v>0</v>
      </c>
      <c r="V34" s="40">
        <f>IFERROR(INDEX(Calcs!$B$2:$AB$37,MATCH($N34,Calcs!$CJ$2:$CJ$37,0),MATCH(V$1,Calcs!$B$1:$AB$1,0)),"")</f>
        <v>0</v>
      </c>
      <c r="W34" s="40">
        <f>IFERROR(INDEX(Calcs!$B$2:$AB$37,MATCH($N34,Calcs!$CJ$2:$CJ$37,0),MATCH(W$1,Calcs!$B$1:$AB$1,0)),"")</f>
        <v>0</v>
      </c>
      <c r="X34" s="41">
        <f>IFERROR(INDEX(Calcs!$B$2:$AB$37,MATCH($N34,Calcs!$CJ$2:$CJ$37,0),MATCH(X$1,Calcs!$B$1:$AB$1,0)),"")</f>
        <v>0</v>
      </c>
      <c r="Y34" s="42">
        <f>IFERROR(INDEX(Calcs!$B$2:$AB$37,MATCH($N34,Calcs!$CJ$2:$CJ$37,0),MATCH(Y$1,Calcs!$B$1:$AB$1,0)),"")</f>
        <v>0</v>
      </c>
      <c r="Z34" s="40">
        <f>IFERROR(INDEX(Calcs!$B$2:$AB$37,MATCH($N34,Calcs!$CJ$2:$CJ$37,0),MATCH(Z$1,Calcs!$B$1:$AB$1,0)),"")</f>
        <v>0</v>
      </c>
      <c r="AA34" s="40">
        <f>IFERROR(INDEX(Calcs!$B$2:$AB$37,MATCH($N34,Calcs!$CJ$2:$CJ$37,0),MATCH(AA$1,Calcs!$B$1:$AB$1,0)),"")</f>
        <v>0</v>
      </c>
      <c r="AB34" s="40">
        <f>IFERROR(INDEX(Calcs!$B$2:$AB$37,MATCH($N34,Calcs!$CJ$2:$CJ$37,0),MATCH(AB$1,Calcs!$B$1:$AB$1,0)),"")</f>
        <v>0</v>
      </c>
      <c r="AC34" s="40">
        <f>IFERROR(INDEX(Calcs!$B$2:$AB$37,MATCH($N34,Calcs!$CJ$2:$CJ$37,0),MATCH(AC$1,Calcs!$B$1:$AB$1,0)),"")</f>
        <v>0</v>
      </c>
      <c r="AD34" s="40">
        <f>IFERROR(INDEX(Calcs!$B$2:$AB$37,MATCH($N34,Calcs!$CJ$2:$CJ$37,0),MATCH(AD$1,Calcs!$B$1:$AB$1,0)),"")</f>
        <v>0</v>
      </c>
      <c r="AE34" s="40">
        <f>IFERROR(INDEX(Calcs!$B$2:$AB$37,MATCH($N34,Calcs!$CJ$2:$CJ$37,0),MATCH(AE$1,Calcs!$B$1:$AB$1,0)),"")</f>
        <v>0</v>
      </c>
      <c r="AF34" s="41">
        <f>IFERROR(INDEX(Calcs!$B$2:$AB$37,MATCH($N34,Calcs!$CJ$2:$CJ$37,0),MATCH(AF$1,Calcs!$B$1:$AB$1,0)),"")</f>
        <v>0</v>
      </c>
      <c r="AG34" s="42">
        <f>IFERROR(INDEX(Calcs!$B$2:$AB$37,MATCH($N34,Calcs!$CJ$2:$CJ$37,0),MATCH(AG$1,Calcs!$B$1:$AB$1,0)),"")</f>
        <v>0</v>
      </c>
      <c r="AH34" s="40">
        <f>IFERROR(INDEX(Calcs!$B$2:$AB$37,MATCH($N34,Calcs!$CJ$2:$CJ$37,0),MATCH(AH$1,Calcs!$B$1:$AB$1,0)),"")</f>
        <v>0</v>
      </c>
      <c r="AI34" s="40">
        <f>IFERROR(INDEX(Calcs!$B$2:$AB$37,MATCH($N34,Calcs!$CJ$2:$CJ$37,0),MATCH(AI$1,Calcs!$B$1:$AB$1,0)),"")</f>
        <v>0</v>
      </c>
      <c r="AJ34" s="40">
        <f>IFERROR(INDEX(Calcs!$B$2:$AB$37,MATCH($N34,Calcs!$CJ$2:$CJ$37,0),MATCH(AJ$1,Calcs!$B$1:$AB$1,0)),"")</f>
        <v>0</v>
      </c>
      <c r="AK34" s="40">
        <f>IFERROR(INDEX(Calcs!$B$2:$AB$37,MATCH($N34,Calcs!$CJ$2:$CJ$37,0),MATCH(AK$1,Calcs!$B$1:$AB$1,0)),"")</f>
        <v>0</v>
      </c>
      <c r="AL34" s="40">
        <f>IFERROR(INDEX(Calcs!$B$2:$AB$37,MATCH($N34,Calcs!$CJ$2:$CJ$37,0),MATCH(AL$1,Calcs!$B$1:$AB$1,0)),"")</f>
        <v>0</v>
      </c>
      <c r="AM34" s="40">
        <f>IFERROR(INDEX(Calcs!$B$2:$AB$37,MATCH($N34,Calcs!$CJ$2:$CJ$37,0),MATCH(AM$1,Calcs!$B$1:$AB$1,0)),"")</f>
        <v>0</v>
      </c>
      <c r="AN34" s="43">
        <f>IFERROR(INDEX(Calcs!$B$2:$AB$37,MATCH($N34,Calcs!$CJ$2:$CJ$37,0),MATCH(AN$1,Calcs!$B$1:$AB$1,0)),"")</f>
        <v>0</v>
      </c>
      <c r="AO34" s="40">
        <f>IFERROR(INDEX(Calcs!$B$2:$AB$37,MATCH($N34,Calcs!$CJ$2:$CJ$37,0),MATCH(AO$1,Calcs!$B$1:$AB$1,0)),"")</f>
        <v>0</v>
      </c>
      <c r="AP34" s="40">
        <f>IFERROR(INDEX(Calcs!$B$2:$AB$37,MATCH($N34,Calcs!$CJ$2:$CJ$37,0),MATCH(AP$1,Calcs!$B$1:$AB$1,0)),"")</f>
        <v>0</v>
      </c>
      <c r="AQ34" s="43">
        <f>IFERROR(INDEX(Calcs!$B$2:$AB$37,MATCH($N34,Calcs!$CJ$2:$CJ$37,0),MATCH(AQ$1,Calcs!$B$1:$AB$1,0)),"")</f>
        <v>0</v>
      </c>
      <c r="AR34" s="188"/>
      <c r="AS34" s="202" t="str">
        <f>INDEX(Calcs!A$2:A$37,MATCH($N34,Calcs!$CF$2:$CF$37,0))</f>
        <v>Sporting Portugal</v>
      </c>
      <c r="AT34" s="98"/>
      <c r="AU34" s="191">
        <f>INDEX(Calcs!$BZ$2:$BZ$37,MATCH($AS34,Calcs!$A$2:$A$37,0))</f>
        <v>1</v>
      </c>
      <c r="AV34" s="191">
        <f t="shared" si="1"/>
        <v>36</v>
      </c>
      <c r="AW34" s="191" t="str">
        <f t="shared" si="2"/>
        <v>1.36</v>
      </c>
      <c r="AX34" s="191">
        <f ca="1"/>
        <v>33</v>
      </c>
      <c r="AY34" s="188"/>
      <c r="AZ34" s="203" t="str">
        <f>TablaEquipos[[#This Row],[Team]]</f>
        <v>Sporting Portugal</v>
      </c>
      <c r="BA34" s="99"/>
      <c r="BB34" s="188"/>
      <c r="BC34" s="188"/>
      <c r="BD34" s="188"/>
      <c r="BE34" s="188"/>
      <c r="BF34" s="319" t="str">
        <f t="shared" ref="BF34:BF65" si="5">IF(OR(G34="",H34=""),"Pendiente",IF(G34&gt;H34,"Local",IF(G34&lt;H34,"Visitante","Empate")))</f>
        <v>Pendiente</v>
      </c>
      <c r="BI34" s="319">
        <f>SUMIF(Calcs!$A$2:$A$37,League!BI8,Calcs!$F$2:$F$37)</f>
        <v>0</v>
      </c>
      <c r="BJ34" s="319">
        <f>SUMIF(Calcs!$A$2:$A$37,League!BJ8,Calcs!$F$2:$F$37)</f>
        <v>0</v>
      </c>
      <c r="BK34" s="319">
        <f>SUMIF(Calcs!$A$2:$A$37,League!BK8,Calcs!$F$2:$F$37)</f>
        <v>0</v>
      </c>
      <c r="BL34" s="319">
        <f>SUMIF(Calcs!$A$2:$A$37,League!BL8,Calcs!$F$2:$F$37)</f>
        <v>0</v>
      </c>
      <c r="BM34" s="319">
        <f>SUMIF(Calcs!$A$2:$A$37,League!BM8,Calcs!$F$2:$F$37)</f>
        <v>0</v>
      </c>
      <c r="BN34" s="319">
        <f>SUMIF(Calcs!$A$2:$A$37,League!BN8,Calcs!$F$2:$F$37)</f>
        <v>0</v>
      </c>
      <c r="BO34" s="319">
        <f>SUMIF(Calcs!$A$2:$A$37,League!BO8,Calcs!$F$2:$F$37)</f>
        <v>0</v>
      </c>
      <c r="BP34" s="319">
        <f>SUMIF(Calcs!$A$2:$A$37,League!BP8,Calcs!$F$2:$F$37)</f>
        <v>0</v>
      </c>
      <c r="BQ34" s="319">
        <f>SUMIF(Calcs!$A$2:$A$37,League!BQ8,Calcs!$F$2:$F$37)</f>
        <v>0</v>
      </c>
      <c r="BR34" s="319">
        <f>SUMIF(Calcs!$A$2:$A$37,League!BR8,Calcs!$F$2:$F$37)</f>
        <v>0</v>
      </c>
      <c r="BS34" s="319">
        <f>SUMIF(Calcs!$A$2:$A$37,League!BS8,Calcs!$F$2:$F$37)</f>
        <v>0</v>
      </c>
      <c r="BT34" s="319">
        <f>SUMIF(Calcs!$A$2:$A$37,League!BT8,Calcs!$F$2:$F$37)</f>
        <v>0</v>
      </c>
      <c r="BU34" s="319">
        <f>SUMIF(Calcs!$A$2:$A$37,League!BU8,Calcs!$F$2:$F$37)</f>
        <v>0</v>
      </c>
      <c r="BV34" s="319">
        <f>SUMIF(Calcs!$A$2:$A$37,League!BV8,Calcs!$F$2:$F$37)</f>
        <v>0</v>
      </c>
      <c r="BW34" s="319">
        <f>SUMIF(Calcs!$A$2:$A$37,League!BW8,Calcs!$F$2:$F$37)</f>
        <v>0</v>
      </c>
      <c r="BX34" s="319">
        <f>SUMIF(Calcs!$A$2:$A$37,League!BX8,Calcs!$F$2:$F$37)</f>
        <v>0</v>
      </c>
      <c r="BY34" s="319">
        <f>SUMIF(Calcs!$A$2:$A$37,League!BY8,Calcs!$F$2:$F$37)</f>
        <v>0</v>
      </c>
      <c r="BZ34" s="319">
        <f>SUMIF(Calcs!$A$2:$A$37,League!BZ8,Calcs!$F$2:$F$37)</f>
        <v>0</v>
      </c>
      <c r="CA34" s="319">
        <f>SUMIF(Calcs!$A$2:$A$37,League!CA8,Calcs!$F$2:$F$37)</f>
        <v>0</v>
      </c>
      <c r="CB34" s="319">
        <f>SUMIF(Calcs!$A$2:$A$37,League!CB8,Calcs!$F$2:$F$37)</f>
        <v>0</v>
      </c>
      <c r="CC34" s="319">
        <f>SUMIF(Calcs!$A$2:$A$37,League!CC8,Calcs!$F$2:$F$37)</f>
        <v>0</v>
      </c>
      <c r="CD34" s="319">
        <f>SUMIF(Calcs!$A$2:$A$37,League!CD8,Calcs!$F$2:$F$37)</f>
        <v>0</v>
      </c>
      <c r="CE34" s="319">
        <f>SUMIF(Calcs!$A$2:$A$37,League!CE8,Calcs!$F$2:$F$37)</f>
        <v>0</v>
      </c>
      <c r="CF34" s="319">
        <f>SUMIF(Calcs!$A$2:$A$37,League!CF8,Calcs!$F$2:$F$37)</f>
        <v>0</v>
      </c>
      <c r="CG34" s="319">
        <f>SUMIF(Calcs!$A$2:$A$37,League!CG8,Calcs!$F$2:$F$37)</f>
        <v>0</v>
      </c>
      <c r="CH34" s="319">
        <f>SUMIF(Calcs!$A$2:$A$37,League!CH8,Calcs!$F$2:$F$37)</f>
        <v>0</v>
      </c>
      <c r="CI34" s="319">
        <f>SUMIF(Calcs!$A$2:$A$37,League!CI8,Calcs!$F$2:$F$37)</f>
        <v>0</v>
      </c>
      <c r="CJ34" s="319">
        <f>SUMIF(Calcs!$A$2:$A$37,League!CJ8,Calcs!$F$2:$F$37)</f>
        <v>0</v>
      </c>
      <c r="CK34" s="319">
        <f>SUMIF(Calcs!$A$2:$A$37,League!CK8,Calcs!$F$2:$F$37)</f>
        <v>0</v>
      </c>
      <c r="CL34" s="319">
        <f>SUMIF(Calcs!$A$2:$A$37,League!CL8,Calcs!$F$2:$F$37)</f>
        <v>0</v>
      </c>
      <c r="CM34" s="319">
        <f>SUMIF(Calcs!$A$2:$A$37,League!CM8,Calcs!$F$2:$F$37)</f>
        <v>0</v>
      </c>
      <c r="CN34" s="319">
        <f>SUMIF(Calcs!$A$2:$A$37,League!CN8,Calcs!$F$2:$F$37)</f>
        <v>0</v>
      </c>
      <c r="CO34" s="319">
        <f>SUMIF(Calcs!$A$2:$A$37,League!CO8,Calcs!$F$2:$F$37)</f>
        <v>0</v>
      </c>
      <c r="CP34" s="319">
        <f>SUMIF(Calcs!$A$2:$A$37,League!CP8,Calcs!$F$2:$F$37)</f>
        <v>0</v>
      </c>
      <c r="CQ34" s="319">
        <f>SUMIF(Calcs!$A$2:$A$37,League!CQ8,Calcs!$F$2:$F$37)</f>
        <v>0</v>
      </c>
      <c r="CR34" s="319">
        <f>SUMIF(Calcs!$A$2:$A$37,League!CR8,Calcs!$F$2:$F$37)</f>
        <v>0</v>
      </c>
      <c r="CS34" s="204"/>
      <c r="CT34" s="204"/>
      <c r="CU34" s="204"/>
      <c r="CV34" s="204"/>
    </row>
    <row r="35" spans="1:100" ht="17" customHeight="1">
      <c r="A35" s="227">
        <v>2</v>
      </c>
      <c r="B35" s="116">
        <f>Horarios!C35</f>
        <v>46309.875</v>
      </c>
      <c r="C35" s="117">
        <f>Horarios!C35</f>
        <v>46309.875</v>
      </c>
      <c r="D35" s="118" t="s">
        <v>740</v>
      </c>
      <c r="E35" s="222" t="e" cm="1" vm="9">
        <f t="array" ref="E35">badge_home</f>
        <v>#VALUE!</v>
      </c>
      <c r="F35" s="225"/>
      <c r="G35" s="88"/>
      <c r="H35" s="90"/>
      <c r="I35" s="224"/>
      <c r="J35" s="225" t="e" cm="1" vm="22">
        <f t="array" ref="J35">badge_away</f>
        <v>#VALUE!</v>
      </c>
      <c r="K35" s="133" t="s">
        <v>698</v>
      </c>
      <c r="L35" s="129"/>
      <c r="M35" s="188"/>
      <c r="N35" s="54">
        <v>34</v>
      </c>
      <c r="O35" s="37" t="e" cm="1" vm="18">
        <f t="array" ref="O35">badge_away</f>
        <v>#VALUE!</v>
      </c>
      <c r="P35" s="38" t="str">
        <f>IFERROR(INDEX(Calcs!A$2:A$37,MATCH($N35,Calcs!$CJ$2:$CJ$37,0)),"")</f>
        <v>Stuttgart</v>
      </c>
      <c r="Q35" s="39">
        <f>IFERROR(INDEX(Calcs!$B$2:$AB$37,MATCH($N35,Calcs!$CJ$2:$CJ$37,0),MATCH(Q$1,Calcs!$B$1:$AB$1,0)),"")</f>
        <v>0</v>
      </c>
      <c r="R35" s="40">
        <f>IFERROR(INDEX(Calcs!$B$2:$AB$37,MATCH($N35,Calcs!$CJ$2:$CJ$37,0),MATCH(R$1,Calcs!$B$1:$AB$1,0)),"")</f>
        <v>0</v>
      </c>
      <c r="S35" s="40">
        <f>IFERROR(INDEX(Calcs!$B$2:$AB$37,MATCH($N35,Calcs!$CJ$2:$CJ$37,0),MATCH(S$1,Calcs!$B$1:$AB$1,0)),"")</f>
        <v>0</v>
      </c>
      <c r="T35" s="40">
        <f>IFERROR(INDEX(Calcs!$B$2:$AB$37,MATCH($N35,Calcs!$CJ$2:$CJ$37,0),MATCH(T$1,Calcs!$B$1:$AB$1,0)),"")</f>
        <v>0</v>
      </c>
      <c r="U35" s="40">
        <f>IFERROR(INDEX(Calcs!$B$2:$AB$37,MATCH($N35,Calcs!$CJ$2:$CJ$37,0),MATCH(U$1,Calcs!$B$1:$AB$1,0)),"")</f>
        <v>0</v>
      </c>
      <c r="V35" s="40">
        <f>IFERROR(INDEX(Calcs!$B$2:$AB$37,MATCH($N35,Calcs!$CJ$2:$CJ$37,0),MATCH(V$1,Calcs!$B$1:$AB$1,0)),"")</f>
        <v>0</v>
      </c>
      <c r="W35" s="40">
        <f>IFERROR(INDEX(Calcs!$B$2:$AB$37,MATCH($N35,Calcs!$CJ$2:$CJ$37,0),MATCH(W$1,Calcs!$B$1:$AB$1,0)),"")</f>
        <v>0</v>
      </c>
      <c r="X35" s="41">
        <f>IFERROR(INDEX(Calcs!$B$2:$AB$37,MATCH($N35,Calcs!$CJ$2:$CJ$37,0),MATCH(X$1,Calcs!$B$1:$AB$1,0)),"")</f>
        <v>0</v>
      </c>
      <c r="Y35" s="42">
        <f>IFERROR(INDEX(Calcs!$B$2:$AB$37,MATCH($N35,Calcs!$CJ$2:$CJ$37,0),MATCH(Y$1,Calcs!$B$1:$AB$1,0)),"")</f>
        <v>0</v>
      </c>
      <c r="Z35" s="40">
        <f>IFERROR(INDEX(Calcs!$B$2:$AB$37,MATCH($N35,Calcs!$CJ$2:$CJ$37,0),MATCH(Z$1,Calcs!$B$1:$AB$1,0)),"")</f>
        <v>0</v>
      </c>
      <c r="AA35" s="40">
        <f>IFERROR(INDEX(Calcs!$B$2:$AB$37,MATCH($N35,Calcs!$CJ$2:$CJ$37,0),MATCH(AA$1,Calcs!$B$1:$AB$1,0)),"")</f>
        <v>0</v>
      </c>
      <c r="AB35" s="40">
        <f>IFERROR(INDEX(Calcs!$B$2:$AB$37,MATCH($N35,Calcs!$CJ$2:$CJ$37,0),MATCH(AB$1,Calcs!$B$1:$AB$1,0)),"")</f>
        <v>0</v>
      </c>
      <c r="AC35" s="40">
        <f>IFERROR(INDEX(Calcs!$B$2:$AB$37,MATCH($N35,Calcs!$CJ$2:$CJ$37,0),MATCH(AC$1,Calcs!$B$1:$AB$1,0)),"")</f>
        <v>0</v>
      </c>
      <c r="AD35" s="40">
        <f>IFERROR(INDEX(Calcs!$B$2:$AB$37,MATCH($N35,Calcs!$CJ$2:$CJ$37,0),MATCH(AD$1,Calcs!$B$1:$AB$1,0)),"")</f>
        <v>0</v>
      </c>
      <c r="AE35" s="40">
        <f>IFERROR(INDEX(Calcs!$B$2:$AB$37,MATCH($N35,Calcs!$CJ$2:$CJ$37,0),MATCH(AE$1,Calcs!$B$1:$AB$1,0)),"")</f>
        <v>0</v>
      </c>
      <c r="AF35" s="41">
        <f>IFERROR(INDEX(Calcs!$B$2:$AB$37,MATCH($N35,Calcs!$CJ$2:$CJ$37,0),MATCH(AF$1,Calcs!$B$1:$AB$1,0)),"")</f>
        <v>0</v>
      </c>
      <c r="AG35" s="42">
        <f>IFERROR(INDEX(Calcs!$B$2:$AB$37,MATCH($N35,Calcs!$CJ$2:$CJ$37,0),MATCH(AG$1,Calcs!$B$1:$AB$1,0)),"")</f>
        <v>0</v>
      </c>
      <c r="AH35" s="40">
        <f>IFERROR(INDEX(Calcs!$B$2:$AB$37,MATCH($N35,Calcs!$CJ$2:$CJ$37,0),MATCH(AH$1,Calcs!$B$1:$AB$1,0)),"")</f>
        <v>0</v>
      </c>
      <c r="AI35" s="40">
        <f>IFERROR(INDEX(Calcs!$B$2:$AB$37,MATCH($N35,Calcs!$CJ$2:$CJ$37,0),MATCH(AI$1,Calcs!$B$1:$AB$1,0)),"")</f>
        <v>0</v>
      </c>
      <c r="AJ35" s="40">
        <f>IFERROR(INDEX(Calcs!$B$2:$AB$37,MATCH($N35,Calcs!$CJ$2:$CJ$37,0),MATCH(AJ$1,Calcs!$B$1:$AB$1,0)),"")</f>
        <v>0</v>
      </c>
      <c r="AK35" s="40">
        <f>IFERROR(INDEX(Calcs!$B$2:$AB$37,MATCH($N35,Calcs!$CJ$2:$CJ$37,0),MATCH(AK$1,Calcs!$B$1:$AB$1,0)),"")</f>
        <v>0</v>
      </c>
      <c r="AL35" s="40">
        <f>IFERROR(INDEX(Calcs!$B$2:$AB$37,MATCH($N35,Calcs!$CJ$2:$CJ$37,0),MATCH(AL$1,Calcs!$B$1:$AB$1,0)),"")</f>
        <v>0</v>
      </c>
      <c r="AM35" s="40">
        <f>IFERROR(INDEX(Calcs!$B$2:$AB$37,MATCH($N35,Calcs!$CJ$2:$CJ$37,0),MATCH(AM$1,Calcs!$B$1:$AB$1,0)),"")</f>
        <v>0</v>
      </c>
      <c r="AN35" s="43">
        <f>IFERROR(INDEX(Calcs!$B$2:$AB$37,MATCH($N35,Calcs!$CJ$2:$CJ$37,0),MATCH(AN$1,Calcs!$B$1:$AB$1,0)),"")</f>
        <v>0</v>
      </c>
      <c r="AO35" s="40">
        <f>IFERROR(INDEX(Calcs!$B$2:$AB$37,MATCH($N35,Calcs!$CJ$2:$CJ$37,0),MATCH(AO$1,Calcs!$B$1:$AB$1,0)),"")</f>
        <v>0</v>
      </c>
      <c r="AP35" s="40">
        <f>IFERROR(INDEX(Calcs!$B$2:$AB$37,MATCH($N35,Calcs!$CJ$2:$CJ$37,0),MATCH(AP$1,Calcs!$B$1:$AB$1,0)),"")</f>
        <v>0</v>
      </c>
      <c r="AQ35" s="43">
        <f>IFERROR(INDEX(Calcs!$B$2:$AB$37,MATCH($N35,Calcs!$CJ$2:$CJ$37,0),MATCH(AQ$1,Calcs!$B$1:$AB$1,0)),"")</f>
        <v>0</v>
      </c>
      <c r="AR35" s="188"/>
      <c r="AS35" s="202" t="str">
        <f>INDEX(Calcs!A$2:A$37,MATCH($N35,Calcs!$CF$2:$CF$37,0))</f>
        <v>Stuttgart</v>
      </c>
      <c r="AT35" s="98"/>
      <c r="AU35" s="191">
        <f>INDEX(Calcs!$BZ$2:$BZ$37,MATCH($AS35,Calcs!$A$2:$A$37,0))</f>
        <v>1</v>
      </c>
      <c r="AV35" s="191">
        <f t="shared" si="1"/>
        <v>36</v>
      </c>
      <c r="AW35" s="191" t="str">
        <f t="shared" si="2"/>
        <v>1.36</v>
      </c>
      <c r="AX35" s="191">
        <f ca="1"/>
        <v>34</v>
      </c>
      <c r="AY35" s="188"/>
      <c r="AZ35" s="212" t="str">
        <f>TablaEquipos[[#This Row],[Team]]</f>
        <v>Stuttgart</v>
      </c>
      <c r="BA35" s="100"/>
      <c r="BB35" s="188"/>
      <c r="BC35" s="188"/>
      <c r="BD35" s="188"/>
      <c r="BE35" s="188"/>
      <c r="BF35" s="319" t="str">
        <f t="shared" si="5"/>
        <v>Pendiente</v>
      </c>
      <c r="BI35" s="319">
        <f>SUMIF(Calcs!$A$2:$A$37,League!BI9,Calcs!$F$2:$F$37)</f>
        <v>0</v>
      </c>
      <c r="BJ35" s="319">
        <f>SUMIF(Calcs!$A$2:$A$37,League!BJ9,Calcs!$F$2:$F$37)</f>
        <v>0</v>
      </c>
      <c r="BK35" s="319">
        <f>SUMIF(Calcs!$A$2:$A$37,League!BK9,Calcs!$F$2:$F$37)</f>
        <v>0</v>
      </c>
      <c r="BL35" s="319">
        <f>SUMIF(Calcs!$A$2:$A$37,League!BL9,Calcs!$F$2:$F$37)</f>
        <v>0</v>
      </c>
      <c r="BM35" s="319">
        <f>SUMIF(Calcs!$A$2:$A$37,League!BM9,Calcs!$F$2:$F$37)</f>
        <v>0</v>
      </c>
      <c r="BN35" s="319">
        <f>SUMIF(Calcs!$A$2:$A$37,League!BN9,Calcs!$F$2:$F$37)</f>
        <v>0</v>
      </c>
      <c r="BO35" s="319">
        <f>SUMIF(Calcs!$A$2:$A$37,League!BO9,Calcs!$F$2:$F$37)</f>
        <v>0</v>
      </c>
      <c r="BP35" s="319">
        <f>SUMIF(Calcs!$A$2:$A$37,League!BP9,Calcs!$F$2:$F$37)</f>
        <v>0</v>
      </c>
      <c r="BQ35" s="319">
        <f>SUMIF(Calcs!$A$2:$A$37,League!BQ9,Calcs!$F$2:$F$37)</f>
        <v>0</v>
      </c>
      <c r="BR35" s="319">
        <f>SUMIF(Calcs!$A$2:$A$37,League!BR9,Calcs!$F$2:$F$37)</f>
        <v>0</v>
      </c>
      <c r="BS35" s="319">
        <f>SUMIF(Calcs!$A$2:$A$37,League!BS9,Calcs!$F$2:$F$37)</f>
        <v>0</v>
      </c>
      <c r="BT35" s="319">
        <f>SUMIF(Calcs!$A$2:$A$37,League!BT9,Calcs!$F$2:$F$37)</f>
        <v>0</v>
      </c>
      <c r="BU35" s="319">
        <f>SUMIF(Calcs!$A$2:$A$37,League!BU9,Calcs!$F$2:$F$37)</f>
        <v>0</v>
      </c>
      <c r="BV35" s="319">
        <f>SUMIF(Calcs!$A$2:$A$37,League!BV9,Calcs!$F$2:$F$37)</f>
        <v>0</v>
      </c>
      <c r="BW35" s="319">
        <f>SUMIF(Calcs!$A$2:$A$37,League!BW9,Calcs!$F$2:$F$37)</f>
        <v>0</v>
      </c>
      <c r="BX35" s="319">
        <f>SUMIF(Calcs!$A$2:$A$37,League!BX9,Calcs!$F$2:$F$37)</f>
        <v>0</v>
      </c>
      <c r="BY35" s="319">
        <f>SUMIF(Calcs!$A$2:$A$37,League!BY9,Calcs!$F$2:$F$37)</f>
        <v>0</v>
      </c>
      <c r="BZ35" s="319">
        <f>SUMIF(Calcs!$A$2:$A$37,League!BZ9,Calcs!$F$2:$F$37)</f>
        <v>0</v>
      </c>
      <c r="CA35" s="319">
        <f>SUMIF(Calcs!$A$2:$A$37,League!CA9,Calcs!$F$2:$F$37)</f>
        <v>0</v>
      </c>
      <c r="CB35" s="319">
        <f>SUMIF(Calcs!$A$2:$A$37,League!CB9,Calcs!$F$2:$F$37)</f>
        <v>0</v>
      </c>
      <c r="CC35" s="319">
        <f>SUMIF(Calcs!$A$2:$A$37,League!CC9,Calcs!$F$2:$F$37)</f>
        <v>0</v>
      </c>
      <c r="CD35" s="319">
        <f>SUMIF(Calcs!$A$2:$A$37,League!CD9,Calcs!$F$2:$F$37)</f>
        <v>0</v>
      </c>
      <c r="CE35" s="319">
        <f>SUMIF(Calcs!$A$2:$A$37,League!CE9,Calcs!$F$2:$F$37)</f>
        <v>0</v>
      </c>
      <c r="CF35" s="319">
        <f>SUMIF(Calcs!$A$2:$A$37,League!CF9,Calcs!$F$2:$F$37)</f>
        <v>0</v>
      </c>
      <c r="CG35" s="319">
        <f>SUMIF(Calcs!$A$2:$A$37,League!CG9,Calcs!$F$2:$F$37)</f>
        <v>0</v>
      </c>
      <c r="CH35" s="319">
        <f>SUMIF(Calcs!$A$2:$A$37,League!CH9,Calcs!$F$2:$F$37)</f>
        <v>0</v>
      </c>
      <c r="CI35" s="319">
        <f>SUMIF(Calcs!$A$2:$A$37,League!CI9,Calcs!$F$2:$F$37)</f>
        <v>0</v>
      </c>
      <c r="CJ35" s="319">
        <f>SUMIF(Calcs!$A$2:$A$37,League!CJ9,Calcs!$F$2:$F$37)</f>
        <v>0</v>
      </c>
      <c r="CK35" s="319">
        <f>SUMIF(Calcs!$A$2:$A$37,League!CK9,Calcs!$F$2:$F$37)</f>
        <v>0</v>
      </c>
      <c r="CL35" s="319">
        <f>SUMIF(Calcs!$A$2:$A$37,League!CL9,Calcs!$F$2:$F$37)</f>
        <v>0</v>
      </c>
      <c r="CM35" s="319">
        <f>SUMIF(Calcs!$A$2:$A$37,League!CM9,Calcs!$F$2:$F$37)</f>
        <v>0</v>
      </c>
      <c r="CN35" s="319">
        <f>SUMIF(Calcs!$A$2:$A$37,League!CN9,Calcs!$F$2:$F$37)</f>
        <v>0</v>
      </c>
      <c r="CO35" s="319">
        <f>SUMIF(Calcs!$A$2:$A$37,League!CO9,Calcs!$F$2:$F$37)</f>
        <v>0</v>
      </c>
      <c r="CP35" s="319">
        <f>SUMIF(Calcs!$A$2:$A$37,League!CP9,Calcs!$F$2:$F$37)</f>
        <v>0</v>
      </c>
      <c r="CQ35" s="319">
        <f>SUMIF(Calcs!$A$2:$A$37,League!CQ9,Calcs!$F$2:$F$37)</f>
        <v>0</v>
      </c>
      <c r="CR35" s="319">
        <f>SUMIF(Calcs!$A$2:$A$37,League!CR9,Calcs!$F$2:$F$37)</f>
        <v>0</v>
      </c>
      <c r="CS35" s="204"/>
      <c r="CT35" s="204"/>
      <c r="CU35" s="204"/>
      <c r="CV35" s="204"/>
    </row>
    <row r="36" spans="1:100" ht="17" customHeight="1">
      <c r="A36" s="227">
        <v>2</v>
      </c>
      <c r="B36" s="116">
        <f>Horarios!C36</f>
        <v>46309.875</v>
      </c>
      <c r="C36" s="117">
        <f>Horarios!C36</f>
        <v>46309.875</v>
      </c>
      <c r="D36" s="118" t="s">
        <v>1009</v>
      </c>
      <c r="E36" s="222" t="e" cm="1" vm="12">
        <f t="array" ref="E36">badge_home</f>
        <v>#VALUE!</v>
      </c>
      <c r="F36" s="225"/>
      <c r="G36" s="88"/>
      <c r="H36" s="90"/>
      <c r="I36" s="224"/>
      <c r="J36" s="225" t="e" cm="1" vm="8">
        <f t="array" ref="J36">badge_away</f>
        <v>#VALUE!</v>
      </c>
      <c r="K36" s="133" t="s">
        <v>1005</v>
      </c>
      <c r="L36" s="129"/>
      <c r="M36" s="188"/>
      <c r="N36" s="55">
        <v>35</v>
      </c>
      <c r="O36" s="37" t="e" cm="1" vm="19">
        <f t="array" ref="O36">badge_away</f>
        <v>#VALUE!</v>
      </c>
      <c r="P36" s="38" t="str">
        <f>IFERROR(INDEX(Calcs!A$2:A$37,MATCH($N36,Calcs!$CJ$2:$CJ$37,0)),"")</f>
        <v>Viking</v>
      </c>
      <c r="Q36" s="39">
        <f>IFERROR(INDEX(Calcs!$B$2:$AB$37,MATCH($N36,Calcs!$CJ$2:$CJ$37,0),MATCH(Q$1,Calcs!$B$1:$AB$1,0)),"")</f>
        <v>0</v>
      </c>
      <c r="R36" s="40">
        <f>IFERROR(INDEX(Calcs!$B$2:$AB$37,MATCH($N36,Calcs!$CJ$2:$CJ$37,0),MATCH(R$1,Calcs!$B$1:$AB$1,0)),"")</f>
        <v>0</v>
      </c>
      <c r="S36" s="40">
        <f>IFERROR(INDEX(Calcs!$B$2:$AB$37,MATCH($N36,Calcs!$CJ$2:$CJ$37,0),MATCH(S$1,Calcs!$B$1:$AB$1,0)),"")</f>
        <v>0</v>
      </c>
      <c r="T36" s="40">
        <f>IFERROR(INDEX(Calcs!$B$2:$AB$37,MATCH($N36,Calcs!$CJ$2:$CJ$37,0),MATCH(T$1,Calcs!$B$1:$AB$1,0)),"")</f>
        <v>0</v>
      </c>
      <c r="U36" s="40">
        <f>IFERROR(INDEX(Calcs!$B$2:$AB$37,MATCH($N36,Calcs!$CJ$2:$CJ$37,0),MATCH(U$1,Calcs!$B$1:$AB$1,0)),"")</f>
        <v>0</v>
      </c>
      <c r="V36" s="40">
        <f>IFERROR(INDEX(Calcs!$B$2:$AB$37,MATCH($N36,Calcs!$CJ$2:$CJ$37,0),MATCH(V$1,Calcs!$B$1:$AB$1,0)),"")</f>
        <v>0</v>
      </c>
      <c r="W36" s="40">
        <f>IFERROR(INDEX(Calcs!$B$2:$AB$37,MATCH($N36,Calcs!$CJ$2:$CJ$37,0),MATCH(W$1,Calcs!$B$1:$AB$1,0)),"")</f>
        <v>0</v>
      </c>
      <c r="X36" s="41">
        <f>IFERROR(INDEX(Calcs!$B$2:$AB$37,MATCH($N36,Calcs!$CJ$2:$CJ$37,0),MATCH(X$1,Calcs!$B$1:$AB$1,0)),"")</f>
        <v>0</v>
      </c>
      <c r="Y36" s="42">
        <f>IFERROR(INDEX(Calcs!$B$2:$AB$37,MATCH($N36,Calcs!$CJ$2:$CJ$37,0),MATCH(Y$1,Calcs!$B$1:$AB$1,0)),"")</f>
        <v>0</v>
      </c>
      <c r="Z36" s="40">
        <f>IFERROR(INDEX(Calcs!$B$2:$AB$37,MATCH($N36,Calcs!$CJ$2:$CJ$37,0),MATCH(Z$1,Calcs!$B$1:$AB$1,0)),"")</f>
        <v>0</v>
      </c>
      <c r="AA36" s="40">
        <f>IFERROR(INDEX(Calcs!$B$2:$AB$37,MATCH($N36,Calcs!$CJ$2:$CJ$37,0),MATCH(AA$1,Calcs!$B$1:$AB$1,0)),"")</f>
        <v>0</v>
      </c>
      <c r="AB36" s="40">
        <f>IFERROR(INDEX(Calcs!$B$2:$AB$37,MATCH($N36,Calcs!$CJ$2:$CJ$37,0),MATCH(AB$1,Calcs!$B$1:$AB$1,0)),"")</f>
        <v>0</v>
      </c>
      <c r="AC36" s="40">
        <f>IFERROR(INDEX(Calcs!$B$2:$AB$37,MATCH($N36,Calcs!$CJ$2:$CJ$37,0),MATCH(AC$1,Calcs!$B$1:$AB$1,0)),"")</f>
        <v>0</v>
      </c>
      <c r="AD36" s="40">
        <f>IFERROR(INDEX(Calcs!$B$2:$AB$37,MATCH($N36,Calcs!$CJ$2:$CJ$37,0),MATCH(AD$1,Calcs!$B$1:$AB$1,0)),"")</f>
        <v>0</v>
      </c>
      <c r="AE36" s="40">
        <f>IFERROR(INDEX(Calcs!$B$2:$AB$37,MATCH($N36,Calcs!$CJ$2:$CJ$37,0),MATCH(AE$1,Calcs!$B$1:$AB$1,0)),"")</f>
        <v>0</v>
      </c>
      <c r="AF36" s="41">
        <f>IFERROR(INDEX(Calcs!$B$2:$AB$37,MATCH($N36,Calcs!$CJ$2:$CJ$37,0),MATCH(AF$1,Calcs!$B$1:$AB$1,0)),"")</f>
        <v>0</v>
      </c>
      <c r="AG36" s="42">
        <f>IFERROR(INDEX(Calcs!$B$2:$AB$37,MATCH($N36,Calcs!$CJ$2:$CJ$37,0),MATCH(AG$1,Calcs!$B$1:$AB$1,0)),"")</f>
        <v>0</v>
      </c>
      <c r="AH36" s="40">
        <f>IFERROR(INDEX(Calcs!$B$2:$AB$37,MATCH($N36,Calcs!$CJ$2:$CJ$37,0),MATCH(AH$1,Calcs!$B$1:$AB$1,0)),"")</f>
        <v>0</v>
      </c>
      <c r="AI36" s="40">
        <f>IFERROR(INDEX(Calcs!$B$2:$AB$37,MATCH($N36,Calcs!$CJ$2:$CJ$37,0),MATCH(AI$1,Calcs!$B$1:$AB$1,0)),"")</f>
        <v>0</v>
      </c>
      <c r="AJ36" s="40">
        <f>IFERROR(INDEX(Calcs!$B$2:$AB$37,MATCH($N36,Calcs!$CJ$2:$CJ$37,0),MATCH(AJ$1,Calcs!$B$1:$AB$1,0)),"")</f>
        <v>0</v>
      </c>
      <c r="AK36" s="40">
        <f>IFERROR(INDEX(Calcs!$B$2:$AB$37,MATCH($N36,Calcs!$CJ$2:$CJ$37,0),MATCH(AK$1,Calcs!$B$1:$AB$1,0)),"")</f>
        <v>0</v>
      </c>
      <c r="AL36" s="40">
        <f>IFERROR(INDEX(Calcs!$B$2:$AB$37,MATCH($N36,Calcs!$CJ$2:$CJ$37,0),MATCH(AL$1,Calcs!$B$1:$AB$1,0)),"")</f>
        <v>0</v>
      </c>
      <c r="AM36" s="40">
        <f>IFERROR(INDEX(Calcs!$B$2:$AB$37,MATCH($N36,Calcs!$CJ$2:$CJ$37,0),MATCH(AM$1,Calcs!$B$1:$AB$1,0)),"")</f>
        <v>0</v>
      </c>
      <c r="AN36" s="43">
        <f>IFERROR(INDEX(Calcs!$B$2:$AB$37,MATCH($N36,Calcs!$CJ$2:$CJ$37,0),MATCH(AN$1,Calcs!$B$1:$AB$1,0)),"")</f>
        <v>0</v>
      </c>
      <c r="AO36" s="40">
        <f>IFERROR(INDEX(Calcs!$B$2:$AB$37,MATCH($N36,Calcs!$CJ$2:$CJ$37,0),MATCH(AO$1,Calcs!$B$1:$AB$1,0)),"")</f>
        <v>0</v>
      </c>
      <c r="AP36" s="40">
        <f>IFERROR(INDEX(Calcs!$B$2:$AB$37,MATCH($N36,Calcs!$CJ$2:$CJ$37,0),MATCH(AP$1,Calcs!$B$1:$AB$1,0)),"")</f>
        <v>0</v>
      </c>
      <c r="AQ36" s="43">
        <f>IFERROR(INDEX(Calcs!$B$2:$AB$37,MATCH($N36,Calcs!$CJ$2:$CJ$37,0),MATCH(AQ$1,Calcs!$B$1:$AB$1,0)),"")</f>
        <v>0</v>
      </c>
      <c r="AR36" s="188"/>
      <c r="AS36" s="202" t="str">
        <f>INDEX(Calcs!A$2:A$37,MATCH($N36,Calcs!$CF$2:$CF$37,0))</f>
        <v>Viking</v>
      </c>
      <c r="AT36" s="98"/>
      <c r="AU36" s="191">
        <f>INDEX(Calcs!$BZ$2:$BZ$37,MATCH($AS36,Calcs!$A$2:$A$37,0))</f>
        <v>1</v>
      </c>
      <c r="AV36" s="191">
        <f t="shared" si="1"/>
        <v>36</v>
      </c>
      <c r="AW36" s="191" t="str">
        <f t="shared" si="2"/>
        <v>1.36</v>
      </c>
      <c r="AX36" s="191">
        <f ca="1"/>
        <v>35</v>
      </c>
      <c r="AY36" s="188"/>
      <c r="AZ36" s="203" t="str">
        <f>TablaEquipos[[#This Row],[Team]]</f>
        <v>Viking</v>
      </c>
      <c r="BA36" s="99"/>
      <c r="BB36" s="188"/>
      <c r="BC36" s="188"/>
      <c r="BD36" s="188"/>
      <c r="BE36" s="188"/>
      <c r="BF36" s="319" t="str">
        <f t="shared" si="5"/>
        <v>Pendiente</v>
      </c>
      <c r="BH36" s="321" t="s">
        <v>747</v>
      </c>
      <c r="BI36" s="545">
        <f>SUM(BI28:BI35)</f>
        <v>0</v>
      </c>
      <c r="BJ36" s="545">
        <f>SUM(BJ28:BJ35)</f>
        <v>0</v>
      </c>
      <c r="BK36" s="545">
        <f t="shared" ref="BK36:CR36" si="6">SUM(BK28:BK35)</f>
        <v>0</v>
      </c>
      <c r="BL36" s="545">
        <f t="shared" si="6"/>
        <v>0</v>
      </c>
      <c r="BM36" s="545">
        <f t="shared" si="6"/>
        <v>0</v>
      </c>
      <c r="BN36" s="545">
        <f t="shared" si="6"/>
        <v>0</v>
      </c>
      <c r="BO36" s="545">
        <f t="shared" si="6"/>
        <v>0</v>
      </c>
      <c r="BP36" s="545">
        <f t="shared" si="6"/>
        <v>0</v>
      </c>
      <c r="BQ36" s="545">
        <f t="shared" si="6"/>
        <v>0</v>
      </c>
      <c r="BR36" s="545">
        <f t="shared" si="6"/>
        <v>0</v>
      </c>
      <c r="BS36" s="545">
        <f t="shared" si="6"/>
        <v>0</v>
      </c>
      <c r="BT36" s="545">
        <f t="shared" si="6"/>
        <v>0</v>
      </c>
      <c r="BU36" s="545">
        <f t="shared" si="6"/>
        <v>0</v>
      </c>
      <c r="BV36" s="545">
        <f t="shared" si="6"/>
        <v>0</v>
      </c>
      <c r="BW36" s="545">
        <f t="shared" si="6"/>
        <v>0</v>
      </c>
      <c r="BX36" s="545">
        <f t="shared" si="6"/>
        <v>0</v>
      </c>
      <c r="BY36" s="545">
        <f t="shared" si="6"/>
        <v>0</v>
      </c>
      <c r="BZ36" s="545">
        <f t="shared" si="6"/>
        <v>0</v>
      </c>
      <c r="CA36" s="545">
        <f t="shared" si="6"/>
        <v>0</v>
      </c>
      <c r="CB36" s="545">
        <f t="shared" si="6"/>
        <v>0</v>
      </c>
      <c r="CC36" s="545">
        <f t="shared" si="6"/>
        <v>0</v>
      </c>
      <c r="CD36" s="545">
        <f t="shared" si="6"/>
        <v>0</v>
      </c>
      <c r="CE36" s="545">
        <f t="shared" si="6"/>
        <v>0</v>
      </c>
      <c r="CF36" s="545">
        <f t="shared" si="6"/>
        <v>0</v>
      </c>
      <c r="CG36" s="545">
        <f t="shared" si="6"/>
        <v>0</v>
      </c>
      <c r="CH36" s="545">
        <f t="shared" si="6"/>
        <v>0</v>
      </c>
      <c r="CI36" s="545">
        <f t="shared" si="6"/>
        <v>0</v>
      </c>
      <c r="CJ36" s="545">
        <f t="shared" si="6"/>
        <v>0</v>
      </c>
      <c r="CK36" s="545">
        <f t="shared" si="6"/>
        <v>0</v>
      </c>
      <c r="CL36" s="545">
        <f t="shared" si="6"/>
        <v>0</v>
      </c>
      <c r="CM36" s="545">
        <f t="shared" si="6"/>
        <v>0</v>
      </c>
      <c r="CN36" s="545">
        <f t="shared" si="6"/>
        <v>0</v>
      </c>
      <c r="CO36" s="545">
        <f t="shared" si="6"/>
        <v>0</v>
      </c>
      <c r="CP36" s="545">
        <f t="shared" si="6"/>
        <v>0</v>
      </c>
      <c r="CQ36" s="545">
        <f t="shared" si="6"/>
        <v>0</v>
      </c>
      <c r="CR36" s="545">
        <f t="shared" si="6"/>
        <v>0</v>
      </c>
      <c r="CS36" s="220"/>
      <c r="CT36" s="220"/>
      <c r="CU36" s="220"/>
      <c r="CV36" s="220"/>
    </row>
    <row r="37" spans="1:100" ht="17" customHeight="1" thickBot="1">
      <c r="A37" s="229">
        <v>2</v>
      </c>
      <c r="B37" s="116">
        <f>Horarios!C37</f>
        <v>46309.875</v>
      </c>
      <c r="C37" s="117">
        <f>Horarios!C37</f>
        <v>46309.875</v>
      </c>
      <c r="D37" s="118" t="s">
        <v>1027</v>
      </c>
      <c r="E37" s="222" t="e" cm="1" vm="23">
        <f t="array" ref="E37">badge_home</f>
        <v>#VALUE!</v>
      </c>
      <c r="F37" s="230"/>
      <c r="G37" s="88"/>
      <c r="H37" s="91"/>
      <c r="I37" s="224"/>
      <c r="J37" s="225" t="e" cm="1" vm="18">
        <f t="array" ref="J37">badge_away</f>
        <v>#VALUE!</v>
      </c>
      <c r="K37" s="133" t="s">
        <v>694</v>
      </c>
      <c r="L37" s="129"/>
      <c r="M37" s="188"/>
      <c r="N37" s="56">
        <v>36</v>
      </c>
      <c r="O37" s="44" t="e" cm="1" vm="7">
        <f t="array" ref="O37">badge_away</f>
        <v>#VALUE!</v>
      </c>
      <c r="P37" s="45" t="str">
        <f>IFERROR(INDEX(Calcs!A$2:A$37,MATCH($N37,Calcs!$CJ$2:$CJ$37,0)),"")</f>
        <v>Villarreal</v>
      </c>
      <c r="Q37" s="46">
        <f>IFERROR(INDEX(Calcs!$B$2:$AB$37,MATCH($N37,Calcs!$CJ$2:$CJ$37,0),MATCH(Q$1,Calcs!$B$1:$AB$1,0)),"")</f>
        <v>0</v>
      </c>
      <c r="R37" s="47">
        <f>IFERROR(INDEX(Calcs!$B$2:$AB$37,MATCH($N37,Calcs!$CJ$2:$CJ$37,0),MATCH(R$1,Calcs!$B$1:$AB$1,0)),"")</f>
        <v>0</v>
      </c>
      <c r="S37" s="47">
        <f>IFERROR(INDEX(Calcs!$B$2:$AB$37,MATCH($N37,Calcs!$CJ$2:$CJ$37,0),MATCH(S$1,Calcs!$B$1:$AB$1,0)),"")</f>
        <v>0</v>
      </c>
      <c r="T37" s="47">
        <f>IFERROR(INDEX(Calcs!$B$2:$AB$37,MATCH($N37,Calcs!$CJ$2:$CJ$37,0),MATCH(T$1,Calcs!$B$1:$AB$1,0)),"")</f>
        <v>0</v>
      </c>
      <c r="U37" s="47">
        <f>IFERROR(INDEX(Calcs!$B$2:$AB$37,MATCH($N37,Calcs!$CJ$2:$CJ$37,0),MATCH(U$1,Calcs!$B$1:$AB$1,0)),"")</f>
        <v>0</v>
      </c>
      <c r="V37" s="47">
        <f>IFERROR(INDEX(Calcs!$B$2:$AB$37,MATCH($N37,Calcs!$CJ$2:$CJ$37,0),MATCH(V$1,Calcs!$B$1:$AB$1,0)),"")</f>
        <v>0</v>
      </c>
      <c r="W37" s="47">
        <f>IFERROR(INDEX(Calcs!$B$2:$AB$37,MATCH($N37,Calcs!$CJ$2:$CJ$37,0),MATCH(W$1,Calcs!$B$1:$AB$1,0)),"")</f>
        <v>0</v>
      </c>
      <c r="X37" s="48">
        <f>IFERROR(INDEX(Calcs!$B$2:$AB$37,MATCH($N37,Calcs!$CJ$2:$CJ$37,0),MATCH(X$1,Calcs!$B$1:$AB$1,0)),"")</f>
        <v>0</v>
      </c>
      <c r="Y37" s="49">
        <f>IFERROR(INDEX(Calcs!$B$2:$AB$37,MATCH($N37,Calcs!$CJ$2:$CJ$37,0),MATCH(Y$1,Calcs!$B$1:$AB$1,0)),"")</f>
        <v>0</v>
      </c>
      <c r="Z37" s="47">
        <f>IFERROR(INDEX(Calcs!$B$2:$AB$37,MATCH($N37,Calcs!$CJ$2:$CJ$37,0),MATCH(Z$1,Calcs!$B$1:$AB$1,0)),"")</f>
        <v>0</v>
      </c>
      <c r="AA37" s="47">
        <f>IFERROR(INDEX(Calcs!$B$2:$AB$37,MATCH($N37,Calcs!$CJ$2:$CJ$37,0),MATCH(AA$1,Calcs!$B$1:$AB$1,0)),"")</f>
        <v>0</v>
      </c>
      <c r="AB37" s="47">
        <f>IFERROR(INDEX(Calcs!$B$2:$AB$37,MATCH($N37,Calcs!$CJ$2:$CJ$37,0),MATCH(AB$1,Calcs!$B$1:$AB$1,0)),"")</f>
        <v>0</v>
      </c>
      <c r="AC37" s="47">
        <f>IFERROR(INDEX(Calcs!$B$2:$AB$37,MATCH($N37,Calcs!$CJ$2:$CJ$37,0),MATCH(AC$1,Calcs!$B$1:$AB$1,0)),"")</f>
        <v>0</v>
      </c>
      <c r="AD37" s="47">
        <f>IFERROR(INDEX(Calcs!$B$2:$AB$37,MATCH($N37,Calcs!$CJ$2:$CJ$37,0),MATCH(AD$1,Calcs!$B$1:$AB$1,0)),"")</f>
        <v>0</v>
      </c>
      <c r="AE37" s="47">
        <f>IFERROR(INDEX(Calcs!$B$2:$AB$37,MATCH($N37,Calcs!$CJ$2:$CJ$37,0),MATCH(AE$1,Calcs!$B$1:$AB$1,0)),"")</f>
        <v>0</v>
      </c>
      <c r="AF37" s="48">
        <f>IFERROR(INDEX(Calcs!$B$2:$AB$37,MATCH($N37,Calcs!$CJ$2:$CJ$37,0),MATCH(AF$1,Calcs!$B$1:$AB$1,0)),"")</f>
        <v>0</v>
      </c>
      <c r="AG37" s="49">
        <f>IFERROR(INDEX(Calcs!$B$2:$AB$37,MATCH($N37,Calcs!$CJ$2:$CJ$37,0),MATCH(AG$1,Calcs!$B$1:$AB$1,0)),"")</f>
        <v>0</v>
      </c>
      <c r="AH37" s="47">
        <f>IFERROR(INDEX(Calcs!$B$2:$AB$37,MATCH($N37,Calcs!$CJ$2:$CJ$37,0),MATCH(AH$1,Calcs!$B$1:$AB$1,0)),"")</f>
        <v>0</v>
      </c>
      <c r="AI37" s="47">
        <f>IFERROR(INDEX(Calcs!$B$2:$AB$37,MATCH($N37,Calcs!$CJ$2:$CJ$37,0),MATCH(AI$1,Calcs!$B$1:$AB$1,0)),"")</f>
        <v>0</v>
      </c>
      <c r="AJ37" s="47">
        <f>IFERROR(INDEX(Calcs!$B$2:$AB$37,MATCH($N37,Calcs!$CJ$2:$CJ$37,0),MATCH(AJ$1,Calcs!$B$1:$AB$1,0)),"")</f>
        <v>0</v>
      </c>
      <c r="AK37" s="47">
        <f>IFERROR(INDEX(Calcs!$B$2:$AB$37,MATCH($N37,Calcs!$CJ$2:$CJ$37,0),MATCH(AK$1,Calcs!$B$1:$AB$1,0)),"")</f>
        <v>0</v>
      </c>
      <c r="AL37" s="47">
        <f>IFERROR(INDEX(Calcs!$B$2:$AB$37,MATCH($N37,Calcs!$CJ$2:$CJ$37,0),MATCH(AL$1,Calcs!$B$1:$AB$1,0)),"")</f>
        <v>0</v>
      </c>
      <c r="AM37" s="47">
        <f>IFERROR(INDEX(Calcs!$B$2:$AB$37,MATCH($N37,Calcs!$CJ$2:$CJ$37,0),MATCH(AM$1,Calcs!$B$1:$AB$1,0)),"")</f>
        <v>0</v>
      </c>
      <c r="AN37" s="50">
        <f>IFERROR(INDEX(Calcs!$B$2:$AB$37,MATCH($N37,Calcs!$CJ$2:$CJ$37,0),MATCH(AN$1,Calcs!$B$1:$AB$1,0)),"")</f>
        <v>0</v>
      </c>
      <c r="AO37" s="47">
        <f>IFERROR(INDEX(Calcs!$B$2:$AB$37,MATCH($N37,Calcs!$CJ$2:$CJ$37,0),MATCH(AO$1,Calcs!$B$1:$AB$1,0)),"")</f>
        <v>0</v>
      </c>
      <c r="AP37" s="47">
        <f>IFERROR(INDEX(Calcs!$B$2:$AB$37,MATCH($N37,Calcs!$CJ$2:$CJ$37,0),MATCH(AP$1,Calcs!$B$1:$AB$1,0)),"")</f>
        <v>0</v>
      </c>
      <c r="AQ37" s="50">
        <f>IFERROR(INDEX(Calcs!$B$2:$AB$37,MATCH($N37,Calcs!$CJ$2:$CJ$37,0),MATCH(AQ$1,Calcs!$B$1:$AB$1,0)),"")</f>
        <v>0</v>
      </c>
      <c r="AR37" s="188"/>
      <c r="AS37" s="202" t="str">
        <f>INDEX(Calcs!A$2:A$37,MATCH($N37,Calcs!$CF$2:$CF$37,0))</f>
        <v>Villarreal</v>
      </c>
      <c r="AT37" s="98"/>
      <c r="AU37" s="191">
        <f>INDEX(Calcs!$BZ$2:$BZ$37,MATCH($AS37,Calcs!$A$2:$A$37,0))</f>
        <v>1</v>
      </c>
      <c r="AV37" s="191">
        <f t="shared" si="1"/>
        <v>36</v>
      </c>
      <c r="AW37" s="191" t="str">
        <f t="shared" si="2"/>
        <v>1.36</v>
      </c>
      <c r="AX37" s="191">
        <f ca="1"/>
        <v>36</v>
      </c>
      <c r="AY37" s="188"/>
      <c r="AZ37" s="231" t="str">
        <f>TablaEquipos[[#This Row],[Team]]</f>
        <v>Villarreal</v>
      </c>
      <c r="BA37" s="101"/>
      <c r="BB37" s="188"/>
      <c r="BC37" s="188"/>
      <c r="BD37" s="188"/>
      <c r="BE37" s="188"/>
      <c r="BF37" s="319" t="str">
        <f t="shared" si="5"/>
        <v>Pendiente</v>
      </c>
      <c r="BM37" s="322"/>
    </row>
    <row r="38" spans="1:100" ht="17" customHeight="1" thickTop="1" thickBot="1">
      <c r="A38" s="213">
        <v>3</v>
      </c>
      <c r="B38" s="113">
        <f>Horarios!C38</f>
        <v>46315.78125</v>
      </c>
      <c r="C38" s="114">
        <f>Horarios!C38</f>
        <v>46315.78125</v>
      </c>
      <c r="D38" s="115" t="s">
        <v>1028</v>
      </c>
      <c r="E38" s="214" t="e" cm="1" vm="28">
        <f t="array" ref="E38">badge_home</f>
        <v>#VALUE!</v>
      </c>
      <c r="F38" s="217"/>
      <c r="G38" s="86"/>
      <c r="H38" s="87"/>
      <c r="I38" s="216"/>
      <c r="J38" s="217" t="e" cm="1" vm="35">
        <f t="array" ref="J38">badge_away</f>
        <v>#VALUE!</v>
      </c>
      <c r="K38" s="132" t="s">
        <v>995</v>
      </c>
      <c r="L38" s="226" t="s">
        <v>813</v>
      </c>
      <c r="AR38" s="188"/>
      <c r="AS38" s="188"/>
      <c r="AT38" s="188"/>
      <c r="AU38" s="188"/>
      <c r="AV38" s="188"/>
      <c r="AW38" s="188"/>
      <c r="AX38" s="188"/>
      <c r="AY38" s="188"/>
      <c r="AZ38" s="188"/>
      <c r="BA38" s="188"/>
      <c r="BB38" s="188"/>
      <c r="BC38" s="188"/>
      <c r="BD38" s="188"/>
      <c r="BE38" s="188"/>
      <c r="BF38" s="319" t="str">
        <f t="shared" si="5"/>
        <v>Pendiente</v>
      </c>
      <c r="CT38" s="232"/>
      <c r="CU38" s="232"/>
      <c r="CV38" s="232"/>
    </row>
    <row r="39" spans="1:100" ht="17" customHeight="1">
      <c r="A39" s="206">
        <v>3</v>
      </c>
      <c r="B39" s="110">
        <f>Horarios!C39</f>
        <v>46315.78125</v>
      </c>
      <c r="C39" s="111">
        <f>Horarios!C39</f>
        <v>46315.78125</v>
      </c>
      <c r="D39" s="112" t="s">
        <v>1030</v>
      </c>
      <c r="E39" s="207" t="e" cm="1" vm="34">
        <f t="array" ref="E39">badge_home</f>
        <v>#VALUE!</v>
      </c>
      <c r="F39" s="210"/>
      <c r="G39" s="84"/>
      <c r="H39" s="85"/>
      <c r="I39" s="209"/>
      <c r="J39" s="210" t="e" cm="1" vm="6">
        <f t="array" ref="J39">badge_away</f>
        <v>#VALUE!</v>
      </c>
      <c r="K39" s="211" t="s">
        <v>736</v>
      </c>
      <c r="L39" s="129"/>
      <c r="M39" s="188"/>
      <c r="N39" s="201"/>
      <c r="O39" s="201"/>
      <c r="P39" s="201"/>
      <c r="Q39" s="201"/>
      <c r="R39" s="201"/>
      <c r="S39" s="201"/>
      <c r="T39" s="201"/>
      <c r="U39" s="201"/>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188"/>
      <c r="AS39" s="188"/>
      <c r="AT39" s="188"/>
      <c r="AU39" s="188"/>
      <c r="AV39" s="188"/>
      <c r="AW39" s="188"/>
      <c r="AX39" s="188"/>
      <c r="AY39" s="188"/>
      <c r="AZ39" s="188"/>
      <c r="BA39" s="188"/>
      <c r="BB39" s="188"/>
      <c r="BC39" s="188"/>
      <c r="BD39" s="188"/>
      <c r="BE39" s="188"/>
      <c r="BF39" s="319" t="str">
        <f t="shared" si="5"/>
        <v>Pendiente</v>
      </c>
      <c r="CT39" s="204"/>
      <c r="CU39" s="204"/>
      <c r="CV39" s="204"/>
    </row>
    <row r="40" spans="1:100" ht="17" customHeight="1">
      <c r="A40" s="213">
        <v>3</v>
      </c>
      <c r="B40" s="113">
        <f>Horarios!C40</f>
        <v>46315.875</v>
      </c>
      <c r="C40" s="114">
        <f>Horarios!C40</f>
        <v>46315.875</v>
      </c>
      <c r="D40" s="115" t="s">
        <v>1006</v>
      </c>
      <c r="E40" s="214" t="e" cm="1" vm="29">
        <f t="array" ref="E40">badge_home</f>
        <v>#VALUE!</v>
      </c>
      <c r="F40" s="217"/>
      <c r="G40" s="86"/>
      <c r="H40" s="87"/>
      <c r="I40" s="216"/>
      <c r="J40" s="217" t="e" cm="1" vm="23">
        <f t="array" ref="J40">badge_away</f>
        <v>#VALUE!</v>
      </c>
      <c r="K40" s="132" t="s">
        <v>1027</v>
      </c>
      <c r="L40" s="129"/>
      <c r="M40" s="188"/>
      <c r="N40" s="201"/>
      <c r="O40" s="201"/>
      <c r="P40" s="233" t="s">
        <v>772</v>
      </c>
      <c r="Q40" s="201"/>
      <c r="R40" s="201"/>
      <c r="S40" s="201"/>
      <c r="T40" s="201"/>
      <c r="U40" s="201"/>
      <c r="V40" s="201"/>
      <c r="W40" s="201"/>
      <c r="X40" s="201"/>
      <c r="Y40" s="201"/>
      <c r="Z40" s="201"/>
      <c r="AA40" s="201"/>
      <c r="AB40" s="201"/>
      <c r="AC40" s="201"/>
      <c r="AD40" s="201"/>
      <c r="AE40" s="201"/>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319" t="str">
        <f t="shared" si="5"/>
        <v>Pendiente</v>
      </c>
      <c r="CT40" s="204"/>
      <c r="CU40" s="204"/>
      <c r="CV40" s="204"/>
    </row>
    <row r="41" spans="1:100" ht="17" customHeight="1">
      <c r="A41" s="206">
        <v>3</v>
      </c>
      <c r="B41" s="110">
        <f>Horarios!C41</f>
        <v>46315.875</v>
      </c>
      <c r="C41" s="111">
        <f>Horarios!C41</f>
        <v>46315.875</v>
      </c>
      <c r="D41" s="112" t="s">
        <v>1005</v>
      </c>
      <c r="E41" s="207" t="e" cm="1" vm="8">
        <f t="array" ref="E41">badge_home</f>
        <v>#VALUE!</v>
      </c>
      <c r="F41" s="210"/>
      <c r="G41" s="84"/>
      <c r="H41" s="85"/>
      <c r="I41" s="209"/>
      <c r="J41" s="210" t="e" cm="1" vm="30">
        <f t="array" ref="J41">badge_away</f>
        <v>#VALUE!</v>
      </c>
      <c r="K41" s="211" t="s">
        <v>741</v>
      </c>
      <c r="L41" s="129"/>
      <c r="M41" s="188"/>
      <c r="N41" s="201"/>
      <c r="O41" s="201"/>
      <c r="P41" s="234" t="s">
        <v>773</v>
      </c>
      <c r="Q41" s="201"/>
      <c r="R41" s="201"/>
      <c r="S41" s="201"/>
      <c r="T41" s="201"/>
      <c r="U41" s="201"/>
      <c r="V41" s="201"/>
      <c r="W41" s="201"/>
      <c r="X41" s="201"/>
      <c r="Y41" s="201"/>
      <c r="Z41" s="201"/>
      <c r="AA41" s="201"/>
      <c r="AB41" s="201"/>
      <c r="AC41" s="201"/>
      <c r="AD41" s="201"/>
      <c r="AE41" s="201"/>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319" t="str">
        <f t="shared" si="5"/>
        <v>Pendiente</v>
      </c>
    </row>
    <row r="42" spans="1:100" ht="17" customHeight="1">
      <c r="A42" s="213">
        <v>3</v>
      </c>
      <c r="B42" s="113">
        <f>Horarios!C42</f>
        <v>46315.875</v>
      </c>
      <c r="C42" s="114">
        <f>Horarios!C42</f>
        <v>46315.875</v>
      </c>
      <c r="D42" s="115" t="s">
        <v>739</v>
      </c>
      <c r="E42" s="214" t="e" cm="1" vm="21">
        <f t="array" ref="E42">badge_home</f>
        <v>#VALUE!</v>
      </c>
      <c r="F42" s="217"/>
      <c r="G42" s="86"/>
      <c r="H42" s="87"/>
      <c r="I42" s="216"/>
      <c r="J42" s="217" t="e" cm="1" vm="7">
        <f t="array" ref="J42">badge_away</f>
        <v>#VALUE!</v>
      </c>
      <c r="K42" s="132" t="s">
        <v>982</v>
      </c>
      <c r="L42" s="129"/>
      <c r="M42" s="188"/>
      <c r="N42" s="201"/>
      <c r="O42" s="201"/>
      <c r="P42" s="234" t="s">
        <v>774</v>
      </c>
      <c r="Q42" s="201"/>
      <c r="R42" s="201"/>
      <c r="S42" s="201"/>
      <c r="T42" s="201"/>
      <c r="U42" s="201"/>
      <c r="V42" s="201"/>
      <c r="W42" s="201"/>
      <c r="X42" s="201"/>
      <c r="Y42" s="201"/>
      <c r="Z42" s="201"/>
      <c r="AA42" s="201"/>
      <c r="AB42" s="201"/>
      <c r="AC42" s="201"/>
      <c r="AD42" s="201"/>
      <c r="AE42" s="201"/>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319" t="str">
        <f t="shared" si="5"/>
        <v>Pendiente</v>
      </c>
    </row>
    <row r="43" spans="1:100" ht="17" customHeight="1">
      <c r="A43" s="206">
        <v>3</v>
      </c>
      <c r="B43" s="110">
        <f>Horarios!C43</f>
        <v>46315.875</v>
      </c>
      <c r="C43" s="111">
        <f>Horarios!C43</f>
        <v>46315.875</v>
      </c>
      <c r="D43" s="112" t="s">
        <v>740</v>
      </c>
      <c r="E43" s="207" t="e" cm="1" vm="9">
        <f t="array" ref="E43">badge_home</f>
        <v>#VALUE!</v>
      </c>
      <c r="F43" s="210"/>
      <c r="G43" s="84"/>
      <c r="H43" s="85"/>
      <c r="I43" s="209"/>
      <c r="J43" s="210" t="e" cm="1" vm="1">
        <f t="array" ref="J43">badge_away</f>
        <v>#VALUE!</v>
      </c>
      <c r="K43" s="211" t="s">
        <v>1031</v>
      </c>
      <c r="L43" s="129"/>
      <c r="M43" s="188"/>
      <c r="N43" s="201"/>
      <c r="O43" s="201"/>
      <c r="P43" s="234" t="s">
        <v>775</v>
      </c>
      <c r="Q43" s="201"/>
      <c r="R43" s="201"/>
      <c r="S43" s="201"/>
      <c r="T43" s="201"/>
      <c r="U43" s="201"/>
      <c r="V43" s="201"/>
      <c r="W43" s="201"/>
      <c r="X43" s="201"/>
      <c r="Y43" s="201"/>
      <c r="Z43" s="201"/>
      <c r="AA43" s="201"/>
      <c r="AB43" s="201"/>
      <c r="AC43" s="201"/>
      <c r="AD43" s="201"/>
      <c r="AE43" s="201"/>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319" t="str">
        <f t="shared" si="5"/>
        <v>Pendiente</v>
      </c>
    </row>
    <row r="44" spans="1:100" ht="17" customHeight="1">
      <c r="A44" s="213">
        <v>3</v>
      </c>
      <c r="B44" s="113">
        <f>Horarios!C44</f>
        <v>46315.875</v>
      </c>
      <c r="C44" s="114">
        <f>Horarios!C44</f>
        <v>46315.875</v>
      </c>
      <c r="D44" s="115" t="s">
        <v>698</v>
      </c>
      <c r="E44" s="214" t="e" cm="1" vm="22">
        <f t="array" ref="E44">badge_home</f>
        <v>#VALUE!</v>
      </c>
      <c r="F44" s="217"/>
      <c r="G44" s="86"/>
      <c r="H44" s="87"/>
      <c r="I44" s="216"/>
      <c r="J44" s="217" t="e" cm="1" vm="13">
        <f t="array" ref="J44">badge_away</f>
        <v>#VALUE!</v>
      </c>
      <c r="K44" s="132" t="s">
        <v>692</v>
      </c>
      <c r="L44" s="129"/>
      <c r="M44" s="188"/>
      <c r="N44" s="201"/>
      <c r="O44" s="201"/>
      <c r="P44" s="234" t="s">
        <v>776</v>
      </c>
      <c r="Q44" s="201"/>
      <c r="R44" s="201"/>
      <c r="S44" s="201"/>
      <c r="T44" s="201"/>
      <c r="U44" s="201"/>
      <c r="V44" s="201"/>
      <c r="W44" s="201"/>
      <c r="X44" s="201"/>
      <c r="Y44" s="201"/>
      <c r="Z44" s="201"/>
      <c r="AA44" s="201"/>
      <c r="AB44" s="201"/>
      <c r="AC44" s="201"/>
      <c r="AD44" s="201"/>
      <c r="AE44" s="201"/>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319" t="str">
        <f t="shared" si="5"/>
        <v>Pendiente</v>
      </c>
    </row>
    <row r="45" spans="1:100" ht="17" customHeight="1">
      <c r="A45" s="206">
        <v>3</v>
      </c>
      <c r="B45" s="110">
        <f>Horarios!C45</f>
        <v>46315.875</v>
      </c>
      <c r="C45" s="111">
        <f>Horarios!C45</f>
        <v>46315.875</v>
      </c>
      <c r="D45" s="112" t="s">
        <v>980</v>
      </c>
      <c r="E45" s="207" t="e" cm="1" vm="27">
        <f t="array" ref="E45">badge_home</f>
        <v>#VALUE!</v>
      </c>
      <c r="F45" s="210"/>
      <c r="G45" s="84"/>
      <c r="H45" s="85"/>
      <c r="I45" s="209"/>
      <c r="J45" s="210" t="e" cm="1" vm="20">
        <f t="array" ref="J45">badge_away</f>
        <v>#VALUE!</v>
      </c>
      <c r="K45" s="211" t="s">
        <v>821</v>
      </c>
      <c r="L45" s="129"/>
      <c r="M45" s="188"/>
      <c r="N45" s="201"/>
      <c r="O45" s="201"/>
      <c r="P45" s="234" t="s">
        <v>777</v>
      </c>
      <c r="Q45" s="201"/>
      <c r="R45" s="201"/>
      <c r="S45" s="201"/>
      <c r="T45" s="201"/>
      <c r="U45" s="201"/>
      <c r="V45" s="201"/>
      <c r="W45" s="201"/>
      <c r="X45" s="201"/>
      <c r="Y45" s="201"/>
      <c r="Z45" s="201"/>
      <c r="AA45" s="201"/>
      <c r="AB45" s="201"/>
      <c r="AC45" s="201"/>
      <c r="AD45" s="201"/>
      <c r="AE45" s="201"/>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319" t="str">
        <f t="shared" si="5"/>
        <v>Pendiente</v>
      </c>
    </row>
    <row r="46" spans="1:100" ht="17" customHeight="1">
      <c r="A46" s="213">
        <v>3</v>
      </c>
      <c r="B46" s="113">
        <f>Horarios!C46</f>
        <v>46315.875</v>
      </c>
      <c r="C46" s="114">
        <f>Horarios!C46</f>
        <v>46315.875</v>
      </c>
      <c r="D46" s="115" t="s">
        <v>694</v>
      </c>
      <c r="E46" s="214" t="e" cm="1" vm="18">
        <f t="array" ref="E46">badge_home</f>
        <v>#VALUE!</v>
      </c>
      <c r="F46" s="217"/>
      <c r="G46" s="86"/>
      <c r="H46" s="87"/>
      <c r="I46" s="216"/>
      <c r="J46" s="217" t="e" cm="1" vm="10">
        <f t="array" ref="J46">badge_away</f>
        <v>#VALUE!</v>
      </c>
      <c r="K46" s="132" t="s">
        <v>992</v>
      </c>
      <c r="L46" s="129"/>
      <c r="M46" s="188"/>
      <c r="N46" s="201"/>
      <c r="O46" s="201"/>
      <c r="P46" s="234" t="s">
        <v>778</v>
      </c>
      <c r="Q46" s="201"/>
      <c r="R46" s="201"/>
      <c r="S46" s="201"/>
      <c r="T46" s="201"/>
      <c r="U46" s="201"/>
      <c r="V46" s="201"/>
      <c r="W46" s="201"/>
      <c r="X46" s="201"/>
      <c r="Y46" s="201"/>
      <c r="Z46" s="201"/>
      <c r="AA46" s="201"/>
      <c r="AB46" s="201"/>
      <c r="AC46" s="201"/>
      <c r="AD46" s="201"/>
      <c r="AE46" s="201"/>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319" t="str">
        <f t="shared" si="5"/>
        <v>Pendiente</v>
      </c>
      <c r="BI46" s="319"/>
      <c r="BJ46" s="319"/>
      <c r="BM46" s="322"/>
    </row>
    <row r="47" spans="1:100" ht="17" customHeight="1">
      <c r="A47" s="206">
        <v>3</v>
      </c>
      <c r="B47" s="110">
        <f>Horarios!C47</f>
        <v>46316.78125</v>
      </c>
      <c r="C47" s="111">
        <f>Horarios!C47</f>
        <v>46316.78125</v>
      </c>
      <c r="D47" s="112" t="s">
        <v>1002</v>
      </c>
      <c r="E47" s="207" t="e" cm="1" vm="26">
        <f t="array" ref="E47">badge_home</f>
        <v>#VALUE!</v>
      </c>
      <c r="F47" s="210"/>
      <c r="G47" s="84"/>
      <c r="H47" s="85"/>
      <c r="I47" s="209"/>
      <c r="J47" s="210" t="e" cm="1" vm="33">
        <f t="array" ref="J47">badge_away</f>
        <v>#VALUE!</v>
      </c>
      <c r="K47" s="211" t="s">
        <v>1004</v>
      </c>
      <c r="L47" s="129"/>
      <c r="M47" s="188"/>
      <c r="N47" s="201"/>
      <c r="O47" s="201"/>
      <c r="P47" s="234" t="s">
        <v>779</v>
      </c>
      <c r="Q47" s="201"/>
      <c r="R47" s="201"/>
      <c r="S47" s="201"/>
      <c r="T47" s="201"/>
      <c r="U47" s="201"/>
      <c r="V47" s="201"/>
      <c r="W47" s="201"/>
      <c r="X47" s="201"/>
      <c r="Y47" s="201"/>
      <c r="Z47" s="201"/>
      <c r="AA47" s="201"/>
      <c r="AB47" s="201"/>
      <c r="AC47" s="201"/>
      <c r="AD47" s="201"/>
      <c r="AE47" s="201"/>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319" t="str">
        <f t="shared" si="5"/>
        <v>Pendiente</v>
      </c>
      <c r="BI47" s="319"/>
      <c r="BJ47" s="319"/>
      <c r="BM47" s="322"/>
    </row>
    <row r="48" spans="1:100" ht="17" customHeight="1">
      <c r="A48" s="213">
        <v>3</v>
      </c>
      <c r="B48" s="113">
        <f>Horarios!C48</f>
        <v>46316.78125</v>
      </c>
      <c r="C48" s="114">
        <f>Horarios!C48</f>
        <v>46316.78125</v>
      </c>
      <c r="D48" s="115" t="s">
        <v>699</v>
      </c>
      <c r="E48" s="214" t="e" cm="1" vm="11">
        <f t="array" ref="E48">badge_home</f>
        <v>#VALUE!</v>
      </c>
      <c r="F48" s="217"/>
      <c r="G48" s="86"/>
      <c r="H48" s="87"/>
      <c r="I48" s="216"/>
      <c r="J48" s="217" t="e" cm="1" vm="25">
        <f t="array" ref="J48">badge_away</f>
        <v>#VALUE!</v>
      </c>
      <c r="K48" s="132" t="s">
        <v>986</v>
      </c>
      <c r="L48" s="129"/>
      <c r="M48" s="188"/>
      <c r="N48" s="201"/>
      <c r="O48" s="201"/>
      <c r="P48" s="234" t="s">
        <v>780</v>
      </c>
      <c r="Q48" s="201"/>
      <c r="R48" s="201"/>
      <c r="S48" s="201"/>
      <c r="T48" s="201"/>
      <c r="U48" s="201"/>
      <c r="V48" s="201"/>
      <c r="W48" s="201"/>
      <c r="X48" s="201"/>
      <c r="Y48" s="201"/>
      <c r="Z48" s="201"/>
      <c r="AA48" s="201"/>
      <c r="AB48" s="201"/>
      <c r="AC48" s="201"/>
      <c r="AD48" s="201"/>
      <c r="AE48" s="201"/>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319" t="str">
        <f t="shared" si="5"/>
        <v>Pendiente</v>
      </c>
      <c r="BI48" s="319"/>
      <c r="BJ48" s="319"/>
      <c r="BM48" s="322"/>
    </row>
    <row r="49" spans="1:65" ht="17" customHeight="1">
      <c r="A49" s="206">
        <v>3</v>
      </c>
      <c r="B49" s="110">
        <f>Horarios!C49</f>
        <v>46316.875</v>
      </c>
      <c r="C49" s="111">
        <f>Horarios!C49</f>
        <v>46316.875</v>
      </c>
      <c r="D49" s="112" t="s">
        <v>808</v>
      </c>
      <c r="E49" s="207" t="e" cm="1" vm="4">
        <f t="array" ref="E49">badge_home</f>
        <v>#VALUE!</v>
      </c>
      <c r="F49" s="210"/>
      <c r="G49" s="84"/>
      <c r="H49" s="85"/>
      <c r="I49" s="209"/>
      <c r="J49" s="210" t="e" cm="1" vm="19">
        <f t="array" ref="J49">badge_away</f>
        <v>#VALUE!</v>
      </c>
      <c r="K49" s="211" t="s">
        <v>1029</v>
      </c>
      <c r="L49" s="129"/>
      <c r="M49" s="188"/>
      <c r="N49" s="201"/>
      <c r="O49" s="201"/>
      <c r="P49" s="254" t="s">
        <v>930</v>
      </c>
      <c r="Q49" s="255"/>
      <c r="R49" s="255"/>
      <c r="S49" s="255"/>
      <c r="T49" s="255"/>
      <c r="U49" s="255"/>
      <c r="V49" s="255"/>
      <c r="W49" s="255"/>
      <c r="X49" s="255"/>
      <c r="Y49" s="255"/>
      <c r="Z49" s="255"/>
      <c r="AA49" s="255"/>
      <c r="AB49" s="255"/>
      <c r="AC49" s="255"/>
      <c r="AD49" s="255"/>
      <c r="AE49" s="255"/>
      <c r="AF49" s="256"/>
      <c r="AG49" s="256"/>
      <c r="AH49" s="256"/>
      <c r="AI49" s="256"/>
      <c r="AJ49" s="256"/>
      <c r="AK49" s="256"/>
      <c r="AL49" s="256"/>
      <c r="AM49" s="256"/>
      <c r="AN49" s="256"/>
      <c r="AO49" s="256"/>
      <c r="AP49" s="256"/>
      <c r="AQ49" s="256"/>
      <c r="AR49" s="188"/>
      <c r="AS49" s="188"/>
      <c r="AT49" s="188"/>
      <c r="AU49" s="188"/>
      <c r="AV49" s="188"/>
      <c r="AW49" s="188"/>
      <c r="AX49" s="188"/>
      <c r="AY49" s="188"/>
      <c r="AZ49" s="188"/>
      <c r="BA49" s="188"/>
      <c r="BB49" s="188"/>
      <c r="BC49" s="188"/>
      <c r="BD49" s="188"/>
      <c r="BE49" s="188"/>
      <c r="BF49" s="319" t="str">
        <f t="shared" si="5"/>
        <v>Pendiente</v>
      </c>
      <c r="BI49" s="319"/>
      <c r="BJ49" s="319"/>
      <c r="BM49" s="322"/>
    </row>
    <row r="50" spans="1:65" ht="17" customHeight="1">
      <c r="A50" s="213">
        <v>3</v>
      </c>
      <c r="B50" s="113">
        <f>Horarios!C50</f>
        <v>46316.875</v>
      </c>
      <c r="C50" s="114">
        <f>Horarios!C50</f>
        <v>46316.875</v>
      </c>
      <c r="D50" s="115" t="s">
        <v>815</v>
      </c>
      <c r="E50" s="214" t="e" cm="1" vm="3">
        <f t="array" ref="E50">badge_home</f>
        <v>#VALUE!</v>
      </c>
      <c r="F50" s="217"/>
      <c r="G50" s="86"/>
      <c r="H50" s="87"/>
      <c r="I50" s="216"/>
      <c r="J50" s="217" t="e" cm="1" vm="36">
        <f t="array" ref="J50">badge_away</f>
        <v>#VALUE!</v>
      </c>
      <c r="K50" s="132" t="s">
        <v>1003</v>
      </c>
      <c r="L50" s="129"/>
      <c r="M50" s="188"/>
      <c r="N50" s="201"/>
      <c r="O50" s="201"/>
      <c r="P50" s="234" t="s">
        <v>929</v>
      </c>
      <c r="Q50" s="201"/>
      <c r="R50" s="201"/>
      <c r="S50" s="201"/>
      <c r="T50" s="201"/>
      <c r="U50" s="201"/>
      <c r="V50" s="201"/>
      <c r="W50" s="201"/>
      <c r="X50" s="201"/>
      <c r="Y50" s="201"/>
      <c r="Z50" s="201"/>
      <c r="AA50" s="201"/>
      <c r="AB50" s="201"/>
      <c r="AC50" s="201"/>
      <c r="AD50" s="201"/>
      <c r="AE50" s="201"/>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319" t="str">
        <f t="shared" si="5"/>
        <v>Pendiente</v>
      </c>
      <c r="BI50" s="319"/>
      <c r="BJ50" s="319"/>
      <c r="BM50" s="322"/>
    </row>
    <row r="51" spans="1:65" ht="17" customHeight="1">
      <c r="A51" s="206">
        <v>3</v>
      </c>
      <c r="B51" s="110">
        <f>Horarios!C51</f>
        <v>46316.875</v>
      </c>
      <c r="C51" s="111">
        <f>Horarios!C51</f>
        <v>46316.875</v>
      </c>
      <c r="D51" s="112" t="s">
        <v>993</v>
      </c>
      <c r="E51" s="207" t="e" cm="1" vm="16">
        <f t="array" ref="E51">badge_home</f>
        <v>#VALUE!</v>
      </c>
      <c r="F51" s="210"/>
      <c r="G51" s="84"/>
      <c r="H51" s="85"/>
      <c r="I51" s="209"/>
      <c r="J51" s="210" t="e" cm="1" vm="5">
        <f t="array" ref="J51">badge_away</f>
        <v>#VALUE!</v>
      </c>
      <c r="K51" s="211" t="s">
        <v>735</v>
      </c>
      <c r="L51" s="129"/>
      <c r="M51" s="188"/>
      <c r="N51" s="201"/>
      <c r="O51" s="201"/>
      <c r="P51" s="234" t="s">
        <v>812</v>
      </c>
      <c r="Q51" s="201"/>
      <c r="R51" s="201"/>
      <c r="S51" s="201"/>
      <c r="T51" s="201"/>
      <c r="U51" s="201"/>
      <c r="V51" s="201"/>
      <c r="W51" s="201"/>
      <c r="X51" s="201"/>
      <c r="Y51" s="201"/>
      <c r="Z51" s="201"/>
      <c r="AA51" s="201"/>
      <c r="AB51" s="201"/>
      <c r="AC51" s="201"/>
      <c r="AD51" s="201"/>
      <c r="AE51" s="201"/>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319" t="str">
        <f t="shared" si="5"/>
        <v>Pendiente</v>
      </c>
      <c r="BI51" s="319"/>
      <c r="BJ51" s="319"/>
      <c r="BM51" s="322"/>
    </row>
    <row r="52" spans="1:65" ht="17" customHeight="1">
      <c r="A52" s="213">
        <v>3</v>
      </c>
      <c r="B52" s="113">
        <f>Horarios!C52</f>
        <v>46316.875</v>
      </c>
      <c r="C52" s="114">
        <f>Horarios!C52</f>
        <v>46316.875</v>
      </c>
      <c r="D52" s="115" t="s">
        <v>695</v>
      </c>
      <c r="E52" s="214" t="e" cm="1" vm="15">
        <f t="array" ref="E52">badge_home</f>
        <v>#VALUE!</v>
      </c>
      <c r="F52" s="217"/>
      <c r="G52" s="86"/>
      <c r="H52" s="87"/>
      <c r="I52" s="216"/>
      <c r="J52" s="217" t="e" cm="1" vm="31">
        <f t="array" ref="J52">badge_away</f>
        <v>#VALUE!</v>
      </c>
      <c r="K52" s="132" t="s">
        <v>818</v>
      </c>
      <c r="L52" s="129"/>
      <c r="M52" s="188"/>
      <c r="N52" s="201"/>
      <c r="O52" s="201"/>
      <c r="P52" s="201"/>
      <c r="Q52" s="201"/>
      <c r="R52" s="201"/>
      <c r="S52" s="201"/>
      <c r="T52" s="201"/>
      <c r="U52" s="201"/>
      <c r="V52" s="201"/>
      <c r="W52" s="201"/>
      <c r="X52" s="201"/>
      <c r="Y52" s="201"/>
      <c r="Z52" s="201"/>
      <c r="AA52" s="201"/>
      <c r="AB52" s="201"/>
      <c r="AC52" s="201"/>
      <c r="AD52" s="201"/>
      <c r="AE52" s="201"/>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319" t="str">
        <f t="shared" si="5"/>
        <v>Pendiente</v>
      </c>
      <c r="BI52" s="319"/>
      <c r="BJ52" s="319"/>
      <c r="BM52" s="322"/>
    </row>
    <row r="53" spans="1:65" ht="17" customHeight="1">
      <c r="A53" s="206">
        <v>3</v>
      </c>
      <c r="B53" s="110">
        <f>Horarios!C53</f>
        <v>46316.875</v>
      </c>
      <c r="C53" s="111">
        <f>Horarios!C53</f>
        <v>46316.875</v>
      </c>
      <c r="D53" s="112" t="s">
        <v>2</v>
      </c>
      <c r="E53" s="207" t="e" cm="1" vm="14">
        <f t="array" ref="E53">badge_home</f>
        <v>#VALUE!</v>
      </c>
      <c r="F53" s="210"/>
      <c r="G53" s="84"/>
      <c r="H53" s="85"/>
      <c r="I53" s="209"/>
      <c r="J53" s="210" t="e" cm="1" vm="32">
        <f t="array" ref="J53">badge_away</f>
        <v>#VALUE!</v>
      </c>
      <c r="K53" s="211" t="s">
        <v>738</v>
      </c>
      <c r="L53" s="129"/>
      <c r="M53" s="188"/>
      <c r="N53" s="201"/>
      <c r="O53" s="201"/>
      <c r="P53" s="201"/>
      <c r="Q53" s="201"/>
      <c r="R53" s="201"/>
      <c r="S53" s="201"/>
      <c r="T53" s="201"/>
      <c r="U53" s="201"/>
      <c r="V53" s="201"/>
      <c r="W53" s="201"/>
      <c r="X53" s="201"/>
      <c r="Y53" s="201"/>
      <c r="Z53" s="201"/>
      <c r="AA53" s="201"/>
      <c r="AB53" s="201"/>
      <c r="AC53" s="201"/>
      <c r="AD53" s="201"/>
      <c r="AE53" s="201"/>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319" t="str">
        <f t="shared" si="5"/>
        <v>Pendiente</v>
      </c>
      <c r="BI53" s="319"/>
      <c r="BJ53" s="319"/>
      <c r="BM53" s="322"/>
    </row>
    <row r="54" spans="1:65" ht="17" customHeight="1">
      <c r="A54" s="213">
        <v>3</v>
      </c>
      <c r="B54" s="113">
        <f>Horarios!C54</f>
        <v>46316.875</v>
      </c>
      <c r="C54" s="114">
        <f>Horarios!C54</f>
        <v>46316.875</v>
      </c>
      <c r="D54" s="115" t="s">
        <v>1009</v>
      </c>
      <c r="E54" s="214" t="e" cm="1" vm="12">
        <f t="array" ref="E54">badge_home</f>
        <v>#VALUE!</v>
      </c>
      <c r="F54" s="217"/>
      <c r="G54" s="86"/>
      <c r="H54" s="87"/>
      <c r="I54" s="216"/>
      <c r="J54" s="217" t="e" cm="1" vm="17">
        <f t="array" ref="J54">badge_away</f>
        <v>#VALUE!</v>
      </c>
      <c r="K54" s="132" t="s">
        <v>737</v>
      </c>
      <c r="L54" s="129"/>
      <c r="M54" s="188"/>
      <c r="N54" s="201"/>
      <c r="O54" s="201"/>
      <c r="Y54" s="201"/>
      <c r="Z54" s="201"/>
      <c r="AA54" s="201"/>
      <c r="AB54" s="201"/>
      <c r="AC54" s="201"/>
      <c r="AD54" s="201"/>
      <c r="AE54" s="201"/>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319" t="str">
        <f t="shared" si="5"/>
        <v>Pendiente</v>
      </c>
      <c r="BI54" s="319"/>
      <c r="BJ54" s="319"/>
      <c r="BM54" s="322"/>
    </row>
    <row r="55" spans="1:65" ht="17" customHeight="1" thickBot="1">
      <c r="A55" s="206">
        <v>3</v>
      </c>
      <c r="B55" s="110">
        <f>Horarios!C55</f>
        <v>46316.875</v>
      </c>
      <c r="C55" s="111">
        <f>Horarios!C55</f>
        <v>46316.875</v>
      </c>
      <c r="D55" s="112" t="s">
        <v>803</v>
      </c>
      <c r="E55" s="207" t="e" cm="1" vm="24">
        <f t="array" ref="E55">badge_home</f>
        <v>#VALUE!</v>
      </c>
      <c r="F55" s="210"/>
      <c r="G55" s="84"/>
      <c r="H55" s="85"/>
      <c r="I55" s="209"/>
      <c r="J55" s="210" t="e" cm="1" vm="2">
        <f t="array" ref="J55">badge_away</f>
        <v>#VALUE!</v>
      </c>
      <c r="K55" s="211" t="s">
        <v>1032</v>
      </c>
      <c r="L55" s="129"/>
      <c r="M55" s="188"/>
      <c r="N55" s="201"/>
      <c r="O55" s="201"/>
      <c r="Y55" s="201"/>
      <c r="Z55" s="201"/>
      <c r="AA55" s="201"/>
      <c r="AB55" s="201"/>
      <c r="AC55" s="201"/>
      <c r="AD55" s="201"/>
      <c r="AE55" s="201"/>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319" t="str">
        <f t="shared" si="5"/>
        <v>Pendiente</v>
      </c>
      <c r="BI55" s="319"/>
      <c r="BJ55" s="319"/>
      <c r="BM55" s="322"/>
    </row>
    <row r="56" spans="1:65" ht="17" customHeight="1" thickTop="1" thickBot="1">
      <c r="A56" s="221">
        <v>4</v>
      </c>
      <c r="B56" s="116">
        <f>Horarios!C56</f>
        <v>46329.78125</v>
      </c>
      <c r="C56" s="117">
        <f>Horarios!C56</f>
        <v>46329.78125</v>
      </c>
      <c r="D56" s="118" t="s">
        <v>818</v>
      </c>
      <c r="E56" s="222" t="e" cm="1" vm="31">
        <f t="array" ref="E56">badge_home</f>
        <v>#VALUE!</v>
      </c>
      <c r="F56" s="235"/>
      <c r="G56" s="88"/>
      <c r="H56" s="90"/>
      <c r="I56" s="224"/>
      <c r="J56" s="225" t="e" cm="1" vm="24">
        <f t="array" ref="J56">badge_away</f>
        <v>#VALUE!</v>
      </c>
      <c r="K56" s="133" t="s">
        <v>803</v>
      </c>
      <c r="L56" s="226" t="s">
        <v>813</v>
      </c>
      <c r="N56" s="201"/>
      <c r="O56" s="201"/>
      <c r="P56" s="498" t="str">
        <f>HYPERLINK(Idiomas!D11,Idiomas!D7)</f>
        <v>Si quieres organizar una porra con tu grupo puedes descargar el archivo para administrarla desde aquí.</v>
      </c>
      <c r="Q56" s="499"/>
      <c r="R56" s="499"/>
      <c r="S56" s="499"/>
      <c r="T56" s="499"/>
      <c r="U56" s="499"/>
      <c r="V56" s="499"/>
      <c r="W56" s="499"/>
      <c r="X56" s="500"/>
      <c r="Y56" s="201"/>
      <c r="Z56" s="201"/>
      <c r="AA56" s="201"/>
      <c r="AB56" s="201"/>
      <c r="AC56" s="201"/>
      <c r="AD56" s="201"/>
      <c r="AE56" s="201"/>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319" t="str">
        <f t="shared" si="5"/>
        <v>Pendiente</v>
      </c>
      <c r="BI56" s="319"/>
      <c r="BJ56" s="319"/>
      <c r="BM56" s="322"/>
    </row>
    <row r="57" spans="1:65" ht="17" customHeight="1">
      <c r="A57" s="227">
        <v>4</v>
      </c>
      <c r="B57" s="116">
        <f>Horarios!C57</f>
        <v>46329.78125</v>
      </c>
      <c r="C57" s="117">
        <f>Horarios!C57</f>
        <v>46329.78125</v>
      </c>
      <c r="D57" s="118" t="s">
        <v>986</v>
      </c>
      <c r="E57" s="222" t="e" cm="1" vm="25">
        <f t="array" ref="E57">badge_home</f>
        <v>#VALUE!</v>
      </c>
      <c r="F57" s="235"/>
      <c r="G57" s="88"/>
      <c r="H57" s="90"/>
      <c r="I57" s="224"/>
      <c r="J57" s="225" t="e" cm="1" vm="18">
        <f t="array" ref="J57">badge_away</f>
        <v>#VALUE!</v>
      </c>
      <c r="K57" s="133" t="s">
        <v>694</v>
      </c>
      <c r="L57" s="129"/>
      <c r="M57" s="188"/>
      <c r="N57" s="201"/>
      <c r="O57" s="201"/>
      <c r="P57" s="501"/>
      <c r="Q57" s="502"/>
      <c r="R57" s="502"/>
      <c r="S57" s="502"/>
      <c r="T57" s="502"/>
      <c r="U57" s="502"/>
      <c r="V57" s="502"/>
      <c r="W57" s="502"/>
      <c r="X57" s="503"/>
      <c r="Y57" s="201"/>
      <c r="Z57" s="201"/>
      <c r="AA57" s="201"/>
      <c r="AB57" s="201"/>
      <c r="AC57" s="201"/>
      <c r="AD57" s="201"/>
      <c r="AE57" s="201"/>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319" t="str">
        <f t="shared" si="5"/>
        <v>Pendiente</v>
      </c>
      <c r="BI57" s="319"/>
      <c r="BJ57" s="319"/>
      <c r="BM57" s="322"/>
    </row>
    <row r="58" spans="1:65" ht="17" customHeight="1">
      <c r="A58" s="227">
        <v>4</v>
      </c>
      <c r="B58" s="116">
        <f>Horarios!C58</f>
        <v>46329.875</v>
      </c>
      <c r="C58" s="117">
        <f>Horarios!C58</f>
        <v>46329.875</v>
      </c>
      <c r="D58" s="118" t="s">
        <v>992</v>
      </c>
      <c r="E58" s="222" t="e" cm="1" vm="10">
        <f t="array" ref="E58">badge_home</f>
        <v>#VALUE!</v>
      </c>
      <c r="F58" s="235"/>
      <c r="G58" s="88"/>
      <c r="H58" s="90"/>
      <c r="I58" s="224"/>
      <c r="J58" s="225" t="e" cm="1" vm="16">
        <f t="array" ref="J58">badge_away</f>
        <v>#VALUE!</v>
      </c>
      <c r="K58" s="133" t="s">
        <v>993</v>
      </c>
      <c r="L58" s="129"/>
      <c r="M58" s="188"/>
      <c r="N58" s="188"/>
      <c r="O58" s="188"/>
      <c r="P58" s="501"/>
      <c r="Q58" s="502"/>
      <c r="R58" s="502"/>
      <c r="S58" s="502"/>
      <c r="T58" s="502"/>
      <c r="U58" s="502"/>
      <c r="V58" s="502"/>
      <c r="W58" s="502"/>
      <c r="X58" s="503"/>
      <c r="Y58" s="201"/>
      <c r="Z58" s="201"/>
      <c r="AA58" s="201"/>
      <c r="AB58" s="201"/>
      <c r="AC58" s="201"/>
      <c r="AD58" s="201"/>
      <c r="AE58" s="201"/>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319" t="str">
        <f t="shared" si="5"/>
        <v>Pendiente</v>
      </c>
      <c r="BI58" s="319"/>
      <c r="BJ58" s="319"/>
      <c r="BM58" s="322"/>
    </row>
    <row r="59" spans="1:65" ht="17" customHeight="1">
      <c r="A59" s="227">
        <v>4</v>
      </c>
      <c r="B59" s="116">
        <f>Horarios!C59</f>
        <v>46329.875</v>
      </c>
      <c r="C59" s="117">
        <f>Horarios!C59</f>
        <v>46329.875</v>
      </c>
      <c r="D59" s="118" t="s">
        <v>692</v>
      </c>
      <c r="E59" s="222" t="e" cm="1" vm="13">
        <f t="array" ref="E59">badge_home</f>
        <v>#VALUE!</v>
      </c>
      <c r="F59" s="235"/>
      <c r="G59" s="88"/>
      <c r="H59" s="90"/>
      <c r="I59" s="224"/>
      <c r="J59" s="225" t="e" cm="1" vm="4">
        <f t="array" ref="J59">badge_away</f>
        <v>#VALUE!</v>
      </c>
      <c r="K59" s="133" t="s">
        <v>808</v>
      </c>
      <c r="L59" s="129"/>
      <c r="M59" s="188"/>
      <c r="N59" s="188"/>
      <c r="O59" s="188"/>
      <c r="P59" s="501"/>
      <c r="Q59" s="502"/>
      <c r="R59" s="502"/>
      <c r="S59" s="502"/>
      <c r="T59" s="502"/>
      <c r="U59" s="502"/>
      <c r="V59" s="502"/>
      <c r="W59" s="502"/>
      <c r="X59" s="503"/>
      <c r="Y59" s="201"/>
      <c r="Z59" s="201"/>
      <c r="AA59" s="201"/>
      <c r="AB59" s="201"/>
      <c r="AC59" s="201"/>
      <c r="AD59" s="201"/>
      <c r="AE59" s="201"/>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319" t="str">
        <f t="shared" si="5"/>
        <v>Pendiente</v>
      </c>
      <c r="BI59" s="319"/>
      <c r="BJ59" s="319"/>
      <c r="BM59" s="322"/>
    </row>
    <row r="60" spans="1:65" ht="17" customHeight="1" thickBot="1">
      <c r="A60" s="227">
        <v>4</v>
      </c>
      <c r="B60" s="116">
        <f>Horarios!C60</f>
        <v>46329.875</v>
      </c>
      <c r="C60" s="117">
        <f>Horarios!C60</f>
        <v>46329.875</v>
      </c>
      <c r="D60" s="118" t="s">
        <v>737</v>
      </c>
      <c r="E60" s="222" t="e" cm="1" vm="17">
        <f t="array" ref="E60">badge_home</f>
        <v>#VALUE!</v>
      </c>
      <c r="F60" s="235"/>
      <c r="G60" s="88"/>
      <c r="H60" s="90"/>
      <c r="I60" s="224"/>
      <c r="J60" s="225" t="e" cm="1" vm="15">
        <f t="array" ref="J60">badge_away</f>
        <v>#VALUE!</v>
      </c>
      <c r="K60" s="133" t="s">
        <v>695</v>
      </c>
      <c r="L60" s="129"/>
      <c r="M60" s="188"/>
      <c r="N60" s="188"/>
      <c r="O60" s="188"/>
      <c r="P60" s="504"/>
      <c r="Q60" s="505"/>
      <c r="R60" s="505"/>
      <c r="S60" s="505"/>
      <c r="T60" s="505"/>
      <c r="U60" s="505"/>
      <c r="V60" s="505"/>
      <c r="W60" s="505"/>
      <c r="X60" s="506"/>
      <c r="Y60" s="201"/>
      <c r="Z60" s="201"/>
      <c r="AA60" s="201"/>
      <c r="AB60" s="201"/>
      <c r="AC60" s="201"/>
      <c r="AD60" s="201"/>
      <c r="AE60" s="201"/>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319" t="str">
        <f t="shared" si="5"/>
        <v>Pendiente</v>
      </c>
      <c r="BI60" s="319"/>
      <c r="BJ60" s="319"/>
      <c r="BM60" s="322"/>
    </row>
    <row r="61" spans="1:65" ht="17" customHeight="1" thickTop="1">
      <c r="A61" s="227">
        <v>4</v>
      </c>
      <c r="B61" s="116">
        <f>Horarios!C61</f>
        <v>46329.875</v>
      </c>
      <c r="C61" s="117">
        <f>Horarios!C61</f>
        <v>46329.875</v>
      </c>
      <c r="D61" s="118" t="s">
        <v>821</v>
      </c>
      <c r="E61" s="222" t="e" cm="1" vm="20">
        <f t="array" ref="E61">badge_home</f>
        <v>#VALUE!</v>
      </c>
      <c r="F61" s="235"/>
      <c r="G61" s="88"/>
      <c r="H61" s="90"/>
      <c r="I61" s="224"/>
      <c r="J61" s="225" t="e" cm="1" vm="11">
        <f t="array" ref="J61">badge_away</f>
        <v>#VALUE!</v>
      </c>
      <c r="K61" s="133" t="s">
        <v>699</v>
      </c>
      <c r="L61" s="129"/>
      <c r="M61" s="188"/>
      <c r="N61" s="188"/>
      <c r="O61" s="188"/>
      <c r="Y61" s="201"/>
      <c r="Z61" s="201"/>
      <c r="AA61" s="201"/>
      <c r="AB61" s="201"/>
      <c r="AC61" s="201"/>
      <c r="AD61" s="201"/>
      <c r="AE61" s="201"/>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319" t="str">
        <f t="shared" si="5"/>
        <v>Pendiente</v>
      </c>
      <c r="BI61" s="319"/>
      <c r="BJ61" s="319"/>
      <c r="BM61" s="322"/>
    </row>
    <row r="62" spans="1:65" ht="17" customHeight="1">
      <c r="A62" s="227">
        <v>4</v>
      </c>
      <c r="B62" s="116">
        <f>Horarios!C62</f>
        <v>46329.875</v>
      </c>
      <c r="C62" s="117">
        <f>Horarios!C62</f>
        <v>46329.875</v>
      </c>
      <c r="D62" s="118" t="s">
        <v>1032</v>
      </c>
      <c r="E62" s="222" t="e" cm="1" vm="2">
        <f t="array" ref="E62">badge_home</f>
        <v>#VALUE!</v>
      </c>
      <c r="F62" s="235"/>
      <c r="G62" s="88"/>
      <c r="H62" s="90"/>
      <c r="I62" s="224"/>
      <c r="J62" s="225" t="e" cm="1" vm="23">
        <f t="array" ref="J62">badge_away</f>
        <v>#VALUE!</v>
      </c>
      <c r="K62" s="133" t="s">
        <v>1027</v>
      </c>
      <c r="L62" s="129"/>
      <c r="M62" s="188"/>
      <c r="N62" s="188"/>
      <c r="O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319" t="str">
        <f t="shared" si="5"/>
        <v>Pendiente</v>
      </c>
      <c r="BI62" s="319"/>
      <c r="BJ62" s="319"/>
      <c r="BM62" s="322"/>
    </row>
    <row r="63" spans="1:65" ht="17" customHeight="1">
      <c r="A63" s="227">
        <v>4</v>
      </c>
      <c r="B63" s="116">
        <f>Horarios!C63</f>
        <v>46329.875</v>
      </c>
      <c r="C63" s="117">
        <f>Horarios!C63</f>
        <v>46329.875</v>
      </c>
      <c r="D63" s="118" t="s">
        <v>1004</v>
      </c>
      <c r="E63" s="222" t="e" cm="1" vm="33">
        <f t="array" ref="E63">badge_home</f>
        <v>#VALUE!</v>
      </c>
      <c r="F63" s="235"/>
      <c r="G63" s="88"/>
      <c r="H63" s="90"/>
      <c r="I63" s="224"/>
      <c r="J63" s="225" t="e" cm="1" vm="29">
        <f t="array" ref="J63">badge_away</f>
        <v>#VALUE!</v>
      </c>
      <c r="K63" s="133" t="s">
        <v>1006</v>
      </c>
      <c r="L63" s="129"/>
      <c r="M63" s="188"/>
      <c r="N63" s="188"/>
      <c r="O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319" t="str">
        <f t="shared" si="5"/>
        <v>Pendiente</v>
      </c>
      <c r="BI63" s="319"/>
      <c r="BJ63" s="319"/>
      <c r="BM63" s="322"/>
    </row>
    <row r="64" spans="1:65" ht="17" customHeight="1">
      <c r="A64" s="227">
        <v>4</v>
      </c>
      <c r="B64" s="116">
        <f>Horarios!C64</f>
        <v>46329.875</v>
      </c>
      <c r="C64" s="117">
        <f>Horarios!C64</f>
        <v>46329.875</v>
      </c>
      <c r="D64" s="118" t="s">
        <v>982</v>
      </c>
      <c r="E64" s="222" t="e" cm="1" vm="7">
        <f t="array" ref="E64">badge_home</f>
        <v>#VALUE!</v>
      </c>
      <c r="F64" s="235"/>
      <c r="G64" s="88"/>
      <c r="H64" s="90"/>
      <c r="I64" s="224"/>
      <c r="J64" s="225" t="e" cm="1" vm="22">
        <f t="array" ref="J64">badge_away</f>
        <v>#VALUE!</v>
      </c>
      <c r="K64" s="133" t="s">
        <v>698</v>
      </c>
      <c r="L64" s="129"/>
      <c r="M64" s="188"/>
      <c r="N64" s="188"/>
      <c r="O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319" t="str">
        <f t="shared" si="5"/>
        <v>Pendiente</v>
      </c>
      <c r="BI64" s="319"/>
      <c r="BJ64" s="319"/>
      <c r="BM64" s="322"/>
    </row>
    <row r="65" spans="1:65" ht="17" customHeight="1">
      <c r="A65" s="227">
        <v>4</v>
      </c>
      <c r="B65" s="116">
        <f>Horarios!C65</f>
        <v>46330.78125</v>
      </c>
      <c r="C65" s="117">
        <f>Horarios!C65</f>
        <v>46330.78125</v>
      </c>
      <c r="D65" s="118" t="s">
        <v>1031</v>
      </c>
      <c r="E65" s="222" t="e" cm="1" vm="1">
        <f t="array" ref="E65">badge_home</f>
        <v>#VALUE!</v>
      </c>
      <c r="F65" s="235"/>
      <c r="G65" s="88"/>
      <c r="H65" s="90"/>
      <c r="I65" s="224"/>
      <c r="J65" s="225" t="e" cm="1" vm="14">
        <f t="array" ref="J65">badge_away</f>
        <v>#VALUE!</v>
      </c>
      <c r="K65" s="133" t="s">
        <v>2</v>
      </c>
      <c r="L65" s="129"/>
      <c r="M65" s="188"/>
      <c r="N65" s="188"/>
      <c r="O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319" t="str">
        <f t="shared" si="5"/>
        <v>Pendiente</v>
      </c>
      <c r="BI65" s="319"/>
      <c r="BJ65" s="319"/>
      <c r="BM65" s="322"/>
    </row>
    <row r="66" spans="1:65" ht="17" customHeight="1">
      <c r="A66" s="227">
        <v>4</v>
      </c>
      <c r="B66" s="116">
        <f>Horarios!C66</f>
        <v>46330.78125</v>
      </c>
      <c r="C66" s="117">
        <f>Horarios!C66</f>
        <v>46330.78125</v>
      </c>
      <c r="D66" s="118" t="s">
        <v>1028</v>
      </c>
      <c r="E66" s="222" t="e" cm="1" vm="28">
        <f t="array" ref="E66">badge_home</f>
        <v>#VALUE!</v>
      </c>
      <c r="F66" s="235"/>
      <c r="G66" s="88"/>
      <c r="H66" s="90"/>
      <c r="I66" s="224"/>
      <c r="J66" s="225" t="e" cm="1" vm="21">
        <f t="array" ref="J66">badge_away</f>
        <v>#VALUE!</v>
      </c>
      <c r="K66" s="133" t="s">
        <v>739</v>
      </c>
      <c r="L66" s="129"/>
      <c r="M66" s="188"/>
      <c r="N66" s="188"/>
      <c r="O66" s="188"/>
      <c r="Q66" s="188"/>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319" t="str">
        <f t="shared" ref="BF66:BF129" si="7">IF(OR(G66="",H66=""),"Pendiente",IF(G66&gt;H66,"Local",IF(G66&lt;H66,"Visitante","Empate")))</f>
        <v>Pendiente</v>
      </c>
      <c r="BI66" s="319"/>
      <c r="BJ66" s="319"/>
      <c r="BM66" s="322"/>
    </row>
    <row r="67" spans="1:65" ht="17" customHeight="1">
      <c r="A67" s="227">
        <v>4</v>
      </c>
      <c r="B67" s="116">
        <f>Horarios!C67</f>
        <v>46330.875</v>
      </c>
      <c r="C67" s="117">
        <f>Horarios!C67</f>
        <v>46330.875</v>
      </c>
      <c r="D67" s="118" t="s">
        <v>736</v>
      </c>
      <c r="E67" s="222" t="e" cm="1" vm="6">
        <f t="array" ref="E67">badge_home</f>
        <v>#VALUE!</v>
      </c>
      <c r="F67" s="235"/>
      <c r="G67" s="88"/>
      <c r="H67" s="90"/>
      <c r="I67" s="224"/>
      <c r="J67" s="225" t="e" cm="1" vm="12">
        <f t="array" ref="J67">badge_away</f>
        <v>#VALUE!</v>
      </c>
      <c r="K67" s="133" t="s">
        <v>1009</v>
      </c>
      <c r="L67" s="129"/>
      <c r="M67" s="188"/>
      <c r="N67" s="188"/>
      <c r="O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319" t="str">
        <f t="shared" si="7"/>
        <v>Pendiente</v>
      </c>
      <c r="BI67" s="319"/>
      <c r="BJ67" s="319"/>
      <c r="BM67" s="322"/>
    </row>
    <row r="68" spans="1:65" ht="17" customHeight="1">
      <c r="A68" s="227">
        <v>4</v>
      </c>
      <c r="B68" s="116">
        <f>Horarios!C68</f>
        <v>46330.875</v>
      </c>
      <c r="C68" s="117">
        <f>Horarios!C68</f>
        <v>46330.875</v>
      </c>
      <c r="D68" s="118" t="s">
        <v>1005</v>
      </c>
      <c r="E68" s="222" t="e" cm="1" vm="8">
        <f t="array" ref="E68">badge_home</f>
        <v>#VALUE!</v>
      </c>
      <c r="F68" s="235"/>
      <c r="G68" s="88"/>
      <c r="H68" s="90"/>
      <c r="I68" s="224"/>
      <c r="J68" s="225" t="e" cm="1" vm="27">
        <f t="array" ref="J68">badge_away</f>
        <v>#VALUE!</v>
      </c>
      <c r="K68" s="133" t="s">
        <v>980</v>
      </c>
      <c r="L68" s="129"/>
      <c r="M68" s="188"/>
      <c r="N68" s="188"/>
      <c r="O68" s="188"/>
      <c r="Q68" s="188"/>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319" t="str">
        <f t="shared" si="7"/>
        <v>Pendiente</v>
      </c>
      <c r="BI68" s="319"/>
      <c r="BJ68" s="319"/>
      <c r="BM68" s="322"/>
    </row>
    <row r="69" spans="1:65" ht="17" customHeight="1">
      <c r="A69" s="227">
        <v>4</v>
      </c>
      <c r="B69" s="116">
        <f>Horarios!C69</f>
        <v>46330.875</v>
      </c>
      <c r="C69" s="117">
        <f>Horarios!C69</f>
        <v>46330.875</v>
      </c>
      <c r="D69" s="118" t="s">
        <v>741</v>
      </c>
      <c r="E69" s="222" t="e" cm="1" vm="30">
        <f t="array" ref="E69">badge_home</f>
        <v>#VALUE!</v>
      </c>
      <c r="F69" s="235"/>
      <c r="G69" s="88"/>
      <c r="H69" s="90"/>
      <c r="I69" s="224"/>
      <c r="J69" s="225" t="e" cm="1" vm="3">
        <f t="array" ref="J69">badge_away</f>
        <v>#VALUE!</v>
      </c>
      <c r="K69" s="133" t="s">
        <v>815</v>
      </c>
      <c r="L69" s="129"/>
      <c r="M69" s="188"/>
      <c r="N69" s="188"/>
      <c r="O69" s="188"/>
      <c r="Q69" s="188"/>
      <c r="R69" s="188"/>
      <c r="S69" s="188"/>
      <c r="T69" s="188"/>
      <c r="U69" s="188"/>
      <c r="V69" s="188"/>
      <c r="W69" s="188"/>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c r="BF69" s="319" t="str">
        <f t="shared" si="7"/>
        <v>Pendiente</v>
      </c>
      <c r="BI69" s="319"/>
      <c r="BJ69" s="319"/>
      <c r="BM69" s="322"/>
    </row>
    <row r="70" spans="1:65" ht="17" customHeight="1">
      <c r="A70" s="227">
        <v>4</v>
      </c>
      <c r="B70" s="116">
        <f>Horarios!C70</f>
        <v>46330.875</v>
      </c>
      <c r="C70" s="117">
        <f>Horarios!C70</f>
        <v>46330.875</v>
      </c>
      <c r="D70" s="118" t="s">
        <v>738</v>
      </c>
      <c r="E70" s="222" t="e" cm="1" vm="32">
        <f t="array" ref="E70">badge_home</f>
        <v>#VALUE!</v>
      </c>
      <c r="F70" s="235"/>
      <c r="G70" s="88"/>
      <c r="H70" s="90"/>
      <c r="I70" s="224"/>
      <c r="J70" s="225" t="e" cm="1" vm="9">
        <f t="array" ref="J70">badge_away</f>
        <v>#VALUE!</v>
      </c>
      <c r="K70" s="133" t="s">
        <v>740</v>
      </c>
      <c r="L70" s="129"/>
      <c r="M70" s="188"/>
      <c r="N70" s="188"/>
      <c r="O70" s="188"/>
      <c r="Q70" s="188"/>
      <c r="R70" s="188"/>
      <c r="S70" s="188"/>
      <c r="T70" s="188"/>
      <c r="U70" s="188"/>
      <c r="V70" s="188"/>
      <c r="W70" s="188"/>
      <c r="X70" s="188"/>
      <c r="Y70" s="188"/>
      <c r="Z70" s="18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319" t="str">
        <f t="shared" si="7"/>
        <v>Pendiente</v>
      </c>
      <c r="BI70" s="319"/>
      <c r="BJ70" s="319"/>
      <c r="BM70" s="322"/>
    </row>
    <row r="71" spans="1:65" ht="17" customHeight="1">
      <c r="A71" s="227">
        <v>4</v>
      </c>
      <c r="B71" s="116">
        <f>Horarios!C71</f>
        <v>46330.875</v>
      </c>
      <c r="C71" s="117">
        <f>Horarios!C71</f>
        <v>46330.875</v>
      </c>
      <c r="D71" s="118" t="s">
        <v>1003</v>
      </c>
      <c r="E71" s="222" t="e" cm="1" vm="36">
        <f t="array" ref="E71">badge_home</f>
        <v>#VALUE!</v>
      </c>
      <c r="F71" s="235"/>
      <c r="G71" s="88"/>
      <c r="H71" s="90"/>
      <c r="I71" s="224"/>
      <c r="J71" s="225" t="e" cm="1" vm="26">
        <f t="array" ref="J71">badge_away</f>
        <v>#VALUE!</v>
      </c>
      <c r="K71" s="133" t="s">
        <v>1002</v>
      </c>
      <c r="L71" s="129"/>
      <c r="M71" s="188"/>
      <c r="N71" s="188"/>
      <c r="O71" s="188"/>
      <c r="P71" s="188"/>
      <c r="Q71" s="188"/>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319" t="str">
        <f t="shared" si="7"/>
        <v>Pendiente</v>
      </c>
      <c r="BI71" s="319"/>
      <c r="BJ71" s="319"/>
      <c r="BM71" s="322"/>
    </row>
    <row r="72" spans="1:65" ht="17" customHeight="1">
      <c r="A72" s="227">
        <v>4</v>
      </c>
      <c r="B72" s="116">
        <f>Horarios!C72</f>
        <v>46330.875</v>
      </c>
      <c r="C72" s="117">
        <f>Horarios!C72</f>
        <v>46330.875</v>
      </c>
      <c r="D72" s="118" t="s">
        <v>995</v>
      </c>
      <c r="E72" s="222" t="e" cm="1" vm="35">
        <f t="array" ref="E72">badge_home</f>
        <v>#VALUE!</v>
      </c>
      <c r="F72" s="235"/>
      <c r="G72" s="88"/>
      <c r="H72" s="90"/>
      <c r="I72" s="224"/>
      <c r="J72" s="225" t="e" cm="1" vm="5">
        <f t="array" ref="J72">badge_away</f>
        <v>#VALUE!</v>
      </c>
      <c r="K72" s="133" t="s">
        <v>735</v>
      </c>
      <c r="L72" s="129"/>
      <c r="M72" s="188"/>
      <c r="N72" s="188"/>
      <c r="O72" s="188"/>
      <c r="P72" s="188"/>
      <c r="Q72" s="188"/>
      <c r="R72" s="188"/>
      <c r="S72" s="188"/>
      <c r="T72" s="188"/>
      <c r="U72" s="188"/>
      <c r="V72" s="188"/>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188"/>
      <c r="BB72" s="188"/>
      <c r="BC72" s="188"/>
      <c r="BD72" s="188"/>
      <c r="BE72" s="188"/>
      <c r="BF72" s="319" t="str">
        <f t="shared" si="7"/>
        <v>Pendiente</v>
      </c>
      <c r="BI72" s="319"/>
      <c r="BJ72" s="319"/>
      <c r="BM72" s="322"/>
    </row>
    <row r="73" spans="1:65" ht="17" customHeight="1" thickBot="1">
      <c r="A73" s="229">
        <v>4</v>
      </c>
      <c r="B73" s="116">
        <f>Horarios!C73</f>
        <v>46330.875</v>
      </c>
      <c r="C73" s="117">
        <f>Horarios!C73</f>
        <v>46330.875</v>
      </c>
      <c r="D73" s="118" t="s">
        <v>1029</v>
      </c>
      <c r="E73" s="222" t="e" cm="1" vm="19">
        <f t="array" ref="E73">badge_home</f>
        <v>#VALUE!</v>
      </c>
      <c r="F73" s="235"/>
      <c r="G73" s="88"/>
      <c r="H73" s="90"/>
      <c r="I73" s="224"/>
      <c r="J73" s="225" t="e" cm="1" vm="34">
        <f t="array" ref="J73">badge_away</f>
        <v>#VALUE!</v>
      </c>
      <c r="K73" s="133" t="s">
        <v>1030</v>
      </c>
      <c r="L73" s="129"/>
      <c r="M73" s="188"/>
      <c r="N73" s="188"/>
      <c r="O73" s="188"/>
      <c r="P73" s="188"/>
      <c r="Q73" s="188"/>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319" t="str">
        <f t="shared" si="7"/>
        <v>Pendiente</v>
      </c>
      <c r="BI73" s="319"/>
      <c r="BJ73" s="319"/>
      <c r="BM73" s="322"/>
    </row>
    <row r="74" spans="1:65" ht="17" customHeight="1" thickBot="1">
      <c r="A74" s="213">
        <v>5</v>
      </c>
      <c r="B74" s="113">
        <f>Horarios!C74</f>
        <v>46350.78125</v>
      </c>
      <c r="C74" s="114">
        <f>Horarios!C74</f>
        <v>46350.78125</v>
      </c>
      <c r="D74" s="115" t="s">
        <v>821</v>
      </c>
      <c r="E74" s="214" t="e" cm="1" vm="20">
        <f t="array" ref="E74">badge_home</f>
        <v>#VALUE!</v>
      </c>
      <c r="F74" s="217"/>
      <c r="G74" s="86"/>
      <c r="H74" s="87"/>
      <c r="I74" s="216"/>
      <c r="J74" s="217" t="e" cm="1" vm="2">
        <f t="array" ref="J74">badge_away</f>
        <v>#VALUE!</v>
      </c>
      <c r="K74" s="132" t="s">
        <v>1032</v>
      </c>
      <c r="L74" s="226" t="s">
        <v>813</v>
      </c>
      <c r="N74" s="188"/>
      <c r="O74" s="188"/>
      <c r="P74" s="188"/>
      <c r="Q74" s="188"/>
      <c r="R74" s="188"/>
      <c r="S74" s="188"/>
      <c r="T74" s="188"/>
      <c r="U74" s="188"/>
      <c r="V74" s="188"/>
      <c r="W74" s="188"/>
      <c r="X74" s="188"/>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8"/>
      <c r="AZ74" s="188"/>
      <c r="BA74" s="188"/>
      <c r="BB74" s="188"/>
      <c r="BC74" s="188"/>
      <c r="BD74" s="188"/>
      <c r="BE74" s="188"/>
      <c r="BF74" s="319" t="str">
        <f t="shared" si="7"/>
        <v>Pendiente</v>
      </c>
      <c r="BI74" s="319"/>
      <c r="BJ74" s="319"/>
      <c r="BM74" s="322"/>
    </row>
    <row r="75" spans="1:65" ht="17" customHeight="1">
      <c r="A75" s="206">
        <v>5</v>
      </c>
      <c r="B75" s="110">
        <f>Horarios!C75</f>
        <v>46350.78125</v>
      </c>
      <c r="C75" s="111">
        <f>Horarios!C75</f>
        <v>46350.78125</v>
      </c>
      <c r="D75" s="112" t="s">
        <v>986</v>
      </c>
      <c r="E75" s="207" t="e" cm="1" vm="25">
        <f t="array" ref="E75">badge_home</f>
        <v>#VALUE!</v>
      </c>
      <c r="F75" s="210"/>
      <c r="G75" s="84"/>
      <c r="H75" s="85"/>
      <c r="I75" s="209"/>
      <c r="J75" s="210" t="e" cm="1" vm="4">
        <f t="array" ref="J75">badge_away</f>
        <v>#VALUE!</v>
      </c>
      <c r="K75" s="211" t="s">
        <v>808</v>
      </c>
      <c r="L75" s="129"/>
      <c r="M75" s="188"/>
      <c r="N75" s="188"/>
      <c r="O75" s="188"/>
      <c r="P75" s="188"/>
      <c r="Q75" s="188"/>
      <c r="R75" s="188"/>
      <c r="S75" s="188"/>
      <c r="T75" s="188"/>
      <c r="U75" s="188"/>
      <c r="V75" s="188"/>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8"/>
      <c r="AZ75" s="188"/>
      <c r="BA75" s="188"/>
      <c r="BB75" s="188"/>
      <c r="BC75" s="188"/>
      <c r="BD75" s="188"/>
      <c r="BE75" s="188"/>
      <c r="BF75" s="319" t="str">
        <f t="shared" si="7"/>
        <v>Pendiente</v>
      </c>
      <c r="BI75" s="319"/>
      <c r="BJ75" s="319"/>
      <c r="BM75" s="322"/>
    </row>
    <row r="76" spans="1:65" ht="17" customHeight="1">
      <c r="A76" s="213">
        <v>5</v>
      </c>
      <c r="B76" s="113">
        <f>Horarios!C76</f>
        <v>46350.875</v>
      </c>
      <c r="C76" s="114">
        <f>Horarios!C76</f>
        <v>46350.875</v>
      </c>
      <c r="D76" s="115" t="s">
        <v>735</v>
      </c>
      <c r="E76" s="214" t="e" cm="1" vm="5">
        <f t="array" ref="E76">badge_home</f>
        <v>#VALUE!</v>
      </c>
      <c r="F76" s="217"/>
      <c r="G76" s="86"/>
      <c r="H76" s="87"/>
      <c r="I76" s="216"/>
      <c r="J76" s="217" t="e" cm="1" vm="6">
        <f t="array" ref="J76">badge_away</f>
        <v>#VALUE!</v>
      </c>
      <c r="K76" s="132" t="s">
        <v>736</v>
      </c>
      <c r="L76" s="129"/>
      <c r="M76" s="188"/>
      <c r="N76" s="188"/>
      <c r="O76" s="188"/>
      <c r="P76" s="188"/>
      <c r="Q76" s="188"/>
      <c r="R76" s="188"/>
      <c r="S76" s="188"/>
      <c r="T76" s="188"/>
      <c r="U76" s="188"/>
      <c r="V76" s="188"/>
      <c r="W76" s="188"/>
      <c r="X76" s="188"/>
      <c r="Y76" s="188"/>
      <c r="Z76" s="188"/>
      <c r="AA76" s="188"/>
      <c r="AB76" s="188"/>
      <c r="AC76" s="188"/>
      <c r="AD76" s="188"/>
      <c r="AE76" s="188"/>
      <c r="AF76" s="188"/>
      <c r="AG76" s="188"/>
      <c r="AH76" s="188"/>
      <c r="AI76" s="188"/>
      <c r="AJ76" s="188"/>
      <c r="AK76" s="188"/>
      <c r="AL76" s="188"/>
      <c r="AM76" s="188"/>
      <c r="AN76" s="188"/>
      <c r="AO76" s="188"/>
      <c r="AP76" s="188"/>
      <c r="AQ76" s="188"/>
      <c r="AR76" s="188"/>
      <c r="AS76" s="188"/>
      <c r="AT76" s="188"/>
      <c r="AU76" s="188"/>
      <c r="AV76" s="188"/>
      <c r="AW76" s="188"/>
      <c r="AX76" s="188"/>
      <c r="AY76" s="188"/>
      <c r="AZ76" s="188"/>
      <c r="BA76" s="188"/>
      <c r="BB76" s="188"/>
      <c r="BC76" s="188"/>
      <c r="BD76" s="188"/>
      <c r="BE76" s="188"/>
      <c r="BF76" s="319" t="str">
        <f t="shared" si="7"/>
        <v>Pendiente</v>
      </c>
      <c r="BI76" s="319"/>
      <c r="BJ76" s="319"/>
      <c r="BM76" s="322"/>
    </row>
    <row r="77" spans="1:65" ht="17" customHeight="1">
      <c r="A77" s="206">
        <v>5</v>
      </c>
      <c r="B77" s="110">
        <f>Horarios!C77</f>
        <v>46350.875</v>
      </c>
      <c r="C77" s="111">
        <f>Horarios!C77</f>
        <v>46350.875</v>
      </c>
      <c r="D77" s="112" t="s">
        <v>1002</v>
      </c>
      <c r="E77" s="207" t="e" cm="1" vm="26">
        <f t="array" ref="E77">badge_home</f>
        <v>#VALUE!</v>
      </c>
      <c r="F77" s="210"/>
      <c r="G77" s="84"/>
      <c r="H77" s="85"/>
      <c r="I77" s="209"/>
      <c r="J77" s="210" t="e" cm="1" vm="1">
        <f t="array" ref="J77">badge_away</f>
        <v>#VALUE!</v>
      </c>
      <c r="K77" s="132" t="s">
        <v>1031</v>
      </c>
      <c r="L77" s="129"/>
      <c r="M77" s="188"/>
      <c r="N77" s="188"/>
      <c r="O77" s="188"/>
      <c r="P77" s="188"/>
      <c r="Q77" s="188"/>
      <c r="R77" s="188"/>
      <c r="S77" s="188"/>
      <c r="T77" s="188"/>
      <c r="U77" s="188"/>
      <c r="V77" s="188"/>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319" t="str">
        <f t="shared" si="7"/>
        <v>Pendiente</v>
      </c>
      <c r="BI77" s="319"/>
      <c r="BJ77" s="319"/>
      <c r="BM77" s="322"/>
    </row>
    <row r="78" spans="1:65" ht="17" customHeight="1">
      <c r="A78" s="213">
        <v>5</v>
      </c>
      <c r="B78" s="113">
        <f>Horarios!C78</f>
        <v>46350.875</v>
      </c>
      <c r="C78" s="114">
        <f>Horarios!C78</f>
        <v>46350.875</v>
      </c>
      <c r="D78" s="115" t="s">
        <v>737</v>
      </c>
      <c r="E78" s="214" t="e" cm="1" vm="17">
        <f t="array" ref="E78">badge_home</f>
        <v>#VALUE!</v>
      </c>
      <c r="F78" s="217"/>
      <c r="G78" s="86"/>
      <c r="H78" s="87"/>
      <c r="I78" s="216"/>
      <c r="J78" s="217" t="e" cm="1" vm="8">
        <f t="array" ref="J78">badge_away</f>
        <v>#VALUE!</v>
      </c>
      <c r="K78" s="211" t="s">
        <v>1005</v>
      </c>
      <c r="L78" s="129"/>
      <c r="M78" s="188"/>
      <c r="N78" s="188"/>
      <c r="O78" s="188"/>
      <c r="P78" s="188"/>
      <c r="Q78" s="188"/>
      <c r="R78" s="188"/>
      <c r="S78" s="188"/>
      <c r="T78" s="188"/>
      <c r="U78" s="188"/>
      <c r="V78" s="188"/>
      <c r="W78" s="188"/>
      <c r="X78" s="188"/>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s="188"/>
      <c r="AU78" s="188"/>
      <c r="AV78" s="188"/>
      <c r="AW78" s="188"/>
      <c r="AX78" s="188"/>
      <c r="AY78" s="188"/>
      <c r="AZ78" s="188"/>
      <c r="BA78" s="188"/>
      <c r="BB78" s="188"/>
      <c r="BC78" s="188"/>
      <c r="BD78" s="188"/>
      <c r="BE78" s="188"/>
      <c r="BF78" s="319" t="str">
        <f t="shared" si="7"/>
        <v>Pendiente</v>
      </c>
      <c r="BI78" s="319"/>
      <c r="BJ78" s="319"/>
      <c r="BM78" s="322"/>
    </row>
    <row r="79" spans="1:65" ht="17" customHeight="1">
      <c r="A79" s="206">
        <v>5</v>
      </c>
      <c r="B79" s="110">
        <f>Horarios!C79</f>
        <v>46350.875</v>
      </c>
      <c r="C79" s="111">
        <f>Horarios!C79</f>
        <v>46350.875</v>
      </c>
      <c r="D79" s="112" t="s">
        <v>740</v>
      </c>
      <c r="E79" s="207" t="e" cm="1" vm="9">
        <f t="array" ref="E79">badge_home</f>
        <v>#VALUE!</v>
      </c>
      <c r="F79" s="210"/>
      <c r="G79" s="84"/>
      <c r="H79" s="85"/>
      <c r="I79" s="209"/>
      <c r="J79" s="210" t="e" cm="1" vm="27">
        <f t="array" ref="J79">badge_away</f>
        <v>#VALUE!</v>
      </c>
      <c r="K79" s="132" t="s">
        <v>980</v>
      </c>
      <c r="L79" s="129"/>
      <c r="M79" s="188"/>
      <c r="N79" s="188"/>
      <c r="O79" s="188"/>
      <c r="P79" s="188"/>
      <c r="Q79" s="188"/>
      <c r="R79" s="188"/>
      <c r="S79" s="188"/>
      <c r="T79" s="188"/>
      <c r="U79" s="188"/>
      <c r="V79" s="188"/>
      <c r="W79" s="188"/>
      <c r="X79" s="188"/>
      <c r="Y79" s="188"/>
      <c r="Z79" s="188"/>
      <c r="AA79" s="188"/>
      <c r="AB79" s="188"/>
      <c r="AC79" s="188"/>
      <c r="AD79" s="188"/>
      <c r="AE79" s="188"/>
      <c r="AF79" s="188"/>
      <c r="AG79" s="188"/>
      <c r="AH79" s="188"/>
      <c r="AI79" s="188"/>
      <c r="AJ79" s="188"/>
      <c r="AK79" s="188"/>
      <c r="AL79" s="188"/>
      <c r="AM79" s="188"/>
      <c r="AN79" s="188"/>
      <c r="AO79" s="188"/>
      <c r="AP79" s="188"/>
      <c r="AQ79" s="188"/>
      <c r="AR79" s="188"/>
      <c r="AS79" s="188"/>
      <c r="AT79" s="188"/>
      <c r="AU79" s="188"/>
      <c r="AV79" s="188"/>
      <c r="AW79" s="188"/>
      <c r="AX79" s="188"/>
      <c r="AY79" s="188"/>
      <c r="AZ79" s="188"/>
      <c r="BA79" s="188"/>
      <c r="BB79" s="188"/>
      <c r="BC79" s="188"/>
      <c r="BD79" s="188"/>
      <c r="BE79" s="188"/>
      <c r="BF79" s="319" t="str">
        <f t="shared" si="7"/>
        <v>Pendiente</v>
      </c>
      <c r="BI79" s="319"/>
      <c r="BJ79" s="319"/>
      <c r="BM79" s="322"/>
    </row>
    <row r="80" spans="1:65" ht="17" customHeight="1">
      <c r="A80" s="213">
        <v>5</v>
      </c>
      <c r="B80" s="113">
        <f>Horarios!C80</f>
        <v>46350.875</v>
      </c>
      <c r="C80" s="114">
        <f>Horarios!C80</f>
        <v>46350.875</v>
      </c>
      <c r="D80" s="115" t="s">
        <v>738</v>
      </c>
      <c r="E80" s="214" t="e" cm="1" vm="32">
        <f t="array" ref="E80">badge_home</f>
        <v>#VALUE!</v>
      </c>
      <c r="F80" s="217"/>
      <c r="G80" s="86"/>
      <c r="H80" s="87"/>
      <c r="I80" s="216"/>
      <c r="J80" s="217" t="e" cm="1" vm="36">
        <f t="array" ref="J80">badge_away</f>
        <v>#VALUE!</v>
      </c>
      <c r="K80" s="211" t="s">
        <v>1003</v>
      </c>
      <c r="L80" s="129"/>
      <c r="M80" s="188"/>
      <c r="N80" s="188"/>
      <c r="O80" s="188"/>
      <c r="P80" s="188"/>
      <c r="Q80" s="188"/>
      <c r="R80" s="188"/>
      <c r="S80" s="188"/>
      <c r="T80" s="188"/>
      <c r="U80" s="188"/>
      <c r="V80" s="188"/>
      <c r="W80" s="188"/>
      <c r="X80" s="188"/>
      <c r="Y80" s="188"/>
      <c r="Z80" s="188"/>
      <c r="AA80" s="188"/>
      <c r="AB80" s="188"/>
      <c r="AC80" s="188"/>
      <c r="AD80" s="188"/>
      <c r="AE80" s="188"/>
      <c r="AF80" s="188"/>
      <c r="AG80" s="188"/>
      <c r="AH80" s="188"/>
      <c r="AI80" s="188"/>
      <c r="AJ80" s="188"/>
      <c r="AK80" s="188"/>
      <c r="AL80" s="188"/>
      <c r="AM80" s="188"/>
      <c r="AN80" s="188"/>
      <c r="AO80" s="188"/>
      <c r="AP80" s="188"/>
      <c r="AQ80" s="188"/>
      <c r="AR80" s="188"/>
      <c r="AS80" s="188"/>
      <c r="AT80" s="188"/>
      <c r="AU80" s="188"/>
      <c r="AV80" s="188"/>
      <c r="AW80" s="188"/>
      <c r="AX80" s="188"/>
      <c r="AY80" s="188"/>
      <c r="AZ80" s="188"/>
      <c r="BA80" s="188"/>
      <c r="BB80" s="188"/>
      <c r="BC80" s="188"/>
      <c r="BD80" s="188"/>
      <c r="BE80" s="188"/>
      <c r="BF80" s="319" t="str">
        <f t="shared" si="7"/>
        <v>Pendiente</v>
      </c>
      <c r="BI80" s="319"/>
      <c r="BJ80" s="319"/>
      <c r="BM80" s="322"/>
    </row>
    <row r="81" spans="1:65" ht="17" customHeight="1">
      <c r="A81" s="206">
        <v>5</v>
      </c>
      <c r="B81" s="110">
        <f>Horarios!C81</f>
        <v>46350.875</v>
      </c>
      <c r="C81" s="111">
        <f>Horarios!C81</f>
        <v>46350.875</v>
      </c>
      <c r="D81" s="112" t="s">
        <v>2</v>
      </c>
      <c r="E81" s="207" t="e" cm="1" vm="14">
        <f t="array" ref="E81">badge_home</f>
        <v>#VALUE!</v>
      </c>
      <c r="F81" s="210"/>
      <c r="G81" s="84"/>
      <c r="H81" s="85"/>
      <c r="I81" s="209"/>
      <c r="J81" s="210" t="e" cm="1" vm="30">
        <f t="array" ref="J81">badge_away</f>
        <v>#VALUE!</v>
      </c>
      <c r="K81" s="132" t="s">
        <v>741</v>
      </c>
      <c r="L81" s="129"/>
      <c r="M81" s="188"/>
      <c r="N81" s="188"/>
      <c r="O81" s="188"/>
      <c r="P81" s="188"/>
      <c r="Q81" s="188"/>
      <c r="R81" s="188"/>
      <c r="S81" s="188"/>
      <c r="T81" s="188"/>
      <c r="U81" s="188"/>
      <c r="V81" s="188"/>
      <c r="W81" s="188"/>
      <c r="X81" s="188"/>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8"/>
      <c r="AW81" s="188"/>
      <c r="AX81" s="188"/>
      <c r="AY81" s="188"/>
      <c r="AZ81" s="188"/>
      <c r="BA81" s="188"/>
      <c r="BB81" s="188"/>
      <c r="BC81" s="188"/>
      <c r="BD81" s="188"/>
      <c r="BE81" s="188"/>
      <c r="BF81" s="319" t="str">
        <f t="shared" si="7"/>
        <v>Pendiente</v>
      </c>
      <c r="BI81" s="319"/>
      <c r="BJ81" s="319"/>
      <c r="BM81" s="322"/>
    </row>
    <row r="82" spans="1:65" ht="17" customHeight="1">
      <c r="A82" s="213">
        <v>5</v>
      </c>
      <c r="B82" s="113">
        <f>Horarios!C82</f>
        <v>46350.875</v>
      </c>
      <c r="C82" s="114">
        <f>Horarios!C82</f>
        <v>46350.875</v>
      </c>
      <c r="D82" s="115" t="s">
        <v>1027</v>
      </c>
      <c r="E82" s="214" t="e" cm="1" vm="23">
        <f t="array" ref="E82">badge_home</f>
        <v>#VALUE!</v>
      </c>
      <c r="F82" s="217"/>
      <c r="G82" s="86"/>
      <c r="H82" s="87"/>
      <c r="I82" s="216"/>
      <c r="J82" s="217" t="e" cm="1" vm="12">
        <f t="array" ref="J82">badge_away</f>
        <v>#VALUE!</v>
      </c>
      <c r="K82" s="211" t="s">
        <v>1009</v>
      </c>
      <c r="L82" s="129"/>
      <c r="M82" s="188"/>
      <c r="N82" s="188"/>
      <c r="O82" s="188"/>
      <c r="P82" s="188"/>
      <c r="Q82" s="188"/>
      <c r="R82" s="188"/>
      <c r="S82" s="188"/>
      <c r="T82" s="188"/>
      <c r="U82" s="188"/>
      <c r="V82" s="188"/>
      <c r="W82" s="188"/>
      <c r="X82" s="188"/>
      <c r="Y82" s="188"/>
      <c r="Z82" s="188"/>
      <c r="AA82" s="188"/>
      <c r="AB82" s="188"/>
      <c r="AC82" s="188"/>
      <c r="AD82" s="188"/>
      <c r="AE82" s="188"/>
      <c r="AF82" s="188"/>
      <c r="AG82" s="188"/>
      <c r="AH82" s="188"/>
      <c r="AI82" s="188"/>
      <c r="AJ82" s="188"/>
      <c r="AK82" s="188"/>
      <c r="AL82" s="188"/>
      <c r="AM82" s="188"/>
      <c r="AN82" s="188"/>
      <c r="AO82" s="188"/>
      <c r="AP82" s="188"/>
      <c r="AQ82" s="188"/>
      <c r="AR82" s="188"/>
      <c r="AS82" s="188"/>
      <c r="AT82" s="188"/>
      <c r="AU82" s="188"/>
      <c r="AV82" s="188"/>
      <c r="AW82" s="188"/>
      <c r="AX82" s="188"/>
      <c r="AY82" s="188"/>
      <c r="AZ82" s="188"/>
      <c r="BA82" s="188"/>
      <c r="BB82" s="188"/>
      <c r="BC82" s="188"/>
      <c r="BD82" s="188"/>
      <c r="BE82" s="188"/>
      <c r="BF82" s="319" t="str">
        <f t="shared" si="7"/>
        <v>Pendiente</v>
      </c>
      <c r="BI82" s="319"/>
      <c r="BJ82" s="319"/>
      <c r="BM82" s="322"/>
    </row>
    <row r="83" spans="1:65" ht="17" customHeight="1">
      <c r="A83" s="206">
        <v>5</v>
      </c>
      <c r="B83" s="110">
        <f>Horarios!C83</f>
        <v>46351.78125</v>
      </c>
      <c r="C83" s="111">
        <f>Horarios!C83</f>
        <v>46351.78125</v>
      </c>
      <c r="D83" s="112" t="s">
        <v>1030</v>
      </c>
      <c r="E83" s="207" t="e" cm="1" vm="34">
        <f t="array" ref="E83">badge_home</f>
        <v>#VALUE!</v>
      </c>
      <c r="F83" s="210"/>
      <c r="G83" s="84"/>
      <c r="H83" s="85"/>
      <c r="I83" s="209"/>
      <c r="J83" s="210" t="e" cm="1" vm="13">
        <f t="array" ref="J83">badge_away</f>
        <v>#VALUE!</v>
      </c>
      <c r="K83" s="132" t="s">
        <v>692</v>
      </c>
      <c r="L83" s="129"/>
      <c r="M83" s="188"/>
      <c r="N83" s="188"/>
      <c r="O83" s="188"/>
      <c r="P83" s="188"/>
      <c r="Q83" s="188"/>
      <c r="R83" s="188"/>
      <c r="S83" s="188"/>
      <c r="T83" s="188"/>
      <c r="U83" s="188"/>
      <c r="V83" s="188"/>
      <c r="W83" s="188"/>
      <c r="X83" s="188"/>
      <c r="Y83" s="188"/>
      <c r="Z83" s="188"/>
      <c r="AA83" s="188"/>
      <c r="AB83" s="188"/>
      <c r="AC83" s="188"/>
      <c r="AD83" s="188"/>
      <c r="AE83" s="188"/>
      <c r="AF83" s="188"/>
      <c r="AG83" s="188"/>
      <c r="AH83" s="188"/>
      <c r="AI83" s="188"/>
      <c r="AJ83" s="188"/>
      <c r="AK83" s="188"/>
      <c r="AL83" s="188"/>
      <c r="AM83" s="188"/>
      <c r="AN83" s="188"/>
      <c r="AO83" s="188"/>
      <c r="AP83" s="188"/>
      <c r="AQ83" s="188"/>
      <c r="AR83" s="188"/>
      <c r="AS83" s="188"/>
      <c r="AT83" s="188"/>
      <c r="AU83" s="188"/>
      <c r="AV83" s="188"/>
      <c r="AW83" s="188"/>
      <c r="AX83" s="188"/>
      <c r="AY83" s="188"/>
      <c r="AZ83" s="188"/>
      <c r="BA83" s="188"/>
      <c r="BB83" s="188"/>
      <c r="BC83" s="188"/>
      <c r="BD83" s="188"/>
      <c r="BE83" s="188"/>
      <c r="BF83" s="319" t="str">
        <f t="shared" si="7"/>
        <v>Pendiente</v>
      </c>
      <c r="BI83" s="319"/>
      <c r="BJ83" s="319"/>
      <c r="BM83" s="322"/>
    </row>
    <row r="84" spans="1:65" ht="17" customHeight="1">
      <c r="A84" s="213">
        <v>5</v>
      </c>
      <c r="B84" s="113">
        <f>Horarios!C84</f>
        <v>46351.78125</v>
      </c>
      <c r="C84" s="114">
        <f>Horarios!C84</f>
        <v>46351.78125</v>
      </c>
      <c r="D84" s="115" t="s">
        <v>995</v>
      </c>
      <c r="E84" s="214" t="e" cm="1" vm="35">
        <f t="array" ref="E84">badge_home</f>
        <v>#VALUE!</v>
      </c>
      <c r="F84" s="217"/>
      <c r="G84" s="86"/>
      <c r="H84" s="87"/>
      <c r="I84" s="216"/>
      <c r="J84" s="217" t="e" cm="1" vm="7">
        <f t="array" ref="J84">badge_away</f>
        <v>#VALUE!</v>
      </c>
      <c r="K84" s="211" t="s">
        <v>982</v>
      </c>
      <c r="L84" s="129"/>
      <c r="M84" s="188"/>
      <c r="N84" s="188"/>
      <c r="O84" s="188"/>
      <c r="P84" s="188"/>
      <c r="Q84" s="188"/>
      <c r="R84" s="188"/>
      <c r="S84" s="188"/>
      <c r="T84" s="188"/>
      <c r="U84" s="188"/>
      <c r="V84" s="188"/>
      <c r="W84" s="188"/>
      <c r="X84" s="188"/>
      <c r="Y84" s="188"/>
      <c r="Z84" s="188"/>
      <c r="AA84" s="188"/>
      <c r="AB84" s="188"/>
      <c r="AC84" s="188"/>
      <c r="AD84" s="188"/>
      <c r="AE84" s="188"/>
      <c r="AF84" s="188"/>
      <c r="AG84" s="188"/>
      <c r="AH84" s="188"/>
      <c r="AI84" s="188"/>
      <c r="AJ84" s="188"/>
      <c r="AK84" s="188"/>
      <c r="AL84" s="188"/>
      <c r="AM84" s="188"/>
      <c r="AN84" s="188"/>
      <c r="AO84" s="188"/>
      <c r="AP84" s="188"/>
      <c r="AQ84" s="188"/>
      <c r="AR84" s="188"/>
      <c r="AS84" s="188"/>
      <c r="AT84" s="188"/>
      <c r="AU84" s="188"/>
      <c r="AV84" s="188"/>
      <c r="AW84" s="188"/>
      <c r="AX84" s="188"/>
      <c r="AY84" s="188"/>
      <c r="AZ84" s="188"/>
      <c r="BA84" s="188"/>
      <c r="BB84" s="188"/>
      <c r="BC84" s="188"/>
      <c r="BD84" s="188"/>
      <c r="BE84" s="188"/>
      <c r="BF84" s="319" t="str">
        <f t="shared" si="7"/>
        <v>Pendiente</v>
      </c>
      <c r="BI84" s="319"/>
      <c r="BJ84" s="319"/>
      <c r="BM84" s="322"/>
    </row>
    <row r="85" spans="1:65" ht="17" customHeight="1">
      <c r="A85" s="206">
        <v>5</v>
      </c>
      <c r="B85" s="110">
        <f>Horarios!C85</f>
        <v>46351.875</v>
      </c>
      <c r="C85" s="111">
        <f>Horarios!C85</f>
        <v>46351.875</v>
      </c>
      <c r="D85" s="112" t="s">
        <v>992</v>
      </c>
      <c r="E85" s="207" t="e" cm="1" vm="10">
        <f t="array" ref="E85">badge_home</f>
        <v>#VALUE!</v>
      </c>
      <c r="F85" s="210"/>
      <c r="G85" s="84"/>
      <c r="H85" s="85"/>
      <c r="I85" s="209"/>
      <c r="J85" s="210" t="e" cm="1" vm="19">
        <f t="array" ref="J85">badge_away</f>
        <v>#VALUE!</v>
      </c>
      <c r="K85" s="132" t="s">
        <v>1029</v>
      </c>
      <c r="L85" s="129"/>
      <c r="M85" s="188"/>
      <c r="N85" s="188"/>
      <c r="O85" s="188"/>
      <c r="P85" s="188"/>
      <c r="Q85" s="188"/>
      <c r="R85" s="188"/>
      <c r="S85" s="188"/>
      <c r="T85" s="188"/>
      <c r="U85" s="188"/>
      <c r="V85" s="188"/>
      <c r="W85" s="188"/>
      <c r="X85" s="188"/>
      <c r="Y85" s="188"/>
      <c r="Z85" s="188"/>
      <c r="AA85" s="188"/>
      <c r="AB85" s="188"/>
      <c r="AC85" s="188"/>
      <c r="AD85" s="188"/>
      <c r="AE85" s="188"/>
      <c r="AF85" s="188"/>
      <c r="AG85" s="188"/>
      <c r="AH85" s="188"/>
      <c r="AI85" s="188"/>
      <c r="AJ85" s="188"/>
      <c r="AK85" s="188"/>
      <c r="AL85" s="188"/>
      <c r="AM85" s="188"/>
      <c r="AN85" s="188"/>
      <c r="AO85" s="188"/>
      <c r="AP85" s="188"/>
      <c r="AQ85" s="188"/>
      <c r="AR85" s="188"/>
      <c r="AS85" s="188"/>
      <c r="AT85" s="188"/>
      <c r="AU85" s="188"/>
      <c r="AV85" s="188"/>
      <c r="AW85" s="188"/>
      <c r="AX85" s="188"/>
      <c r="AY85" s="188"/>
      <c r="AZ85" s="188"/>
      <c r="BA85" s="188"/>
      <c r="BB85" s="188"/>
      <c r="BC85" s="188"/>
      <c r="BD85" s="188"/>
      <c r="BE85" s="188"/>
      <c r="BF85" s="319" t="str">
        <f t="shared" si="7"/>
        <v>Pendiente</v>
      </c>
      <c r="BI85" s="319"/>
      <c r="BJ85" s="319"/>
      <c r="BM85" s="322"/>
    </row>
    <row r="86" spans="1:65" ht="17" customHeight="1">
      <c r="A86" s="213">
        <v>5</v>
      </c>
      <c r="B86" s="113">
        <f>Horarios!C86</f>
        <v>46351.875</v>
      </c>
      <c r="C86" s="114">
        <f>Horarios!C86</f>
        <v>46351.875</v>
      </c>
      <c r="D86" s="115" t="s">
        <v>815</v>
      </c>
      <c r="E86" s="214" t="e" cm="1" vm="3">
        <f t="array" ref="E86">badge_home</f>
        <v>#VALUE!</v>
      </c>
      <c r="F86" s="217"/>
      <c r="G86" s="86"/>
      <c r="H86" s="87"/>
      <c r="I86" s="216"/>
      <c r="J86" s="217" t="e" cm="1" vm="21">
        <f t="array" ref="J86">badge_away</f>
        <v>#VALUE!</v>
      </c>
      <c r="K86" s="211" t="s">
        <v>739</v>
      </c>
      <c r="L86" s="129"/>
      <c r="M86" s="188"/>
      <c r="N86" s="188"/>
      <c r="O86" s="188"/>
      <c r="P86" s="188"/>
      <c r="Q86" s="188"/>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319" t="str">
        <f t="shared" si="7"/>
        <v>Pendiente</v>
      </c>
      <c r="BI86" s="319"/>
      <c r="BJ86" s="319"/>
      <c r="BM86" s="322"/>
    </row>
    <row r="87" spans="1:65" ht="17" customHeight="1">
      <c r="A87" s="206">
        <v>5</v>
      </c>
      <c r="B87" s="110">
        <f>Horarios!C87</f>
        <v>46351.875</v>
      </c>
      <c r="C87" s="111">
        <f>Horarios!C87</f>
        <v>46351.875</v>
      </c>
      <c r="D87" s="112" t="s">
        <v>695</v>
      </c>
      <c r="E87" s="207" t="e" cm="1" vm="15">
        <f t="array" ref="E87">badge_home</f>
        <v>#VALUE!</v>
      </c>
      <c r="F87" s="210"/>
      <c r="G87" s="84"/>
      <c r="H87" s="85"/>
      <c r="I87" s="209"/>
      <c r="J87" s="210" t="e" cm="1" vm="18">
        <f t="array" ref="J87">badge_away</f>
        <v>#VALUE!</v>
      </c>
      <c r="K87" s="132" t="s">
        <v>694</v>
      </c>
      <c r="L87" s="129"/>
      <c r="M87" s="188"/>
      <c r="N87" s="188"/>
      <c r="O87" s="188"/>
      <c r="P87" s="188"/>
      <c r="Q87" s="188"/>
      <c r="R87" s="188"/>
      <c r="S87" s="188"/>
      <c r="T87" s="188"/>
      <c r="U87" s="188"/>
      <c r="V87" s="188"/>
      <c r="W87" s="188"/>
      <c r="X87" s="188"/>
      <c r="Y87" s="188"/>
      <c r="Z87" s="188"/>
      <c r="AA87" s="188"/>
      <c r="AB87" s="188"/>
      <c r="AC87" s="188"/>
      <c r="AD87" s="188"/>
      <c r="AE87" s="188"/>
      <c r="AF87" s="188"/>
      <c r="AG87" s="188"/>
      <c r="AH87" s="188"/>
      <c r="AI87" s="188"/>
      <c r="AJ87" s="188"/>
      <c r="AK87" s="188"/>
      <c r="AL87" s="188"/>
      <c r="AM87" s="188"/>
      <c r="AN87" s="188"/>
      <c r="AO87" s="188"/>
      <c r="AP87" s="188"/>
      <c r="AQ87" s="188"/>
      <c r="AR87" s="188"/>
      <c r="AS87" s="188"/>
      <c r="AT87" s="188"/>
      <c r="AU87" s="188"/>
      <c r="AV87" s="188"/>
      <c r="AW87" s="188"/>
      <c r="AX87" s="188"/>
      <c r="AY87" s="188"/>
      <c r="AZ87" s="188"/>
      <c r="BA87" s="188"/>
      <c r="BB87" s="188"/>
      <c r="BC87" s="188"/>
      <c r="BD87" s="188"/>
      <c r="BE87" s="188"/>
      <c r="BF87" s="319" t="str">
        <f t="shared" si="7"/>
        <v>Pendiente</v>
      </c>
      <c r="BI87" s="319"/>
      <c r="BJ87" s="319"/>
      <c r="BM87" s="322"/>
    </row>
    <row r="88" spans="1:65" ht="17" customHeight="1">
      <c r="A88" s="213">
        <v>5</v>
      </c>
      <c r="B88" s="113">
        <f>Horarios!C88</f>
        <v>46351.875</v>
      </c>
      <c r="C88" s="114">
        <f>Horarios!C88</f>
        <v>46351.875</v>
      </c>
      <c r="D88" s="115" t="s">
        <v>818</v>
      </c>
      <c r="E88" s="214" t="e" cm="1" vm="31">
        <f t="array" ref="E88">badge_home</f>
        <v>#VALUE!</v>
      </c>
      <c r="F88" s="217"/>
      <c r="G88" s="86"/>
      <c r="H88" s="87"/>
      <c r="I88" s="216"/>
      <c r="J88" s="217" t="e" cm="1" vm="28">
        <f t="array" ref="J88">badge_away</f>
        <v>#VALUE!</v>
      </c>
      <c r="K88" s="211" t="s">
        <v>1028</v>
      </c>
      <c r="L88" s="129"/>
      <c r="M88" s="188"/>
      <c r="N88" s="188"/>
      <c r="O88" s="188"/>
      <c r="P88" s="188"/>
      <c r="Q88" s="188"/>
      <c r="R88" s="188"/>
      <c r="S88" s="188"/>
      <c r="T88" s="188"/>
      <c r="U88" s="188"/>
      <c r="V88" s="188"/>
      <c r="W88" s="188"/>
      <c r="X88" s="188"/>
      <c r="Y88" s="188"/>
      <c r="Z88" s="188"/>
      <c r="AA88" s="188"/>
      <c r="AB88" s="188"/>
      <c r="AC88" s="188"/>
      <c r="AD88" s="188"/>
      <c r="AE88" s="188"/>
      <c r="AF88" s="188"/>
      <c r="AG88" s="188"/>
      <c r="AH88" s="188"/>
      <c r="AI88" s="188"/>
      <c r="AJ88" s="188"/>
      <c r="AK88" s="188"/>
      <c r="AL88" s="188"/>
      <c r="AM88" s="188"/>
      <c r="AN88" s="188"/>
      <c r="AO88" s="188"/>
      <c r="AP88" s="188"/>
      <c r="AQ88" s="188"/>
      <c r="AR88" s="188"/>
      <c r="AS88" s="188"/>
      <c r="AT88" s="188"/>
      <c r="AU88" s="188"/>
      <c r="AV88" s="188"/>
      <c r="AW88" s="188"/>
      <c r="AX88" s="188"/>
      <c r="AY88" s="188"/>
      <c r="AZ88" s="188"/>
      <c r="BA88" s="188"/>
      <c r="BB88" s="188"/>
      <c r="BC88" s="188"/>
      <c r="BD88" s="188"/>
      <c r="BE88" s="188"/>
      <c r="BF88" s="319" t="str">
        <f t="shared" si="7"/>
        <v>Pendiente</v>
      </c>
      <c r="BI88" s="319"/>
      <c r="BJ88" s="319"/>
      <c r="BM88" s="322"/>
    </row>
    <row r="89" spans="1:65" ht="17" customHeight="1">
      <c r="A89" s="206">
        <v>5</v>
      </c>
      <c r="B89" s="110">
        <f>Horarios!C89</f>
        <v>46351.875</v>
      </c>
      <c r="C89" s="111">
        <f>Horarios!C89</f>
        <v>46351.875</v>
      </c>
      <c r="D89" s="112" t="s">
        <v>699</v>
      </c>
      <c r="E89" s="207" t="e" cm="1" vm="11">
        <f t="array" ref="E89">badge_home</f>
        <v>#VALUE!</v>
      </c>
      <c r="F89" s="210"/>
      <c r="G89" s="84"/>
      <c r="H89" s="85"/>
      <c r="I89" s="209"/>
      <c r="J89" s="210" t="e" cm="1" vm="16">
        <f t="array" ref="J89">badge_away</f>
        <v>#VALUE!</v>
      </c>
      <c r="K89" s="132" t="s">
        <v>993</v>
      </c>
      <c r="L89" s="129"/>
      <c r="M89" s="188"/>
      <c r="N89" s="188"/>
      <c r="O89" s="188"/>
      <c r="P89" s="188"/>
      <c r="Q89" s="188"/>
      <c r="R89" s="188"/>
      <c r="S89" s="188"/>
      <c r="T89" s="188"/>
      <c r="U89" s="188"/>
      <c r="V89" s="188"/>
      <c r="W89" s="188"/>
      <c r="X89" s="188"/>
      <c r="Y89" s="188"/>
      <c r="Z89" s="188"/>
      <c r="AA89" s="188"/>
      <c r="AB89" s="188"/>
      <c r="AC89" s="188"/>
      <c r="AD89" s="188"/>
      <c r="AE89" s="188"/>
      <c r="AF89" s="188"/>
      <c r="AG89" s="188"/>
      <c r="AH89" s="188"/>
      <c r="AI89" s="188"/>
      <c r="AJ89" s="188"/>
      <c r="AK89" s="188"/>
      <c r="AL89" s="188"/>
      <c r="AM89" s="188"/>
      <c r="AN89" s="188"/>
      <c r="AO89" s="188"/>
      <c r="AP89" s="188"/>
      <c r="AQ89" s="188"/>
      <c r="AR89" s="188"/>
      <c r="AS89" s="188"/>
      <c r="AT89" s="188"/>
      <c r="AU89" s="188"/>
      <c r="AV89" s="188"/>
      <c r="AW89" s="188"/>
      <c r="AX89" s="188"/>
      <c r="AY89" s="188"/>
      <c r="AZ89" s="188"/>
      <c r="BA89" s="188"/>
      <c r="BB89" s="188"/>
      <c r="BC89" s="188"/>
      <c r="BD89" s="188"/>
      <c r="BE89" s="188"/>
      <c r="BF89" s="319" t="str">
        <f t="shared" si="7"/>
        <v>Pendiente</v>
      </c>
      <c r="BI89" s="319"/>
      <c r="BJ89" s="319"/>
      <c r="BM89" s="322"/>
    </row>
    <row r="90" spans="1:65" ht="17" customHeight="1">
      <c r="A90" s="213">
        <v>5</v>
      </c>
      <c r="B90" s="113">
        <f>Horarios!C90</f>
        <v>46351.875</v>
      </c>
      <c r="C90" s="114">
        <f>Horarios!C90</f>
        <v>46351.875</v>
      </c>
      <c r="D90" s="115" t="s">
        <v>698</v>
      </c>
      <c r="E90" s="214" t="e" cm="1" vm="22">
        <f t="array" ref="E90">badge_home</f>
        <v>#VALUE!</v>
      </c>
      <c r="F90" s="217"/>
      <c r="G90" s="86"/>
      <c r="H90" s="87"/>
      <c r="I90" s="216"/>
      <c r="J90" s="217" t="e" cm="1" vm="29">
        <f t="array" ref="J90">badge_away</f>
        <v>#VALUE!</v>
      </c>
      <c r="K90" s="211" t="s">
        <v>1006</v>
      </c>
      <c r="L90" s="129"/>
      <c r="M90" s="188"/>
      <c r="N90" s="188"/>
      <c r="O90" s="188"/>
      <c r="P90" s="188"/>
      <c r="Q90" s="188"/>
      <c r="R90" s="188"/>
      <c r="S90" s="188"/>
      <c r="T90" s="188"/>
      <c r="U90" s="188"/>
      <c r="V90" s="188"/>
      <c r="W90" s="188"/>
      <c r="X90" s="188"/>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c r="AW90" s="188"/>
      <c r="AX90" s="188"/>
      <c r="AY90" s="188"/>
      <c r="AZ90" s="188"/>
      <c r="BA90" s="188"/>
      <c r="BB90" s="188"/>
      <c r="BC90" s="188"/>
      <c r="BD90" s="188"/>
      <c r="BE90" s="188"/>
      <c r="BF90" s="319" t="str">
        <f t="shared" si="7"/>
        <v>Pendiente</v>
      </c>
      <c r="BI90" s="319"/>
      <c r="BJ90" s="319"/>
      <c r="BM90" s="322"/>
    </row>
    <row r="91" spans="1:65" ht="17" customHeight="1" thickBot="1">
      <c r="A91" s="206">
        <v>5</v>
      </c>
      <c r="B91" s="110">
        <f>Horarios!C91</f>
        <v>46351.875</v>
      </c>
      <c r="C91" s="111">
        <f>Horarios!C91</f>
        <v>46351.875</v>
      </c>
      <c r="D91" s="112" t="s">
        <v>803</v>
      </c>
      <c r="E91" s="207" t="e" cm="1" vm="24">
        <f t="array" ref="E91">badge_home</f>
        <v>#VALUE!</v>
      </c>
      <c r="F91" s="210"/>
      <c r="G91" s="84"/>
      <c r="H91" s="85"/>
      <c r="I91" s="209"/>
      <c r="J91" s="210" t="e" cm="1" vm="33">
        <f t="array" ref="J91">badge_away</f>
        <v>#VALUE!</v>
      </c>
      <c r="K91" s="211" t="s">
        <v>1004</v>
      </c>
      <c r="L91" s="129"/>
      <c r="M91" s="188"/>
      <c r="N91" s="188"/>
      <c r="O91" s="188"/>
      <c r="P91" s="188"/>
      <c r="Q91" s="188"/>
      <c r="R91" s="188"/>
      <c r="S91" s="188"/>
      <c r="T91" s="188"/>
      <c r="U91" s="188"/>
      <c r="V91" s="188"/>
      <c r="W91" s="188"/>
      <c r="X91" s="188"/>
      <c r="Y91" s="188"/>
      <c r="Z91" s="188"/>
      <c r="AA91" s="188"/>
      <c r="AB91" s="188"/>
      <c r="AC91" s="188"/>
      <c r="AD91" s="188"/>
      <c r="AE91" s="188"/>
      <c r="AF91" s="188"/>
      <c r="AG91" s="188"/>
      <c r="AH91" s="188"/>
      <c r="AI91" s="188"/>
      <c r="AJ91" s="188"/>
      <c r="AK91" s="188"/>
      <c r="AL91" s="188"/>
      <c r="AM91" s="188"/>
      <c r="AN91" s="188"/>
      <c r="AO91" s="188"/>
      <c r="AP91" s="188"/>
      <c r="AQ91" s="188"/>
      <c r="AR91" s="188"/>
      <c r="AS91" s="188"/>
      <c r="AT91" s="188"/>
      <c r="AU91" s="188"/>
      <c r="AV91" s="188"/>
      <c r="AW91" s="188"/>
      <c r="AX91" s="188"/>
      <c r="AY91" s="188"/>
      <c r="AZ91" s="188"/>
      <c r="BA91" s="188"/>
      <c r="BB91" s="188"/>
      <c r="BC91" s="188"/>
      <c r="BD91" s="188"/>
      <c r="BE91" s="188"/>
      <c r="BF91" s="319" t="str">
        <f t="shared" si="7"/>
        <v>Pendiente</v>
      </c>
      <c r="BI91" s="319"/>
      <c r="BJ91" s="319"/>
      <c r="BM91" s="322"/>
    </row>
    <row r="92" spans="1:65" ht="17" customHeight="1" thickBot="1">
      <c r="A92" s="221">
        <v>6</v>
      </c>
      <c r="B92" s="116">
        <f>Horarios!C92</f>
        <v>46364.78125</v>
      </c>
      <c r="C92" s="117">
        <f>Horarios!C92</f>
        <v>46364.78125</v>
      </c>
      <c r="D92" s="118" t="s">
        <v>1029</v>
      </c>
      <c r="E92" s="236" t="e" cm="1" vm="19">
        <f t="array" ref="E92">badge_home</f>
        <v>#VALUE!</v>
      </c>
      <c r="F92" s="237"/>
      <c r="G92" s="92"/>
      <c r="H92" s="93"/>
      <c r="I92" s="238"/>
      <c r="J92" s="225" t="e" cm="1" vm="17">
        <f t="array" ref="J92">badge_away</f>
        <v>#VALUE!</v>
      </c>
      <c r="K92" s="133" t="s">
        <v>737</v>
      </c>
      <c r="L92" s="226" t="s">
        <v>813</v>
      </c>
      <c r="N92" s="188"/>
      <c r="O92" s="188"/>
      <c r="P92" s="188"/>
      <c r="Q92" s="188"/>
      <c r="R92" s="188"/>
      <c r="S92" s="188"/>
      <c r="T92" s="188"/>
      <c r="U92" s="188"/>
      <c r="V92" s="188"/>
      <c r="W92" s="188"/>
      <c r="X92" s="188"/>
      <c r="Y92" s="188"/>
      <c r="Z92" s="188"/>
      <c r="AA92" s="188"/>
      <c r="AB92" s="188"/>
      <c r="AC92" s="188"/>
      <c r="AD92" s="188"/>
      <c r="AE92" s="188"/>
      <c r="AF92" s="188"/>
      <c r="AG92" s="188"/>
      <c r="AH92" s="188"/>
      <c r="AI92" s="188"/>
      <c r="AJ92" s="188"/>
      <c r="AK92" s="188"/>
      <c r="AL92" s="188"/>
      <c r="AM92" s="188"/>
      <c r="AN92" s="188"/>
      <c r="AO92" s="188"/>
      <c r="AP92" s="188"/>
      <c r="AQ92" s="188"/>
      <c r="AR92" s="188"/>
      <c r="AS92" s="188"/>
      <c r="AT92" s="188"/>
      <c r="AU92" s="188"/>
      <c r="AV92" s="188"/>
      <c r="AW92" s="188"/>
      <c r="AX92" s="188"/>
      <c r="AY92" s="188"/>
      <c r="AZ92" s="188"/>
      <c r="BA92" s="188"/>
      <c r="BB92" s="188"/>
      <c r="BC92" s="188"/>
      <c r="BD92" s="188"/>
      <c r="BE92" s="188"/>
      <c r="BF92" s="319" t="str">
        <f t="shared" si="7"/>
        <v>Pendiente</v>
      </c>
      <c r="BI92" s="319"/>
      <c r="BJ92" s="319"/>
      <c r="BM92" s="322"/>
    </row>
    <row r="93" spans="1:65" ht="17" customHeight="1">
      <c r="A93" s="227">
        <v>6</v>
      </c>
      <c r="B93" s="116">
        <f>Horarios!C93</f>
        <v>46364.78125</v>
      </c>
      <c r="C93" s="117">
        <f>Horarios!C93</f>
        <v>46364.78125</v>
      </c>
      <c r="D93" s="118" t="s">
        <v>982</v>
      </c>
      <c r="E93" s="222" t="e" cm="1" vm="7">
        <f t="array" ref="E93">badge_home</f>
        <v>#VALUE!</v>
      </c>
      <c r="F93" s="235"/>
      <c r="G93" s="88"/>
      <c r="H93" s="90"/>
      <c r="I93" s="224"/>
      <c r="J93" s="225" t="e" cm="1" vm="34">
        <f t="array" ref="J93">badge_away</f>
        <v>#VALUE!</v>
      </c>
      <c r="K93" s="133" t="s">
        <v>1030</v>
      </c>
      <c r="L93" s="129"/>
      <c r="M93" s="188"/>
      <c r="N93" s="188"/>
      <c r="O93" s="188"/>
      <c r="P93" s="188"/>
      <c r="Q93" s="188"/>
      <c r="R93" s="188"/>
      <c r="S93" s="188"/>
      <c r="T93" s="188"/>
      <c r="U93" s="188"/>
      <c r="V93" s="188"/>
      <c r="W93" s="188"/>
      <c r="X93" s="188"/>
      <c r="Y93" s="188"/>
      <c r="Z93" s="188"/>
      <c r="AA93" s="188"/>
      <c r="AB93" s="188"/>
      <c r="AC93" s="188"/>
      <c r="AD93" s="188"/>
      <c r="AE93" s="188"/>
      <c r="AF93" s="188"/>
      <c r="AG93" s="188"/>
      <c r="AH93" s="188"/>
      <c r="AI93" s="188"/>
      <c r="AJ93" s="188"/>
      <c r="AK93" s="188"/>
      <c r="AL93" s="188"/>
      <c r="AM93" s="188"/>
      <c r="AN93" s="188"/>
      <c r="AO93" s="188"/>
      <c r="AP93" s="188"/>
      <c r="AQ93" s="188"/>
      <c r="AR93" s="188"/>
      <c r="AS93" s="188"/>
      <c r="AT93" s="188"/>
      <c r="AU93" s="188"/>
      <c r="AV93" s="188"/>
      <c r="AW93" s="188"/>
      <c r="AX93" s="188"/>
      <c r="AY93" s="188"/>
      <c r="AZ93" s="188"/>
      <c r="BA93" s="188"/>
      <c r="BB93" s="188"/>
      <c r="BC93" s="188"/>
      <c r="BD93" s="188"/>
      <c r="BE93" s="188"/>
      <c r="BF93" s="319" t="str">
        <f t="shared" si="7"/>
        <v>Pendiente</v>
      </c>
      <c r="BI93" s="319"/>
      <c r="BJ93" s="319"/>
      <c r="BM93" s="322"/>
    </row>
    <row r="94" spans="1:65" ht="17" customHeight="1">
      <c r="A94" s="227">
        <v>6</v>
      </c>
      <c r="B94" s="116">
        <f>Horarios!C94</f>
        <v>46364.875</v>
      </c>
      <c r="C94" s="117">
        <f>Horarios!C94</f>
        <v>46364.875</v>
      </c>
      <c r="D94" s="118" t="s">
        <v>1031</v>
      </c>
      <c r="E94" s="222" t="e" cm="1" vm="1">
        <f t="array" ref="E94">badge_home</f>
        <v>#VALUE!</v>
      </c>
      <c r="F94" s="235"/>
      <c r="G94" s="88"/>
      <c r="H94" s="90"/>
      <c r="I94" s="224"/>
      <c r="J94" s="225" t="e" cm="1" vm="25">
        <f t="array" ref="J94">badge_away</f>
        <v>#VALUE!</v>
      </c>
      <c r="K94" s="133" t="s">
        <v>986</v>
      </c>
      <c r="L94" s="129"/>
      <c r="M94" s="188"/>
      <c r="N94" s="188"/>
      <c r="O94" s="188"/>
      <c r="P94" s="188"/>
      <c r="Q94" s="188"/>
      <c r="R94" s="188"/>
      <c r="S94" s="188"/>
      <c r="T94" s="188"/>
      <c r="U94" s="188"/>
      <c r="V94" s="188"/>
      <c r="W94" s="188"/>
      <c r="X94" s="188"/>
      <c r="Y94" s="188"/>
      <c r="Z94" s="188"/>
      <c r="AA94" s="188"/>
      <c r="AB94" s="188"/>
      <c r="AC94" s="188"/>
      <c r="AD94" s="188"/>
      <c r="AE94" s="188"/>
      <c r="AF94" s="188"/>
      <c r="AG94" s="188"/>
      <c r="AH94" s="188"/>
      <c r="AI94" s="188"/>
      <c r="AJ94" s="188"/>
      <c r="AK94" s="188"/>
      <c r="AL94" s="188"/>
      <c r="AM94" s="188"/>
      <c r="AN94" s="188"/>
      <c r="AO94" s="188"/>
      <c r="AP94" s="188"/>
      <c r="AQ94" s="188"/>
      <c r="AR94" s="188"/>
      <c r="AS94" s="188"/>
      <c r="AT94" s="188"/>
      <c r="AU94" s="188"/>
      <c r="AV94" s="188"/>
      <c r="AW94" s="188"/>
      <c r="AX94" s="188"/>
      <c r="AY94" s="188"/>
      <c r="AZ94" s="188"/>
      <c r="BA94" s="188"/>
      <c r="BB94" s="188"/>
      <c r="BC94" s="188"/>
      <c r="BD94" s="188"/>
      <c r="BE94" s="188"/>
      <c r="BF94" s="319" t="str">
        <f t="shared" si="7"/>
        <v>Pendiente</v>
      </c>
      <c r="BI94" s="319"/>
      <c r="BJ94" s="319"/>
      <c r="BM94" s="322"/>
    </row>
    <row r="95" spans="1:65" ht="17" customHeight="1">
      <c r="A95" s="227">
        <v>6</v>
      </c>
      <c r="B95" s="116">
        <f>Horarios!C95</f>
        <v>46364.875</v>
      </c>
      <c r="C95" s="117">
        <f>Horarios!C95</f>
        <v>46364.875</v>
      </c>
      <c r="D95" s="118" t="s">
        <v>1006</v>
      </c>
      <c r="E95" s="222" t="e" cm="1" vm="29">
        <f t="array" ref="E95">badge_home</f>
        <v>#VALUE!</v>
      </c>
      <c r="F95" s="235"/>
      <c r="G95" s="88"/>
      <c r="H95" s="90"/>
      <c r="I95" s="224"/>
      <c r="J95" s="225" t="e" cm="1" vm="24">
        <f t="array" ref="J95">badge_away</f>
        <v>#VALUE!</v>
      </c>
      <c r="K95" s="133" t="s">
        <v>803</v>
      </c>
      <c r="L95" s="129"/>
      <c r="M95" s="188"/>
      <c r="N95" s="188"/>
      <c r="O95" s="188"/>
      <c r="P95" s="188"/>
      <c r="Q95" s="188"/>
      <c r="R95" s="188"/>
      <c r="S95" s="188"/>
      <c r="T95" s="188"/>
      <c r="U95" s="188"/>
      <c r="V95" s="188"/>
      <c r="W95" s="188"/>
      <c r="X95" s="188"/>
      <c r="Y95" s="188"/>
      <c r="Z95" s="188"/>
      <c r="AA95" s="188"/>
      <c r="AB95" s="188"/>
      <c r="AC95" s="188"/>
      <c r="AD95" s="188"/>
      <c r="AE95" s="188"/>
      <c r="AF95" s="188"/>
      <c r="AG95" s="188"/>
      <c r="AH95" s="188"/>
      <c r="AI95" s="188"/>
      <c r="AJ95" s="188"/>
      <c r="AK95" s="188"/>
      <c r="AL95" s="188"/>
      <c r="AM95" s="188"/>
      <c r="AN95" s="188"/>
      <c r="AO95" s="188"/>
      <c r="AP95" s="188"/>
      <c r="AQ95" s="188"/>
      <c r="AR95" s="188"/>
      <c r="AS95" s="188"/>
      <c r="AT95" s="188"/>
      <c r="AU95" s="188"/>
      <c r="AV95" s="188"/>
      <c r="AW95" s="188"/>
      <c r="AX95" s="188"/>
      <c r="AY95" s="188"/>
      <c r="AZ95" s="188"/>
      <c r="BA95" s="188"/>
      <c r="BB95" s="188"/>
      <c r="BC95" s="188"/>
      <c r="BD95" s="188"/>
      <c r="BE95" s="188"/>
      <c r="BF95" s="319" t="str">
        <f t="shared" si="7"/>
        <v>Pendiente</v>
      </c>
      <c r="BI95" s="319"/>
      <c r="BJ95" s="319"/>
      <c r="BM95" s="322"/>
    </row>
    <row r="96" spans="1:65" ht="17" customHeight="1">
      <c r="A96" s="227">
        <v>6</v>
      </c>
      <c r="B96" s="116">
        <f>Horarios!C96</f>
        <v>46364.875</v>
      </c>
      <c r="C96" s="117">
        <f>Horarios!C96</f>
        <v>46364.875</v>
      </c>
      <c r="D96" s="118" t="s">
        <v>808</v>
      </c>
      <c r="E96" s="222" t="e" cm="1" vm="4">
        <f t="array" ref="E96">badge_home</f>
        <v>#VALUE!</v>
      </c>
      <c r="F96" s="235"/>
      <c r="G96" s="88"/>
      <c r="H96" s="90"/>
      <c r="I96" s="224"/>
      <c r="J96" s="225" t="e" cm="1" vm="22">
        <f t="array" ref="J96">badge_away</f>
        <v>#VALUE!</v>
      </c>
      <c r="K96" s="133" t="s">
        <v>698</v>
      </c>
      <c r="L96" s="129"/>
      <c r="M96" s="188"/>
      <c r="N96" s="188"/>
      <c r="O96" s="188"/>
      <c r="P96" s="188"/>
      <c r="Q96" s="188"/>
      <c r="R96" s="188"/>
      <c r="S96" s="188"/>
      <c r="T96" s="188"/>
      <c r="U96" s="188"/>
      <c r="V96" s="188"/>
      <c r="W96" s="188"/>
      <c r="X96" s="188"/>
      <c r="Y96" s="188"/>
      <c r="Z96" s="188"/>
      <c r="AA96" s="188"/>
      <c r="AB96" s="188"/>
      <c r="AC96" s="188"/>
      <c r="AD96" s="188"/>
      <c r="AE96" s="188"/>
      <c r="AF96" s="188"/>
      <c r="AG96" s="188"/>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c r="BF96" s="319" t="str">
        <f t="shared" si="7"/>
        <v>Pendiente</v>
      </c>
      <c r="BI96" s="319"/>
      <c r="BJ96" s="319"/>
      <c r="BM96" s="322"/>
    </row>
    <row r="97" spans="1:65" ht="17" customHeight="1">
      <c r="A97" s="227">
        <v>6</v>
      </c>
      <c r="B97" s="116">
        <f>Horarios!C97</f>
        <v>46364.875</v>
      </c>
      <c r="C97" s="117">
        <f>Horarios!C97</f>
        <v>46364.875</v>
      </c>
      <c r="D97" s="118" t="s">
        <v>692</v>
      </c>
      <c r="E97" s="222" t="e" cm="1" vm="13">
        <f t="array" ref="E97">badge_home</f>
        <v>#VALUE!</v>
      </c>
      <c r="F97" s="235"/>
      <c r="G97" s="88"/>
      <c r="H97" s="90"/>
      <c r="I97" s="224"/>
      <c r="J97" s="225" t="e" cm="1" vm="9">
        <f t="array" ref="J97">badge_away</f>
        <v>#VALUE!</v>
      </c>
      <c r="K97" s="133" t="s">
        <v>740</v>
      </c>
      <c r="L97" s="129"/>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319" t="str">
        <f t="shared" si="7"/>
        <v>Pendiente</v>
      </c>
      <c r="BI97" s="319"/>
      <c r="BJ97" s="319"/>
      <c r="BM97" s="322"/>
    </row>
    <row r="98" spans="1:65" ht="17" customHeight="1">
      <c r="A98" s="227">
        <v>6</v>
      </c>
      <c r="B98" s="116">
        <f>Horarios!C98</f>
        <v>46364.875</v>
      </c>
      <c r="C98" s="117">
        <f>Horarios!C98</f>
        <v>46364.875</v>
      </c>
      <c r="D98" s="118" t="s">
        <v>993</v>
      </c>
      <c r="E98" s="222" t="e" cm="1" vm="16">
        <f t="array" ref="E98">badge_home</f>
        <v>#VALUE!</v>
      </c>
      <c r="F98" s="235"/>
      <c r="G98" s="88"/>
      <c r="H98" s="90"/>
      <c r="I98" s="224"/>
      <c r="J98" s="225" t="e" cm="1" vm="35">
        <f t="array" ref="J98">badge_away</f>
        <v>#VALUE!</v>
      </c>
      <c r="K98" s="133" t="s">
        <v>995</v>
      </c>
      <c r="L98" s="129"/>
      <c r="M98" s="188"/>
      <c r="N98" s="188"/>
      <c r="O98" s="188"/>
      <c r="P98" s="188"/>
      <c r="Q98" s="188"/>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319" t="str">
        <f t="shared" si="7"/>
        <v>Pendiente</v>
      </c>
      <c r="BI98" s="319"/>
      <c r="BJ98" s="319"/>
      <c r="BM98" s="322"/>
    </row>
    <row r="99" spans="1:65" ht="17" customHeight="1">
      <c r="A99" s="227">
        <v>6</v>
      </c>
      <c r="B99" s="116">
        <f>Horarios!C99</f>
        <v>46364.875</v>
      </c>
      <c r="C99" s="117">
        <f>Horarios!C99</f>
        <v>46364.875</v>
      </c>
      <c r="D99" s="118" t="s">
        <v>1004</v>
      </c>
      <c r="E99" s="222" t="e" cm="1" vm="33">
        <f t="array" ref="E99">badge_home</f>
        <v>#VALUE!</v>
      </c>
      <c r="F99" s="235"/>
      <c r="G99" s="88"/>
      <c r="H99" s="90"/>
      <c r="I99" s="224"/>
      <c r="J99" s="225" t="e" cm="1" vm="32">
        <f t="array" ref="J99">badge_away</f>
        <v>#VALUE!</v>
      </c>
      <c r="K99" s="133" t="s">
        <v>738</v>
      </c>
      <c r="L99" s="129"/>
      <c r="M99" s="188"/>
      <c r="N99" s="188"/>
      <c r="O99" s="188"/>
      <c r="P99" s="188"/>
      <c r="Q99" s="188"/>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319" t="str">
        <f t="shared" si="7"/>
        <v>Pendiente</v>
      </c>
      <c r="BI99" s="319"/>
      <c r="BJ99" s="319"/>
      <c r="BM99" s="322"/>
    </row>
    <row r="100" spans="1:65" ht="17" customHeight="1">
      <c r="A100" s="227">
        <v>6</v>
      </c>
      <c r="B100" s="116">
        <f>Horarios!C100</f>
        <v>46364.875</v>
      </c>
      <c r="C100" s="117">
        <f>Horarios!C100</f>
        <v>46364.875</v>
      </c>
      <c r="D100" s="118" t="s">
        <v>980</v>
      </c>
      <c r="E100" s="222" t="e" cm="1" vm="27">
        <f t="array" ref="E100">badge_home</f>
        <v>#VALUE!</v>
      </c>
      <c r="F100" s="235"/>
      <c r="G100" s="88"/>
      <c r="H100" s="90"/>
      <c r="I100" s="224"/>
      <c r="J100" s="225" t="e" cm="1" vm="3">
        <f t="array" ref="J100">badge_away</f>
        <v>#VALUE!</v>
      </c>
      <c r="K100" s="133" t="s">
        <v>815</v>
      </c>
      <c r="L100" s="129"/>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319" t="str">
        <f t="shared" si="7"/>
        <v>Pendiente</v>
      </c>
      <c r="BI100" s="319"/>
      <c r="BJ100" s="319"/>
      <c r="BM100" s="322"/>
    </row>
    <row r="101" spans="1:65" ht="17" customHeight="1">
      <c r="A101" s="227">
        <v>6</v>
      </c>
      <c r="B101" s="116">
        <f>Horarios!C101</f>
        <v>46365.78125</v>
      </c>
      <c r="C101" s="117">
        <f>Horarios!C101</f>
        <v>46365.78125</v>
      </c>
      <c r="D101" s="118" t="s">
        <v>1009</v>
      </c>
      <c r="E101" s="222" t="e" cm="1" vm="12">
        <f t="array" ref="E101">badge_home</f>
        <v>#VALUE!</v>
      </c>
      <c r="F101" s="235"/>
      <c r="G101" s="88"/>
      <c r="H101" s="90"/>
      <c r="I101" s="224"/>
      <c r="J101" s="225" t="e" cm="1" vm="26">
        <f t="array" ref="J101">badge_away</f>
        <v>#VALUE!</v>
      </c>
      <c r="K101" s="133" t="s">
        <v>1002</v>
      </c>
      <c r="L101" s="129"/>
      <c r="M101" s="188"/>
      <c r="N101" s="188"/>
      <c r="O101" s="188"/>
      <c r="P101" s="188"/>
      <c r="Q101" s="188"/>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319" t="str">
        <f t="shared" si="7"/>
        <v>Pendiente</v>
      </c>
      <c r="BI101" s="319"/>
      <c r="BJ101" s="319"/>
      <c r="BM101" s="322"/>
    </row>
    <row r="102" spans="1:65" ht="17" customHeight="1">
      <c r="A102" s="227">
        <v>6</v>
      </c>
      <c r="B102" s="116">
        <f>Horarios!C102</f>
        <v>46365.78125</v>
      </c>
      <c r="C102" s="117">
        <f>Horarios!C102</f>
        <v>46365.78125</v>
      </c>
      <c r="D102" s="118" t="s">
        <v>1027</v>
      </c>
      <c r="E102" s="222" t="e" cm="1" vm="23">
        <f t="array" ref="E102">badge_home</f>
        <v>#VALUE!</v>
      </c>
      <c r="F102" s="235"/>
      <c r="G102" s="88"/>
      <c r="H102" s="90"/>
      <c r="I102" s="224"/>
      <c r="J102" s="225" t="e" cm="1" vm="31">
        <f t="array" ref="J102">badge_away</f>
        <v>#VALUE!</v>
      </c>
      <c r="K102" s="133" t="s">
        <v>818</v>
      </c>
      <c r="L102" s="129"/>
      <c r="M102" s="188"/>
      <c r="N102" s="188"/>
      <c r="O102" s="188"/>
      <c r="P102" s="188"/>
      <c r="Q102" s="188"/>
      <c r="R102" s="188"/>
      <c r="S102" s="188"/>
      <c r="T102" s="188"/>
      <c r="U102" s="188"/>
      <c r="V102" s="188"/>
      <c r="W102" s="188"/>
      <c r="X102" s="188"/>
      <c r="Y102" s="188"/>
      <c r="Z102" s="188"/>
      <c r="AA102" s="188"/>
      <c r="AB102" s="188"/>
      <c r="AC102" s="188"/>
      <c r="AD102" s="188"/>
      <c r="AE102" s="188"/>
      <c r="AF102" s="188"/>
      <c r="AG102" s="188"/>
      <c r="AH102" s="188"/>
      <c r="AI102" s="188"/>
      <c r="AJ102" s="188"/>
      <c r="AK102" s="188"/>
      <c r="AL102" s="188"/>
      <c r="AM102" s="188"/>
      <c r="AN102" s="188"/>
      <c r="AO102" s="188"/>
      <c r="AP102" s="188"/>
      <c r="AQ102" s="188"/>
      <c r="AR102" s="188"/>
      <c r="AS102" s="188"/>
      <c r="AT102" s="188"/>
      <c r="AU102" s="188"/>
      <c r="AV102" s="188"/>
      <c r="AW102" s="188"/>
      <c r="AX102" s="188"/>
      <c r="AY102" s="188"/>
      <c r="AZ102" s="188"/>
      <c r="BA102" s="188"/>
      <c r="BB102" s="188"/>
      <c r="BC102" s="188"/>
      <c r="BD102" s="188"/>
      <c r="BE102" s="188"/>
      <c r="BF102" s="319" t="str">
        <f t="shared" si="7"/>
        <v>Pendiente</v>
      </c>
      <c r="BI102" s="319"/>
      <c r="BJ102" s="319"/>
      <c r="BM102" s="322"/>
    </row>
    <row r="103" spans="1:65" ht="17" customHeight="1">
      <c r="A103" s="227">
        <v>6</v>
      </c>
      <c r="B103" s="116">
        <f>Horarios!C103</f>
        <v>46365.875</v>
      </c>
      <c r="C103" s="117">
        <f>Horarios!C103</f>
        <v>46365.875</v>
      </c>
      <c r="D103" s="118" t="s">
        <v>735</v>
      </c>
      <c r="E103" s="222" t="e" cm="1" vm="5">
        <f t="array" ref="E103">badge_home</f>
        <v>#VALUE!</v>
      </c>
      <c r="F103" s="235"/>
      <c r="G103" s="88"/>
      <c r="H103" s="90"/>
      <c r="I103" s="224"/>
      <c r="J103" s="225" t="e" cm="1" vm="14">
        <f t="array" ref="J103">badge_away</f>
        <v>#VALUE!</v>
      </c>
      <c r="K103" s="133" t="s">
        <v>2</v>
      </c>
      <c r="L103" s="129"/>
      <c r="M103" s="188"/>
      <c r="N103" s="188"/>
      <c r="O103" s="188"/>
      <c r="P103" s="188"/>
      <c r="Q103" s="188"/>
      <c r="R103" s="188"/>
      <c r="S103" s="188"/>
      <c r="T103" s="188"/>
      <c r="U103" s="188"/>
      <c r="V103" s="188"/>
      <c r="W103" s="188"/>
      <c r="X103" s="188"/>
      <c r="Y103" s="188"/>
      <c r="Z103" s="188"/>
      <c r="AA103" s="188"/>
      <c r="AB103" s="188"/>
      <c r="AC103" s="188"/>
      <c r="AD103" s="188"/>
      <c r="AE103" s="188"/>
      <c r="AF103" s="188"/>
      <c r="AG103" s="188"/>
      <c r="AH103" s="188"/>
      <c r="AI103" s="188"/>
      <c r="AJ103" s="188"/>
      <c r="AK103" s="188"/>
      <c r="AL103" s="188"/>
      <c r="AM103" s="188"/>
      <c r="AN103" s="188"/>
      <c r="AO103" s="188"/>
      <c r="AP103" s="188"/>
      <c r="AQ103" s="188"/>
      <c r="AR103" s="188"/>
      <c r="AS103" s="188"/>
      <c r="AT103" s="188"/>
      <c r="AU103" s="188"/>
      <c r="AV103" s="188"/>
      <c r="AW103" s="188"/>
      <c r="AX103" s="188"/>
      <c r="AY103" s="188"/>
      <c r="AZ103" s="188"/>
      <c r="BA103" s="188"/>
      <c r="BB103" s="188"/>
      <c r="BC103" s="188"/>
      <c r="BD103" s="188"/>
      <c r="BE103" s="188"/>
      <c r="BF103" s="319" t="str">
        <f t="shared" si="7"/>
        <v>Pendiente</v>
      </c>
      <c r="BI103" s="319"/>
      <c r="BJ103" s="319"/>
      <c r="BM103" s="322"/>
    </row>
    <row r="104" spans="1:65" ht="17" customHeight="1">
      <c r="A104" s="227">
        <v>6</v>
      </c>
      <c r="B104" s="116">
        <f>Horarios!C104</f>
        <v>46365.875</v>
      </c>
      <c r="C104" s="117">
        <f>Horarios!C104</f>
        <v>46365.875</v>
      </c>
      <c r="D104" s="118" t="s">
        <v>736</v>
      </c>
      <c r="E104" s="222" t="e" cm="1" vm="6">
        <f t="array" ref="E104">badge_home</f>
        <v>#VALUE!</v>
      </c>
      <c r="F104" s="235"/>
      <c r="G104" s="88"/>
      <c r="H104" s="90"/>
      <c r="I104" s="224"/>
      <c r="J104" s="225" t="e" cm="1" vm="15">
        <f t="array" ref="J104">badge_away</f>
        <v>#VALUE!</v>
      </c>
      <c r="K104" s="133" t="s">
        <v>695</v>
      </c>
      <c r="L104" s="129"/>
      <c r="M104" s="188"/>
      <c r="N104" s="188"/>
      <c r="O104" s="188"/>
      <c r="P104" s="188"/>
      <c r="Q104" s="188"/>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319" t="str">
        <f t="shared" si="7"/>
        <v>Pendiente</v>
      </c>
      <c r="BI104" s="319"/>
      <c r="BJ104" s="319"/>
      <c r="BM104" s="322"/>
    </row>
    <row r="105" spans="1:65" ht="17" customHeight="1">
      <c r="A105" s="227">
        <v>6</v>
      </c>
      <c r="B105" s="116">
        <f>Horarios!C105</f>
        <v>46365.875</v>
      </c>
      <c r="C105" s="117">
        <f>Horarios!C105</f>
        <v>46365.875</v>
      </c>
      <c r="D105" s="118" t="s">
        <v>1032</v>
      </c>
      <c r="E105" s="222" t="e" cm="1" vm="2">
        <f t="array" ref="E105">badge_home</f>
        <v>#VALUE!</v>
      </c>
      <c r="F105" s="235"/>
      <c r="G105" s="88"/>
      <c r="H105" s="90"/>
      <c r="I105" s="224"/>
      <c r="J105" s="225" t="e" cm="1" vm="28">
        <f t="array" ref="J105">badge_away</f>
        <v>#VALUE!</v>
      </c>
      <c r="K105" s="133" t="s">
        <v>1028</v>
      </c>
      <c r="L105" s="129"/>
      <c r="M105" s="188"/>
      <c r="N105" s="188"/>
      <c r="O105" s="188"/>
      <c r="P105" s="188"/>
      <c r="Q105" s="188"/>
      <c r="R105" s="188"/>
      <c r="S105" s="188"/>
      <c r="T105" s="188"/>
      <c r="U105" s="188"/>
      <c r="V105" s="188"/>
      <c r="W105" s="188"/>
      <c r="X105" s="188"/>
      <c r="Y105" s="188"/>
      <c r="Z105" s="188"/>
      <c r="AA105" s="188"/>
      <c r="AB105" s="188"/>
      <c r="AC105" s="188"/>
      <c r="AD105" s="188"/>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8"/>
      <c r="AZ105" s="188"/>
      <c r="BA105" s="188"/>
      <c r="BB105" s="188"/>
      <c r="BC105" s="188"/>
      <c r="BD105" s="188"/>
      <c r="BE105" s="188"/>
      <c r="BF105" s="319" t="str">
        <f t="shared" si="7"/>
        <v>Pendiente</v>
      </c>
      <c r="BI105" s="319"/>
      <c r="BJ105" s="319"/>
      <c r="BM105" s="322"/>
    </row>
    <row r="106" spans="1:65" ht="17" customHeight="1">
      <c r="A106" s="227">
        <v>6</v>
      </c>
      <c r="B106" s="116">
        <f>Horarios!C106</f>
        <v>46365.875</v>
      </c>
      <c r="C106" s="117">
        <f>Horarios!C106</f>
        <v>46365.875</v>
      </c>
      <c r="D106" s="118" t="s">
        <v>739</v>
      </c>
      <c r="E106" s="222" t="e" cm="1" vm="21">
        <f t="array" ref="E106">badge_home</f>
        <v>#VALUE!</v>
      </c>
      <c r="F106" s="235"/>
      <c r="G106" s="88"/>
      <c r="H106" s="90"/>
      <c r="I106" s="224"/>
      <c r="J106" s="225" t="e" cm="1" vm="8">
        <f t="array" ref="J106">badge_away</f>
        <v>#VALUE!</v>
      </c>
      <c r="K106" s="133" t="s">
        <v>1005</v>
      </c>
      <c r="L106" s="129"/>
      <c r="M106" s="188"/>
      <c r="N106" s="188"/>
      <c r="O106" s="188"/>
      <c r="P106" s="188"/>
      <c r="Q106" s="188"/>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c r="BF106" s="319" t="str">
        <f t="shared" si="7"/>
        <v>Pendiente</v>
      </c>
      <c r="BI106" s="319"/>
      <c r="BJ106" s="319"/>
      <c r="BM106" s="322"/>
    </row>
    <row r="107" spans="1:65" ht="17" customHeight="1">
      <c r="A107" s="227">
        <v>6</v>
      </c>
      <c r="B107" s="116">
        <f>Horarios!C107</f>
        <v>46365.875</v>
      </c>
      <c r="C107" s="117">
        <f>Horarios!C107</f>
        <v>46365.875</v>
      </c>
      <c r="D107" s="118" t="s">
        <v>741</v>
      </c>
      <c r="E107" s="222" t="e" cm="1" vm="30">
        <f t="array" ref="E107">badge_home</f>
        <v>#VALUE!</v>
      </c>
      <c r="F107" s="235"/>
      <c r="G107" s="88"/>
      <c r="H107" s="90"/>
      <c r="I107" s="224"/>
      <c r="J107" s="225" t="e" cm="1" vm="10">
        <f t="array" ref="J107">badge_away</f>
        <v>#VALUE!</v>
      </c>
      <c r="K107" s="133" t="s">
        <v>992</v>
      </c>
      <c r="L107" s="129"/>
      <c r="M107" s="188"/>
      <c r="N107" s="188"/>
      <c r="O107" s="188"/>
      <c r="P107" s="188"/>
      <c r="Q107" s="188"/>
      <c r="R107" s="188"/>
      <c r="S107" s="188"/>
      <c r="T107" s="188"/>
      <c r="U107" s="188"/>
      <c r="V107" s="188"/>
      <c r="W107" s="188"/>
      <c r="X107" s="188"/>
      <c r="Y107" s="188"/>
      <c r="Z107" s="188"/>
      <c r="AA107" s="188"/>
      <c r="AB107" s="188"/>
      <c r="AC107" s="188"/>
      <c r="AD107" s="188"/>
      <c r="AE107" s="188"/>
      <c r="AF107" s="188"/>
      <c r="AG107" s="188"/>
      <c r="AH107" s="188"/>
      <c r="AI107" s="188"/>
      <c r="AJ107" s="188"/>
      <c r="AK107" s="188"/>
      <c r="AL107" s="188"/>
      <c r="AM107" s="188"/>
      <c r="AN107" s="188"/>
      <c r="AO107" s="188"/>
      <c r="AP107" s="188"/>
      <c r="AQ107" s="188"/>
      <c r="AR107" s="188"/>
      <c r="AS107" s="188"/>
      <c r="AT107" s="188"/>
      <c r="AU107" s="188"/>
      <c r="AV107" s="188"/>
      <c r="AW107" s="188"/>
      <c r="AX107" s="188"/>
      <c r="AY107" s="188"/>
      <c r="AZ107" s="188"/>
      <c r="BA107" s="188"/>
      <c r="BB107" s="188"/>
      <c r="BC107" s="188"/>
      <c r="BD107" s="188"/>
      <c r="BE107" s="188"/>
      <c r="BF107" s="319" t="str">
        <f t="shared" si="7"/>
        <v>Pendiente</v>
      </c>
      <c r="BI107" s="319"/>
      <c r="BJ107" s="319"/>
      <c r="BM107" s="322"/>
    </row>
    <row r="108" spans="1:65" ht="17" customHeight="1">
      <c r="A108" s="227">
        <v>6</v>
      </c>
      <c r="B108" s="116">
        <f>Horarios!C108</f>
        <v>46365.875</v>
      </c>
      <c r="C108" s="117">
        <f>Horarios!C108</f>
        <v>46365.875</v>
      </c>
      <c r="D108" s="118" t="s">
        <v>1003</v>
      </c>
      <c r="E108" s="222" t="e" cm="1" vm="36">
        <f t="array" ref="E108">badge_home</f>
        <v>#VALUE!</v>
      </c>
      <c r="F108" s="235"/>
      <c r="G108" s="88"/>
      <c r="H108" s="90"/>
      <c r="I108" s="224"/>
      <c r="J108" s="225" t="e" cm="1" vm="20">
        <f t="array" ref="J108">badge_away</f>
        <v>#VALUE!</v>
      </c>
      <c r="K108" s="133" t="s">
        <v>821</v>
      </c>
      <c r="L108" s="129"/>
      <c r="M108" s="188"/>
      <c r="N108" s="188"/>
      <c r="O108" s="188"/>
      <c r="P108" s="188"/>
      <c r="Q108" s="188"/>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8"/>
      <c r="AT108" s="188"/>
      <c r="AU108" s="188"/>
      <c r="AV108" s="188"/>
      <c r="AW108" s="188"/>
      <c r="AX108" s="188"/>
      <c r="AY108" s="188"/>
      <c r="AZ108" s="188"/>
      <c r="BA108" s="188"/>
      <c r="BB108" s="188"/>
      <c r="BC108" s="188"/>
      <c r="BD108" s="188"/>
      <c r="BE108" s="188"/>
      <c r="BF108" s="319" t="str">
        <f t="shared" si="7"/>
        <v>Pendiente</v>
      </c>
      <c r="BI108" s="319"/>
      <c r="BJ108" s="319"/>
      <c r="BM108" s="322"/>
    </row>
    <row r="109" spans="1:65" ht="17" customHeight="1" thickBot="1">
      <c r="A109" s="239">
        <v>6</v>
      </c>
      <c r="B109" s="119">
        <f>Horarios!C109</f>
        <v>46365.875</v>
      </c>
      <c r="C109" s="120">
        <f>Horarios!C109</f>
        <v>46365.875</v>
      </c>
      <c r="D109" s="121" t="s">
        <v>694</v>
      </c>
      <c r="E109" s="240" t="e" cm="1" vm="18">
        <f t="array" ref="E109">badge_home</f>
        <v>#VALUE!</v>
      </c>
      <c r="F109" s="241"/>
      <c r="G109" s="94"/>
      <c r="H109" s="95"/>
      <c r="I109" s="242"/>
      <c r="J109" s="243" t="e" cm="1" vm="11">
        <f t="array" ref="J109">badge_away</f>
        <v>#VALUE!</v>
      </c>
      <c r="K109" s="244" t="s">
        <v>699</v>
      </c>
      <c r="L109" s="129"/>
      <c r="M109" s="188"/>
      <c r="N109" s="188"/>
      <c r="O109" s="188"/>
      <c r="P109" s="188"/>
      <c r="Q109" s="188"/>
      <c r="R109" s="188"/>
      <c r="S109" s="188"/>
      <c r="T109" s="188"/>
      <c r="U109" s="188"/>
      <c r="V109" s="188"/>
      <c r="W109" s="188"/>
      <c r="X109" s="188"/>
      <c r="Y109" s="188"/>
      <c r="Z109" s="188"/>
      <c r="AA109" s="188"/>
      <c r="AB109" s="188"/>
      <c r="AC109" s="188"/>
      <c r="AD109" s="188"/>
      <c r="AE109" s="188"/>
      <c r="AF109" s="188"/>
      <c r="AG109" s="188"/>
      <c r="AH109" s="188"/>
      <c r="AI109" s="188"/>
      <c r="AJ109" s="188"/>
      <c r="AK109" s="188"/>
      <c r="AL109" s="188"/>
      <c r="AM109" s="188"/>
      <c r="AN109" s="188"/>
      <c r="AO109" s="188"/>
      <c r="AP109" s="188"/>
      <c r="AQ109" s="188"/>
      <c r="AR109" s="188"/>
      <c r="AS109" s="188"/>
      <c r="AT109" s="188"/>
      <c r="AU109" s="188"/>
      <c r="AV109" s="188"/>
      <c r="AW109" s="188"/>
      <c r="AX109" s="188"/>
      <c r="AY109" s="188"/>
      <c r="AZ109" s="188"/>
      <c r="BA109" s="188"/>
      <c r="BB109" s="188"/>
      <c r="BC109" s="188"/>
      <c r="BD109" s="188"/>
      <c r="BE109" s="188"/>
      <c r="BF109" s="319" t="str">
        <f t="shared" si="7"/>
        <v>Pendiente</v>
      </c>
      <c r="BI109" s="319"/>
      <c r="BJ109" s="319"/>
      <c r="BM109" s="322"/>
    </row>
    <row r="110" spans="1:65" ht="17" customHeight="1" thickBot="1">
      <c r="A110" s="206">
        <v>7</v>
      </c>
      <c r="B110" s="122">
        <f>Horarios!C110</f>
        <v>46406.78125</v>
      </c>
      <c r="C110" s="111">
        <f>Horarios!C110</f>
        <v>46406.78125</v>
      </c>
      <c r="D110" s="112" t="s">
        <v>821</v>
      </c>
      <c r="E110" s="207" t="e" cm="1" vm="20">
        <f t="array" ref="E110">badge_home</f>
        <v>#VALUE!</v>
      </c>
      <c r="F110" s="210"/>
      <c r="G110" s="84"/>
      <c r="H110" s="85"/>
      <c r="I110" s="209"/>
      <c r="J110" s="210" t="e" cm="1" vm="10">
        <f t="array" ref="J110">badge_away</f>
        <v>#VALUE!</v>
      </c>
      <c r="K110" s="211" t="s">
        <v>992</v>
      </c>
      <c r="L110" s="226" t="s">
        <v>813</v>
      </c>
      <c r="N110" s="188"/>
      <c r="O110" s="188"/>
      <c r="P110" s="188"/>
      <c r="Q110" s="188"/>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c r="BF110" s="319" t="str">
        <f t="shared" si="7"/>
        <v>Pendiente</v>
      </c>
      <c r="BI110" s="319"/>
      <c r="BJ110" s="319"/>
      <c r="BM110" s="322"/>
    </row>
    <row r="111" spans="1:65" ht="17" customHeight="1">
      <c r="A111" s="206">
        <v>7</v>
      </c>
      <c r="B111" s="122">
        <f>Horarios!C111</f>
        <v>46406.78125</v>
      </c>
      <c r="C111" s="111">
        <f>Horarios!C111</f>
        <v>46406.78125</v>
      </c>
      <c r="D111" s="112" t="s">
        <v>986</v>
      </c>
      <c r="E111" s="207" t="e" cm="1" vm="25">
        <f t="array" ref="E111">badge_home</f>
        <v>#VALUE!</v>
      </c>
      <c r="F111" s="210"/>
      <c r="G111" s="84"/>
      <c r="H111" s="85"/>
      <c r="I111" s="209"/>
      <c r="J111" s="210" t="e" cm="1" vm="17">
        <f t="array" ref="J111">badge_away</f>
        <v>#VALUE!</v>
      </c>
      <c r="K111" s="211" t="s">
        <v>737</v>
      </c>
      <c r="L111" s="129"/>
      <c r="M111" s="188"/>
      <c r="N111" s="188"/>
      <c r="O111" s="188"/>
      <c r="P111" s="188"/>
      <c r="Q111" s="188"/>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c r="BF111" s="319" t="str">
        <f t="shared" si="7"/>
        <v>Pendiente</v>
      </c>
      <c r="BI111" s="319"/>
      <c r="BJ111" s="319"/>
      <c r="BM111" s="322"/>
    </row>
    <row r="112" spans="1:65" ht="17" customHeight="1">
      <c r="A112" s="213">
        <v>7</v>
      </c>
      <c r="B112" s="123">
        <f>Horarios!C112</f>
        <v>46406.875</v>
      </c>
      <c r="C112" s="114">
        <f>Horarios!C112</f>
        <v>46406.875</v>
      </c>
      <c r="D112" s="115" t="s">
        <v>1031</v>
      </c>
      <c r="E112" s="214" t="e" cm="1" vm="1">
        <f t="array" ref="E112">badge_home</f>
        <v>#VALUE!</v>
      </c>
      <c r="F112" s="217"/>
      <c r="G112" s="86"/>
      <c r="H112" s="87"/>
      <c r="I112" s="216"/>
      <c r="J112" s="217" t="e" cm="1" vm="29">
        <f t="array" ref="J112">badge_away</f>
        <v>#VALUE!</v>
      </c>
      <c r="K112" s="132" t="s">
        <v>1006</v>
      </c>
      <c r="L112" s="129"/>
      <c r="M112" s="188"/>
      <c r="N112" s="188"/>
      <c r="O112" s="188"/>
      <c r="P112" s="188"/>
      <c r="Q112" s="188"/>
      <c r="R112" s="188"/>
      <c r="S112" s="188"/>
      <c r="T112" s="188"/>
      <c r="U112" s="188"/>
      <c r="V112" s="188"/>
      <c r="W112" s="188"/>
      <c r="X112" s="188"/>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8"/>
      <c r="BA112" s="188"/>
      <c r="BB112" s="188"/>
      <c r="BC112" s="188"/>
      <c r="BD112" s="188"/>
      <c r="BE112" s="188"/>
      <c r="BF112" s="319" t="str">
        <f t="shared" si="7"/>
        <v>Pendiente</v>
      </c>
      <c r="BI112" s="319"/>
      <c r="BJ112" s="319"/>
      <c r="BM112" s="322"/>
    </row>
    <row r="113" spans="1:65" ht="17" customHeight="1">
      <c r="A113" s="206">
        <v>7</v>
      </c>
      <c r="B113" s="122">
        <f>Horarios!C113</f>
        <v>46406.875</v>
      </c>
      <c r="C113" s="111">
        <f>Horarios!C113</f>
        <v>46406.875</v>
      </c>
      <c r="D113" s="112" t="s">
        <v>808</v>
      </c>
      <c r="E113" s="207" t="e" cm="1" vm="4">
        <f t="array" ref="E113">badge_home</f>
        <v>#VALUE!</v>
      </c>
      <c r="F113" s="210"/>
      <c r="G113" s="84"/>
      <c r="H113" s="85"/>
      <c r="I113" s="209"/>
      <c r="J113" s="210" t="e" cm="1" vm="6">
        <f t="array" ref="J113">badge_away</f>
        <v>#VALUE!</v>
      </c>
      <c r="K113" s="211" t="s">
        <v>736</v>
      </c>
      <c r="L113" s="129"/>
      <c r="M113" s="188"/>
      <c r="N113" s="188"/>
      <c r="O113" s="188"/>
      <c r="P113" s="188"/>
      <c r="Q113" s="188"/>
      <c r="R113" s="188"/>
      <c r="S113" s="188"/>
      <c r="T113" s="188"/>
      <c r="U113" s="188"/>
      <c r="V113" s="188"/>
      <c r="W113" s="188"/>
      <c r="X113" s="188"/>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8"/>
      <c r="BA113" s="188"/>
      <c r="BB113" s="188"/>
      <c r="BC113" s="188"/>
      <c r="BD113" s="188"/>
      <c r="BE113" s="188"/>
      <c r="BF113" s="319" t="str">
        <f t="shared" si="7"/>
        <v>Pendiente</v>
      </c>
      <c r="BI113" s="319"/>
      <c r="BJ113" s="319"/>
      <c r="BM113" s="322"/>
    </row>
    <row r="114" spans="1:65" ht="17" customHeight="1">
      <c r="A114" s="213">
        <v>7</v>
      </c>
      <c r="B114" s="123">
        <f>Horarios!C114</f>
        <v>46406.875</v>
      </c>
      <c r="C114" s="114">
        <f>Horarios!C114</f>
        <v>46406.875</v>
      </c>
      <c r="D114" s="115" t="s">
        <v>695</v>
      </c>
      <c r="E114" s="214" t="e" cm="1" vm="15">
        <f t="array" ref="E114">badge_home</f>
        <v>#VALUE!</v>
      </c>
      <c r="F114" s="217"/>
      <c r="G114" s="86"/>
      <c r="H114" s="87"/>
      <c r="I114" s="216"/>
      <c r="J114" s="217" t="e" cm="1" vm="21">
        <f t="array" ref="J114">badge_away</f>
        <v>#VALUE!</v>
      </c>
      <c r="K114" s="132" t="s">
        <v>739</v>
      </c>
      <c r="L114" s="129"/>
      <c r="M114" s="188"/>
      <c r="N114" s="188"/>
      <c r="O114" s="188"/>
      <c r="P114" s="188"/>
      <c r="Q114" s="188"/>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c r="BF114" s="319" t="str">
        <f t="shared" si="7"/>
        <v>Pendiente</v>
      </c>
      <c r="BI114" s="319"/>
      <c r="BJ114" s="319"/>
      <c r="BM114" s="322"/>
    </row>
    <row r="115" spans="1:65" ht="17" customHeight="1">
      <c r="A115" s="206">
        <v>7</v>
      </c>
      <c r="B115" s="122">
        <f>Horarios!C115</f>
        <v>46406.875</v>
      </c>
      <c r="C115" s="111">
        <f>Horarios!C115</f>
        <v>46406.875</v>
      </c>
      <c r="D115" s="112" t="s">
        <v>1005</v>
      </c>
      <c r="E115" s="207" t="e" cm="1" vm="8">
        <f t="array" ref="E115">badge_home</f>
        <v>#VALUE!</v>
      </c>
      <c r="F115" s="210"/>
      <c r="G115" s="84"/>
      <c r="H115" s="85"/>
      <c r="I115" s="209"/>
      <c r="J115" s="210" t="e" cm="1" vm="35">
        <f t="array" ref="J115">badge_away</f>
        <v>#VALUE!</v>
      </c>
      <c r="K115" s="211" t="s">
        <v>995</v>
      </c>
      <c r="L115" s="129"/>
      <c r="M115" s="188"/>
      <c r="N115" s="188"/>
      <c r="O115" s="188"/>
      <c r="P115" s="188"/>
      <c r="Q115" s="188"/>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319" t="str">
        <f t="shared" si="7"/>
        <v>Pendiente</v>
      </c>
      <c r="BI115" s="319"/>
      <c r="BJ115" s="319"/>
      <c r="BM115" s="322"/>
    </row>
    <row r="116" spans="1:65" ht="17" customHeight="1">
      <c r="A116" s="213">
        <v>7</v>
      </c>
      <c r="B116" s="123">
        <f>Horarios!C116</f>
        <v>46406.875</v>
      </c>
      <c r="C116" s="114">
        <f>Horarios!C116</f>
        <v>46406.875</v>
      </c>
      <c r="D116" s="115" t="s">
        <v>699</v>
      </c>
      <c r="E116" s="214" t="e" cm="1" vm="11">
        <f t="array" ref="E116">badge_home</f>
        <v>#VALUE!</v>
      </c>
      <c r="F116" s="217"/>
      <c r="G116" s="86"/>
      <c r="H116" s="87"/>
      <c r="I116" s="216"/>
      <c r="J116" s="217" t="e" cm="1" vm="23">
        <f t="array" ref="J116">badge_away</f>
        <v>#VALUE!</v>
      </c>
      <c r="K116" s="132" t="s">
        <v>1027</v>
      </c>
      <c r="L116" s="129"/>
      <c r="M116" s="188"/>
      <c r="N116" s="188"/>
      <c r="O116" s="188"/>
      <c r="P116" s="188"/>
      <c r="Q116" s="188"/>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319" t="str">
        <f t="shared" si="7"/>
        <v>Pendiente</v>
      </c>
      <c r="BI116" s="319"/>
      <c r="BJ116" s="319"/>
      <c r="BM116" s="322"/>
    </row>
    <row r="117" spans="1:65" ht="17" customHeight="1">
      <c r="A117" s="206">
        <v>7</v>
      </c>
      <c r="B117" s="122">
        <f>Horarios!C117</f>
        <v>46406.875</v>
      </c>
      <c r="C117" s="111">
        <f>Horarios!C117</f>
        <v>46406.875</v>
      </c>
      <c r="D117" s="112" t="s">
        <v>2</v>
      </c>
      <c r="E117" s="207" t="e" cm="1" vm="14">
        <f t="array" ref="E117">badge_home</f>
        <v>#VALUE!</v>
      </c>
      <c r="F117" s="210"/>
      <c r="G117" s="84"/>
      <c r="H117" s="85"/>
      <c r="I117" s="209"/>
      <c r="J117" s="210" t="e" cm="1" vm="2">
        <f t="array" ref="J117">badge_away</f>
        <v>#VALUE!</v>
      </c>
      <c r="K117" s="211" t="s">
        <v>1032</v>
      </c>
      <c r="L117" s="129"/>
      <c r="M117" s="188"/>
      <c r="N117" s="188"/>
      <c r="O117" s="188"/>
      <c r="P117" s="188"/>
      <c r="Q117" s="188"/>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319" t="str">
        <f t="shared" si="7"/>
        <v>Pendiente</v>
      </c>
      <c r="BI117" s="319"/>
      <c r="BJ117" s="319"/>
      <c r="BM117" s="322"/>
    </row>
    <row r="118" spans="1:65" ht="17" customHeight="1">
      <c r="A118" s="213">
        <v>7</v>
      </c>
      <c r="B118" s="123">
        <f>Horarios!C118</f>
        <v>46406.875</v>
      </c>
      <c r="C118" s="114">
        <f>Horarios!C118</f>
        <v>46406.875</v>
      </c>
      <c r="D118" s="115" t="s">
        <v>694</v>
      </c>
      <c r="E118" s="214" t="e" cm="1" vm="18">
        <f t="array" ref="E118">badge_home</f>
        <v>#VALUE!</v>
      </c>
      <c r="F118" s="217"/>
      <c r="G118" s="86"/>
      <c r="H118" s="87"/>
      <c r="I118" s="216"/>
      <c r="J118" s="217" t="e" cm="1" vm="3">
        <f t="array" ref="J118">badge_away</f>
        <v>#VALUE!</v>
      </c>
      <c r="K118" s="132" t="s">
        <v>815</v>
      </c>
      <c r="L118" s="129"/>
      <c r="M118" s="188"/>
      <c r="N118" s="188"/>
      <c r="O118" s="188"/>
      <c r="P118" s="188"/>
      <c r="Q118" s="188"/>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319" t="str">
        <f t="shared" si="7"/>
        <v>Pendiente</v>
      </c>
      <c r="BI118" s="319"/>
      <c r="BJ118" s="319"/>
      <c r="BM118" s="322"/>
    </row>
    <row r="119" spans="1:65" ht="17" customHeight="1">
      <c r="A119" s="206">
        <v>7</v>
      </c>
      <c r="B119" s="122">
        <f>Horarios!C119</f>
        <v>46407.78125</v>
      </c>
      <c r="C119" s="111">
        <f>Horarios!C119</f>
        <v>46407.78125</v>
      </c>
      <c r="D119" s="112" t="s">
        <v>1028</v>
      </c>
      <c r="E119" s="207" t="e" cm="1" vm="28">
        <f t="array" ref="E119">badge_home</f>
        <v>#VALUE!</v>
      </c>
      <c r="F119" s="210"/>
      <c r="G119" s="84"/>
      <c r="H119" s="85"/>
      <c r="I119" s="209"/>
      <c r="J119" s="210" t="e" cm="1" vm="7">
        <f t="array" ref="J119">badge_away</f>
        <v>#VALUE!</v>
      </c>
      <c r="K119" s="211" t="s">
        <v>982</v>
      </c>
      <c r="L119" s="129"/>
      <c r="M119" s="188"/>
      <c r="N119" s="188"/>
      <c r="O119" s="188"/>
      <c r="P119" s="188"/>
      <c r="Q119" s="188"/>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319" t="str">
        <f t="shared" si="7"/>
        <v>Pendiente</v>
      </c>
      <c r="BI119" s="319"/>
      <c r="BJ119" s="319"/>
      <c r="BM119" s="322"/>
    </row>
    <row r="120" spans="1:65" ht="17" customHeight="1">
      <c r="A120" s="213">
        <v>7</v>
      </c>
      <c r="B120" s="123">
        <f>Horarios!C120</f>
        <v>46407.78125</v>
      </c>
      <c r="C120" s="114">
        <f>Horarios!C120</f>
        <v>46407.78125</v>
      </c>
      <c r="D120" s="115" t="s">
        <v>1030</v>
      </c>
      <c r="E120" s="214" t="e" cm="1" vm="34">
        <f t="array" ref="E120">badge_home</f>
        <v>#VALUE!</v>
      </c>
      <c r="F120" s="217"/>
      <c r="G120" s="86"/>
      <c r="H120" s="87"/>
      <c r="I120" s="216"/>
      <c r="J120" s="217" t="e" cm="1" vm="27">
        <f t="array" ref="J120">badge_away</f>
        <v>#VALUE!</v>
      </c>
      <c r="K120" s="132" t="s">
        <v>980</v>
      </c>
      <c r="L120" s="129"/>
      <c r="M120" s="188"/>
      <c r="N120" s="188"/>
      <c r="O120" s="188"/>
      <c r="P120" s="188"/>
      <c r="Q120" s="188"/>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319" t="str">
        <f t="shared" si="7"/>
        <v>Pendiente</v>
      </c>
      <c r="BI120" s="319"/>
      <c r="BJ120" s="319"/>
      <c r="BM120" s="322"/>
    </row>
    <row r="121" spans="1:65" ht="17" customHeight="1">
      <c r="A121" s="206">
        <v>7</v>
      </c>
      <c r="B121" s="122">
        <f>Horarios!C121</f>
        <v>46407.875</v>
      </c>
      <c r="C121" s="111">
        <f>Horarios!C121</f>
        <v>46407.875</v>
      </c>
      <c r="D121" s="112" t="s">
        <v>1002</v>
      </c>
      <c r="E121" s="207" t="e" cm="1" vm="26">
        <f t="array" ref="E121">badge_home</f>
        <v>#VALUE!</v>
      </c>
      <c r="F121" s="210"/>
      <c r="G121" s="84"/>
      <c r="H121" s="85"/>
      <c r="I121" s="209"/>
      <c r="J121" s="210" t="e" cm="1" vm="22">
        <f t="array" ref="J121">badge_away</f>
        <v>#VALUE!</v>
      </c>
      <c r="K121" s="211" t="s">
        <v>698</v>
      </c>
      <c r="L121" s="129"/>
      <c r="M121" s="188"/>
      <c r="N121" s="188"/>
      <c r="O121" s="188"/>
      <c r="P121" s="188"/>
      <c r="Q121" s="188"/>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319" t="str">
        <f t="shared" si="7"/>
        <v>Pendiente</v>
      </c>
      <c r="BI121" s="319"/>
      <c r="BJ121" s="319"/>
      <c r="BM121" s="322"/>
    </row>
    <row r="122" spans="1:65" ht="17" customHeight="1">
      <c r="A122" s="213">
        <v>7</v>
      </c>
      <c r="B122" s="123">
        <f>Horarios!C122</f>
        <v>46407.875</v>
      </c>
      <c r="C122" s="114">
        <f>Horarios!C122</f>
        <v>46407.875</v>
      </c>
      <c r="D122" s="115" t="s">
        <v>1004</v>
      </c>
      <c r="E122" s="214" t="e" cm="1" vm="33">
        <f t="array" ref="E122">badge_home</f>
        <v>#VALUE!</v>
      </c>
      <c r="F122" s="217"/>
      <c r="G122" s="86"/>
      <c r="H122" s="87"/>
      <c r="I122" s="216"/>
      <c r="J122" s="217" t="e" cm="1" vm="16">
        <f t="array" ref="J122">badge_away</f>
        <v>#VALUE!</v>
      </c>
      <c r="K122" s="132" t="s">
        <v>993</v>
      </c>
      <c r="L122" s="129"/>
      <c r="M122" s="188"/>
      <c r="N122" s="188"/>
      <c r="O122" s="188"/>
      <c r="P122" s="188"/>
      <c r="Q122" s="188"/>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319" t="str">
        <f t="shared" si="7"/>
        <v>Pendiente</v>
      </c>
      <c r="BI122" s="319"/>
      <c r="BJ122" s="319"/>
      <c r="BM122" s="322"/>
    </row>
    <row r="123" spans="1:65" ht="17" customHeight="1">
      <c r="A123" s="206">
        <v>7</v>
      </c>
      <c r="B123" s="122">
        <f>Horarios!C123</f>
        <v>46407.875</v>
      </c>
      <c r="C123" s="111">
        <f>Horarios!C123</f>
        <v>46407.875</v>
      </c>
      <c r="D123" s="112" t="s">
        <v>738</v>
      </c>
      <c r="E123" s="207" t="e" cm="1" vm="32">
        <f t="array" ref="E123">badge_home</f>
        <v>#VALUE!</v>
      </c>
      <c r="F123" s="210"/>
      <c r="G123" s="84"/>
      <c r="H123" s="85"/>
      <c r="I123" s="209"/>
      <c r="J123" s="210" t="e" cm="1" vm="31">
        <f t="array" ref="J123">badge_away</f>
        <v>#VALUE!</v>
      </c>
      <c r="K123" s="211" t="s">
        <v>818</v>
      </c>
      <c r="L123" s="129"/>
      <c r="M123" s="188"/>
      <c r="N123" s="188"/>
      <c r="O123" s="188"/>
      <c r="P123" s="188"/>
      <c r="Q123" s="188"/>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319" t="str">
        <f t="shared" si="7"/>
        <v>Pendiente</v>
      </c>
      <c r="BI123" s="319"/>
      <c r="BJ123" s="319"/>
      <c r="BM123" s="322"/>
    </row>
    <row r="124" spans="1:65" ht="17" customHeight="1">
      <c r="A124" s="213">
        <v>7</v>
      </c>
      <c r="B124" s="123">
        <f>Horarios!C124</f>
        <v>46407.875</v>
      </c>
      <c r="C124" s="114">
        <f>Horarios!C124</f>
        <v>46407.875</v>
      </c>
      <c r="D124" s="115" t="s">
        <v>1003</v>
      </c>
      <c r="E124" s="214" t="e" cm="1" vm="36">
        <f t="array" ref="E124">badge_home</f>
        <v>#VALUE!</v>
      </c>
      <c r="F124" s="217"/>
      <c r="G124" s="86"/>
      <c r="H124" s="87"/>
      <c r="I124" s="216"/>
      <c r="J124" s="217" t="e" cm="1" vm="9">
        <f t="array" ref="J124">badge_away</f>
        <v>#VALUE!</v>
      </c>
      <c r="K124" s="132" t="s">
        <v>740</v>
      </c>
      <c r="L124" s="129"/>
      <c r="M124" s="188"/>
      <c r="N124" s="188"/>
      <c r="O124" s="188"/>
      <c r="P124" s="188"/>
      <c r="Q124" s="188"/>
      <c r="R124" s="188"/>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8"/>
      <c r="AX124" s="188"/>
      <c r="AY124" s="188"/>
      <c r="AZ124" s="188"/>
      <c r="BA124" s="188"/>
      <c r="BB124" s="188"/>
      <c r="BC124" s="188"/>
      <c r="BD124" s="188"/>
      <c r="BE124" s="188"/>
      <c r="BF124" s="319" t="str">
        <f t="shared" si="7"/>
        <v>Pendiente</v>
      </c>
      <c r="BI124" s="319"/>
      <c r="BJ124" s="319"/>
      <c r="BM124" s="322"/>
    </row>
    <row r="125" spans="1:65" ht="17" customHeight="1">
      <c r="A125" s="206">
        <v>7</v>
      </c>
      <c r="B125" s="122">
        <f>Horarios!C125</f>
        <v>46407.875</v>
      </c>
      <c r="C125" s="111">
        <f>Horarios!C125</f>
        <v>46407.875</v>
      </c>
      <c r="D125" s="112" t="s">
        <v>1009</v>
      </c>
      <c r="E125" s="207" t="e" cm="1" vm="12">
        <f t="array" ref="E125">badge_home</f>
        <v>#VALUE!</v>
      </c>
      <c r="F125" s="210"/>
      <c r="G125" s="84"/>
      <c r="H125" s="85"/>
      <c r="I125" s="209"/>
      <c r="J125" s="210" t="e" cm="1" vm="5">
        <f t="array" ref="J125">badge_away</f>
        <v>#VALUE!</v>
      </c>
      <c r="K125" s="211" t="s">
        <v>735</v>
      </c>
      <c r="L125" s="129"/>
      <c r="M125" s="188"/>
      <c r="N125" s="188"/>
      <c r="O125" s="188"/>
      <c r="P125" s="188"/>
      <c r="Q125" s="188"/>
      <c r="R125" s="188"/>
      <c r="S125" s="188"/>
      <c r="T125" s="188"/>
      <c r="U125" s="188"/>
      <c r="V125" s="188"/>
      <c r="W125" s="188"/>
      <c r="X125" s="188"/>
      <c r="Y125" s="188"/>
      <c r="Z125" s="188"/>
      <c r="AA125" s="188"/>
      <c r="AB125" s="188"/>
      <c r="AC125" s="188"/>
      <c r="AD125" s="188"/>
      <c r="AE125" s="188"/>
      <c r="AF125" s="188"/>
      <c r="AG125" s="188"/>
      <c r="AH125" s="188"/>
      <c r="AI125" s="188"/>
      <c r="AJ125" s="188"/>
      <c r="AK125" s="188"/>
      <c r="AL125" s="188"/>
      <c r="AM125" s="188"/>
      <c r="AN125" s="188"/>
      <c r="AO125" s="188"/>
      <c r="AP125" s="188"/>
      <c r="AQ125" s="188"/>
      <c r="AR125" s="188"/>
      <c r="AS125" s="188"/>
      <c r="AT125" s="188"/>
      <c r="AU125" s="188"/>
      <c r="AV125" s="188"/>
      <c r="AW125" s="188"/>
      <c r="AX125" s="188"/>
      <c r="AY125" s="188"/>
      <c r="AZ125" s="188"/>
      <c r="BA125" s="188"/>
      <c r="BB125" s="188"/>
      <c r="BC125" s="188"/>
      <c r="BD125" s="188"/>
      <c r="BE125" s="188"/>
      <c r="BF125" s="319" t="str">
        <f t="shared" si="7"/>
        <v>Pendiente</v>
      </c>
      <c r="BI125" s="319"/>
      <c r="BJ125" s="319"/>
      <c r="BM125" s="322"/>
    </row>
    <row r="126" spans="1:65" ht="17" customHeight="1">
      <c r="A126" s="213">
        <v>7</v>
      </c>
      <c r="B126" s="123">
        <f>Horarios!C126</f>
        <v>46407.875</v>
      </c>
      <c r="C126" s="114">
        <f>Horarios!C126</f>
        <v>46407.875</v>
      </c>
      <c r="D126" s="115" t="s">
        <v>803</v>
      </c>
      <c r="E126" s="214" t="e" cm="1" vm="24">
        <f t="array" ref="E126">badge_home</f>
        <v>#VALUE!</v>
      </c>
      <c r="F126" s="217"/>
      <c r="G126" s="86"/>
      <c r="H126" s="87"/>
      <c r="I126" s="216"/>
      <c r="J126" s="217" t="e" cm="1" vm="13">
        <f t="array" ref="J126">badge_away</f>
        <v>#VALUE!</v>
      </c>
      <c r="K126" s="132" t="s">
        <v>692</v>
      </c>
      <c r="L126" s="129"/>
      <c r="M126" s="188"/>
      <c r="N126" s="188"/>
      <c r="O126" s="188"/>
      <c r="P126" s="188"/>
      <c r="Q126" s="188"/>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8"/>
      <c r="AX126" s="188"/>
      <c r="AY126" s="188"/>
      <c r="AZ126" s="188"/>
      <c r="BA126" s="188"/>
      <c r="BB126" s="188"/>
      <c r="BC126" s="188"/>
      <c r="BD126" s="188"/>
      <c r="BE126" s="188"/>
      <c r="BF126" s="319" t="str">
        <f t="shared" si="7"/>
        <v>Pendiente</v>
      </c>
      <c r="BI126" s="319"/>
      <c r="BJ126" s="319"/>
      <c r="BM126" s="322"/>
    </row>
    <row r="127" spans="1:65" ht="17" customHeight="1" thickBot="1">
      <c r="A127" s="206">
        <v>7</v>
      </c>
      <c r="B127" s="122">
        <f>Horarios!C127</f>
        <v>46407.875</v>
      </c>
      <c r="C127" s="111">
        <f>Horarios!C127</f>
        <v>46407.875</v>
      </c>
      <c r="D127" s="112" t="s">
        <v>1029</v>
      </c>
      <c r="E127" s="207" t="e" cm="1" vm="19">
        <f t="array" ref="E127">badge_home</f>
        <v>#VALUE!</v>
      </c>
      <c r="F127" s="210"/>
      <c r="G127" s="84"/>
      <c r="H127" s="85"/>
      <c r="I127" s="209"/>
      <c r="J127" s="210" t="e" cm="1" vm="30">
        <f t="array" ref="J127">badge_away</f>
        <v>#VALUE!</v>
      </c>
      <c r="K127" s="211" t="s">
        <v>741</v>
      </c>
      <c r="L127" s="129"/>
      <c r="M127" s="188"/>
      <c r="N127" s="188"/>
      <c r="O127" s="188"/>
      <c r="P127" s="188"/>
      <c r="Q127" s="188"/>
      <c r="R127" s="188"/>
      <c r="S127" s="188"/>
      <c r="T127" s="188"/>
      <c r="U127" s="188"/>
      <c r="V127" s="188"/>
      <c r="W127" s="188"/>
      <c r="X127" s="188"/>
      <c r="Y127" s="188"/>
      <c r="Z127" s="188"/>
      <c r="AA127" s="188"/>
      <c r="AB127" s="188"/>
      <c r="AC127" s="188"/>
      <c r="AD127" s="188"/>
      <c r="AE127" s="188"/>
      <c r="AF127" s="188"/>
      <c r="AG127" s="188"/>
      <c r="AH127" s="188"/>
      <c r="AI127" s="188"/>
      <c r="AJ127" s="188"/>
      <c r="AK127" s="188"/>
      <c r="AL127" s="188"/>
      <c r="AM127" s="188"/>
      <c r="AN127" s="188"/>
      <c r="AO127" s="188"/>
      <c r="AP127" s="188"/>
      <c r="AQ127" s="188"/>
      <c r="AR127" s="188"/>
      <c r="AS127" s="188"/>
      <c r="AT127" s="188"/>
      <c r="AU127" s="188"/>
      <c r="AV127" s="188"/>
      <c r="AW127" s="188"/>
      <c r="AX127" s="188"/>
      <c r="AY127" s="188"/>
      <c r="AZ127" s="188"/>
      <c r="BA127" s="188"/>
      <c r="BB127" s="188"/>
      <c r="BC127" s="188"/>
      <c r="BD127" s="188"/>
      <c r="BE127" s="188"/>
      <c r="BF127" s="319" t="str">
        <f t="shared" si="7"/>
        <v>Pendiente</v>
      </c>
      <c r="BI127" s="319"/>
      <c r="BJ127" s="319"/>
      <c r="BM127" s="322"/>
    </row>
    <row r="128" spans="1:65" ht="17" customHeight="1" thickBot="1">
      <c r="A128" s="221">
        <v>8</v>
      </c>
      <c r="B128" s="124">
        <f>Horarios!C128</f>
        <v>46414.875</v>
      </c>
      <c r="C128" s="117">
        <f>Horarios!C128</f>
        <v>46414.875</v>
      </c>
      <c r="D128" s="118" t="s">
        <v>735</v>
      </c>
      <c r="E128" s="236" t="e" cm="1" vm="5">
        <f t="array" ref="E128">badge_home</f>
        <v>#VALUE!</v>
      </c>
      <c r="F128" s="237"/>
      <c r="G128" s="92"/>
      <c r="H128" s="93"/>
      <c r="I128" s="238"/>
      <c r="J128" s="225" t="e" cm="1" vm="34">
        <f t="array" ref="J128">badge_away</f>
        <v>#VALUE!</v>
      </c>
      <c r="K128" s="133" t="s">
        <v>1030</v>
      </c>
      <c r="L128" s="226" t="s">
        <v>813</v>
      </c>
      <c r="N128" s="188"/>
      <c r="O128" s="188"/>
      <c r="P128" s="188"/>
      <c r="Q128" s="188"/>
      <c r="R128" s="188"/>
      <c r="S128" s="188"/>
      <c r="T128" s="188"/>
      <c r="U128" s="188"/>
      <c r="V128" s="188"/>
      <c r="W128" s="188"/>
      <c r="X128" s="188"/>
      <c r="Y128" s="188"/>
      <c r="Z128" s="188"/>
      <c r="AA128" s="188"/>
      <c r="AB128" s="188"/>
      <c r="AC128" s="188"/>
      <c r="AD128" s="188"/>
      <c r="AE128" s="188"/>
      <c r="AF128" s="188"/>
      <c r="AG128" s="188"/>
      <c r="AH128" s="188"/>
      <c r="AI128" s="188"/>
      <c r="AJ128" s="188"/>
      <c r="AK128" s="188"/>
      <c r="AL128" s="188"/>
      <c r="AM128" s="188"/>
      <c r="AN128" s="188"/>
      <c r="AO128" s="188"/>
      <c r="AP128" s="188"/>
      <c r="AQ128" s="188"/>
      <c r="AR128" s="188"/>
      <c r="AS128" s="188"/>
      <c r="AT128" s="188"/>
      <c r="AU128" s="188"/>
      <c r="AV128" s="188"/>
      <c r="AW128" s="188"/>
      <c r="AX128" s="188"/>
      <c r="AY128" s="188"/>
      <c r="AZ128" s="188"/>
      <c r="BA128" s="188"/>
      <c r="BB128" s="188"/>
      <c r="BC128" s="188"/>
      <c r="BD128" s="188"/>
      <c r="BE128" s="188"/>
      <c r="BF128" s="319" t="str">
        <f t="shared" si="7"/>
        <v>Pendiente</v>
      </c>
      <c r="BI128" s="319"/>
      <c r="BJ128" s="319"/>
      <c r="BM128" s="322"/>
    </row>
    <row r="129" spans="1:65" ht="17" customHeight="1">
      <c r="A129" s="227">
        <v>8</v>
      </c>
      <c r="B129" s="125">
        <f>Horarios!C129</f>
        <v>46414.875</v>
      </c>
      <c r="C129" s="117">
        <f>Horarios!C129</f>
        <v>46414.875</v>
      </c>
      <c r="D129" s="118" t="s">
        <v>1006</v>
      </c>
      <c r="E129" s="222" t="e" cm="1" vm="29">
        <f t="array" ref="E129">badge_home</f>
        <v>#VALUE!</v>
      </c>
      <c r="F129" s="235"/>
      <c r="G129" s="88"/>
      <c r="H129" s="90"/>
      <c r="I129" s="224"/>
      <c r="J129" s="225" t="e" cm="1" vm="11">
        <f t="array" ref="J129">badge_away</f>
        <v>#VALUE!</v>
      </c>
      <c r="K129" s="133" t="s">
        <v>699</v>
      </c>
      <c r="L129" s="129"/>
      <c r="M129" s="188"/>
      <c r="N129" s="188"/>
      <c r="O129" s="188"/>
      <c r="P129" s="188"/>
      <c r="Q129" s="188"/>
      <c r="R129" s="188"/>
      <c r="S129" s="188"/>
      <c r="T129" s="188"/>
      <c r="U129" s="188"/>
      <c r="V129" s="188"/>
      <c r="W129" s="188"/>
      <c r="X129" s="188"/>
      <c r="Y129" s="188"/>
      <c r="Z129" s="188"/>
      <c r="AA129" s="188"/>
      <c r="AB129" s="188"/>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8"/>
      <c r="AX129" s="188"/>
      <c r="AY129" s="188"/>
      <c r="AZ129" s="188"/>
      <c r="BA129" s="188"/>
      <c r="BB129" s="188"/>
      <c r="BC129" s="188"/>
      <c r="BD129" s="188"/>
      <c r="BE129" s="188"/>
      <c r="BF129" s="319" t="str">
        <f t="shared" si="7"/>
        <v>Pendiente</v>
      </c>
      <c r="BI129" s="319"/>
      <c r="BJ129" s="319"/>
      <c r="BM129" s="322"/>
    </row>
    <row r="130" spans="1:65" ht="17" customHeight="1">
      <c r="A130" s="227">
        <v>8</v>
      </c>
      <c r="B130" s="125">
        <f>Horarios!C130</f>
        <v>46414.875</v>
      </c>
      <c r="C130" s="117">
        <f>Horarios!C130</f>
        <v>46414.875</v>
      </c>
      <c r="D130" s="118" t="s">
        <v>992</v>
      </c>
      <c r="E130" s="222" t="e" cm="1" vm="10">
        <f t="array" ref="E130">badge_home</f>
        <v>#VALUE!</v>
      </c>
      <c r="F130" s="235"/>
      <c r="G130" s="88"/>
      <c r="H130" s="90"/>
      <c r="I130" s="224"/>
      <c r="J130" s="225" t="e" cm="1" vm="28">
        <f t="array" ref="J130">badge_away</f>
        <v>#VALUE!</v>
      </c>
      <c r="K130" s="133" t="s">
        <v>1028</v>
      </c>
      <c r="L130" s="129"/>
      <c r="M130" s="188"/>
      <c r="N130" s="188"/>
      <c r="O130" s="188"/>
      <c r="P130" s="188"/>
      <c r="Q130" s="188"/>
      <c r="R130" s="188"/>
      <c r="S130" s="188"/>
      <c r="T130" s="188"/>
      <c r="U130" s="188"/>
      <c r="V130" s="188"/>
      <c r="W130" s="188"/>
      <c r="X130" s="188"/>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88"/>
      <c r="AX130" s="188"/>
      <c r="AY130" s="188"/>
      <c r="AZ130" s="188"/>
      <c r="BA130" s="188"/>
      <c r="BB130" s="188"/>
      <c r="BC130" s="188"/>
      <c r="BD130" s="188"/>
      <c r="BE130" s="188"/>
      <c r="BF130" s="319" t="str">
        <f t="shared" ref="BF130:BF145" si="8">IF(OR(G130="",H130=""),"Pendiente",IF(G130&gt;H130,"Local",IF(G130&lt;H130,"Visitante","Empate")))</f>
        <v>Pendiente</v>
      </c>
      <c r="BI130" s="319"/>
      <c r="BJ130" s="319"/>
      <c r="BM130" s="322"/>
    </row>
    <row r="131" spans="1:65" ht="17" customHeight="1">
      <c r="A131" s="227">
        <v>8</v>
      </c>
      <c r="B131" s="125">
        <f>Horarios!C131</f>
        <v>46414.875</v>
      </c>
      <c r="C131" s="117">
        <f>Horarios!C131</f>
        <v>46414.875</v>
      </c>
      <c r="D131" s="118" t="s">
        <v>736</v>
      </c>
      <c r="E131" s="222" t="e" cm="1" vm="6">
        <f t="array" ref="E131">badge_home</f>
        <v>#VALUE!</v>
      </c>
      <c r="F131" s="235"/>
      <c r="G131" s="88"/>
      <c r="H131" s="90"/>
      <c r="I131" s="224"/>
      <c r="J131" s="225" t="e" cm="1" vm="1">
        <f t="array" ref="J131">badge_away</f>
        <v>#VALUE!</v>
      </c>
      <c r="K131" s="133" t="s">
        <v>1031</v>
      </c>
      <c r="L131" s="129"/>
      <c r="M131" s="188"/>
      <c r="N131" s="188"/>
      <c r="O131" s="188"/>
      <c r="P131" s="188"/>
      <c r="Q131" s="188"/>
      <c r="R131" s="188"/>
      <c r="S131" s="188"/>
      <c r="T131" s="188"/>
      <c r="U131" s="188"/>
      <c r="V131" s="188"/>
      <c r="W131" s="188"/>
      <c r="X131" s="188"/>
      <c r="Y131" s="188"/>
      <c r="Z131" s="188"/>
      <c r="AA131" s="188"/>
      <c r="AB131" s="188"/>
      <c r="AC131" s="188"/>
      <c r="AD131" s="188"/>
      <c r="AE131" s="188"/>
      <c r="AF131" s="188"/>
      <c r="AG131" s="188"/>
      <c r="AH131" s="188"/>
      <c r="AI131" s="188"/>
      <c r="AJ131" s="188"/>
      <c r="AK131" s="188"/>
      <c r="AL131" s="188"/>
      <c r="AM131" s="188"/>
      <c r="AN131" s="188"/>
      <c r="AO131" s="188"/>
      <c r="AP131" s="188"/>
      <c r="AQ131" s="188"/>
      <c r="AR131" s="188"/>
      <c r="AS131" s="188"/>
      <c r="AT131" s="188"/>
      <c r="AU131" s="188"/>
      <c r="AV131" s="188"/>
      <c r="AW131" s="188"/>
      <c r="AX131" s="188"/>
      <c r="AY131" s="188"/>
      <c r="AZ131" s="188"/>
      <c r="BA131" s="188"/>
      <c r="BB131" s="188"/>
      <c r="BC131" s="188"/>
      <c r="BD131" s="188"/>
      <c r="BE131" s="188"/>
      <c r="BF131" s="319" t="str">
        <f t="shared" si="8"/>
        <v>Pendiente</v>
      </c>
      <c r="BI131" s="319"/>
      <c r="BJ131" s="319"/>
      <c r="BM131" s="322"/>
    </row>
    <row r="132" spans="1:65" ht="17" customHeight="1">
      <c r="A132" s="227">
        <v>8</v>
      </c>
      <c r="B132" s="125">
        <f>Horarios!C132</f>
        <v>46414.875</v>
      </c>
      <c r="C132" s="117">
        <f>Horarios!C132</f>
        <v>46414.875</v>
      </c>
      <c r="D132" s="118" t="s">
        <v>815</v>
      </c>
      <c r="E132" s="222" t="e" cm="1" vm="3">
        <f t="array" ref="E132">badge_home</f>
        <v>#VALUE!</v>
      </c>
      <c r="F132" s="235"/>
      <c r="G132" s="88"/>
      <c r="H132" s="90"/>
      <c r="I132" s="224"/>
      <c r="J132" s="225" t="e" cm="1" vm="20">
        <f t="array" ref="J132">badge_away</f>
        <v>#VALUE!</v>
      </c>
      <c r="K132" s="133" t="s">
        <v>821</v>
      </c>
      <c r="L132" s="129"/>
      <c r="M132" s="188"/>
      <c r="N132" s="188"/>
      <c r="O132" s="188"/>
      <c r="P132" s="188"/>
      <c r="Q132" s="188"/>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319" t="str">
        <f t="shared" si="8"/>
        <v>Pendiente</v>
      </c>
      <c r="BI132" s="319"/>
      <c r="BJ132" s="319"/>
      <c r="BM132" s="322"/>
    </row>
    <row r="133" spans="1:65" ht="17" customHeight="1">
      <c r="A133" s="227">
        <v>8</v>
      </c>
      <c r="B133" s="125">
        <f>Horarios!C133</f>
        <v>46414.875</v>
      </c>
      <c r="C133" s="117">
        <f>Horarios!C133</f>
        <v>46414.875</v>
      </c>
      <c r="D133" s="118" t="s">
        <v>993</v>
      </c>
      <c r="E133" s="222" t="e" cm="1" vm="16">
        <f t="array" ref="E133">badge_home</f>
        <v>#VALUE!</v>
      </c>
      <c r="F133" s="235"/>
      <c r="G133" s="88"/>
      <c r="H133" s="90"/>
      <c r="I133" s="224"/>
      <c r="J133" s="225" t="e" cm="1" vm="12">
        <f t="array" ref="J133">badge_away</f>
        <v>#VALUE!</v>
      </c>
      <c r="K133" s="133" t="s">
        <v>1009</v>
      </c>
      <c r="L133" s="129"/>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c r="BF133" s="319" t="str">
        <f t="shared" si="8"/>
        <v>Pendiente</v>
      </c>
      <c r="BI133" s="319"/>
      <c r="BJ133" s="319"/>
      <c r="BM133" s="322"/>
    </row>
    <row r="134" spans="1:65" ht="17" customHeight="1">
      <c r="A134" s="227">
        <v>8</v>
      </c>
      <c r="B134" s="125">
        <f>Horarios!C134</f>
        <v>46414.875</v>
      </c>
      <c r="C134" s="117">
        <f>Horarios!C134</f>
        <v>46414.875</v>
      </c>
      <c r="D134" s="118" t="s">
        <v>692</v>
      </c>
      <c r="E134" s="222" t="e" cm="1" vm="13">
        <f t="array" ref="E134">badge_home</f>
        <v>#VALUE!</v>
      </c>
      <c r="F134" s="235"/>
      <c r="G134" s="88"/>
      <c r="H134" s="90"/>
      <c r="I134" s="224"/>
      <c r="J134" s="225" t="e" cm="1" vm="26">
        <f t="array" ref="J134">badge_away</f>
        <v>#VALUE!</v>
      </c>
      <c r="K134" s="133" t="s">
        <v>1002</v>
      </c>
      <c r="L134" s="129"/>
      <c r="M134" s="188"/>
      <c r="N134" s="188"/>
      <c r="O134" s="188"/>
      <c r="P134" s="188"/>
      <c r="Q134" s="188"/>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319" t="str">
        <f t="shared" si="8"/>
        <v>Pendiente</v>
      </c>
      <c r="BI134" s="319"/>
      <c r="BJ134" s="319"/>
      <c r="BM134" s="322"/>
    </row>
    <row r="135" spans="1:65" ht="17" customHeight="1">
      <c r="A135" s="227">
        <v>8</v>
      </c>
      <c r="B135" s="125">
        <f>Horarios!C135</f>
        <v>46414.875</v>
      </c>
      <c r="C135" s="117">
        <f>Horarios!C135</f>
        <v>46414.875</v>
      </c>
      <c r="D135" s="118" t="s">
        <v>818</v>
      </c>
      <c r="E135" s="222" t="e" cm="1" vm="31">
        <f t="array" ref="E135">badge_home</f>
        <v>#VALUE!</v>
      </c>
      <c r="F135" s="235"/>
      <c r="G135" s="88"/>
      <c r="H135" s="90"/>
      <c r="I135" s="224"/>
      <c r="J135" s="225" t="e" cm="1" vm="14">
        <f t="array" ref="J135">badge_away</f>
        <v>#VALUE!</v>
      </c>
      <c r="K135" s="133" t="s">
        <v>2</v>
      </c>
      <c r="L135" s="129"/>
      <c r="M135" s="188"/>
      <c r="N135" s="188"/>
      <c r="O135" s="188"/>
      <c r="P135" s="188"/>
      <c r="Q135" s="188"/>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319" t="str">
        <f t="shared" si="8"/>
        <v>Pendiente</v>
      </c>
      <c r="BI135" s="319"/>
      <c r="BJ135" s="319"/>
      <c r="BM135" s="322"/>
    </row>
    <row r="136" spans="1:65" ht="17" customHeight="1">
      <c r="A136" s="227">
        <v>8</v>
      </c>
      <c r="B136" s="125">
        <f>Horarios!C136</f>
        <v>46414.875</v>
      </c>
      <c r="C136" s="117">
        <f>Horarios!C136</f>
        <v>46414.875</v>
      </c>
      <c r="D136" s="118" t="s">
        <v>737</v>
      </c>
      <c r="E136" s="222" t="e" cm="1" vm="17">
        <f t="array" ref="E136">badge_home</f>
        <v>#VALUE!</v>
      </c>
      <c r="F136" s="235"/>
      <c r="G136" s="88"/>
      <c r="H136" s="90"/>
      <c r="I136" s="224"/>
      <c r="J136" s="225" t="e" cm="1" vm="32">
        <f t="array" ref="J136">badge_away</f>
        <v>#VALUE!</v>
      </c>
      <c r="K136" s="133" t="s">
        <v>738</v>
      </c>
      <c r="L136" s="129"/>
      <c r="M136" s="188"/>
      <c r="N136" s="188"/>
      <c r="O136" s="188"/>
      <c r="P136" s="188"/>
      <c r="Q136" s="188"/>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319" t="str">
        <f t="shared" si="8"/>
        <v>Pendiente</v>
      </c>
      <c r="BI136" s="319"/>
      <c r="BJ136" s="319"/>
      <c r="BM136" s="322"/>
    </row>
    <row r="137" spans="1:65" ht="17" customHeight="1">
      <c r="A137" s="227">
        <v>8</v>
      </c>
      <c r="B137" s="125">
        <f>Horarios!C137</f>
        <v>46414.875</v>
      </c>
      <c r="C137" s="117">
        <f>Horarios!C137</f>
        <v>46414.875</v>
      </c>
      <c r="D137" s="118" t="s">
        <v>1032</v>
      </c>
      <c r="E137" s="222" t="e" cm="1" vm="2">
        <f t="array" ref="E137">badge_home</f>
        <v>#VALUE!</v>
      </c>
      <c r="F137" s="235"/>
      <c r="G137" s="88"/>
      <c r="H137" s="90"/>
      <c r="I137" s="224"/>
      <c r="J137" s="225" t="e" cm="1" vm="8">
        <f t="array" ref="J137">badge_away</f>
        <v>#VALUE!</v>
      </c>
      <c r="K137" s="133" t="s">
        <v>1005</v>
      </c>
      <c r="L137" s="129"/>
      <c r="M137" s="188"/>
      <c r="N137" s="188"/>
      <c r="O137" s="188"/>
      <c r="P137" s="188"/>
      <c r="Q137" s="188"/>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319" t="str">
        <f t="shared" si="8"/>
        <v>Pendiente</v>
      </c>
      <c r="BI137" s="319"/>
      <c r="BJ137" s="319"/>
      <c r="BM137" s="322"/>
    </row>
    <row r="138" spans="1:65" ht="17" customHeight="1">
      <c r="A138" s="227">
        <v>8</v>
      </c>
      <c r="B138" s="125">
        <f>Horarios!C138</f>
        <v>46414.875</v>
      </c>
      <c r="C138" s="117">
        <f>Horarios!C138</f>
        <v>46414.875</v>
      </c>
      <c r="D138" s="118" t="s">
        <v>739</v>
      </c>
      <c r="E138" s="222" t="e" cm="1" vm="21">
        <f t="array" ref="E138">badge_home</f>
        <v>#VALUE!</v>
      </c>
      <c r="F138" s="235"/>
      <c r="G138" s="88"/>
      <c r="H138" s="90"/>
      <c r="I138" s="224"/>
      <c r="J138" s="225" t="e" cm="1" vm="36">
        <f t="array" ref="J138">badge_away</f>
        <v>#VALUE!</v>
      </c>
      <c r="K138" s="133" t="s">
        <v>1003</v>
      </c>
      <c r="L138" s="129"/>
      <c r="M138" s="188"/>
      <c r="N138" s="188"/>
      <c r="O138" s="188"/>
      <c r="P138" s="188"/>
      <c r="Q138" s="188"/>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319" t="str">
        <f t="shared" si="8"/>
        <v>Pendiente</v>
      </c>
      <c r="BI138" s="319"/>
      <c r="BJ138" s="319"/>
      <c r="BM138" s="322"/>
    </row>
    <row r="139" spans="1:65" ht="17" customHeight="1">
      <c r="A139" s="227">
        <v>8</v>
      </c>
      <c r="B139" s="125">
        <f>Horarios!C139</f>
        <v>46414.875</v>
      </c>
      <c r="C139" s="117">
        <f>Horarios!C139</f>
        <v>46414.875</v>
      </c>
      <c r="D139" s="118" t="s">
        <v>740</v>
      </c>
      <c r="E139" s="222" t="e" cm="1" vm="9">
        <f t="array" ref="E139">badge_home</f>
        <v>#VALUE!</v>
      </c>
      <c r="F139" s="235"/>
      <c r="G139" s="88"/>
      <c r="H139" s="90"/>
      <c r="I139" s="224"/>
      <c r="J139" s="225" t="e" cm="1" vm="24">
        <f t="array" ref="J139">badge_away</f>
        <v>#VALUE!</v>
      </c>
      <c r="K139" s="133" t="s">
        <v>803</v>
      </c>
      <c r="L139" s="129"/>
      <c r="M139" s="188"/>
      <c r="N139" s="188"/>
      <c r="O139" s="188"/>
      <c r="P139" s="188"/>
      <c r="Q139" s="188"/>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319" t="str">
        <f t="shared" si="8"/>
        <v>Pendiente</v>
      </c>
      <c r="BI139" s="319"/>
      <c r="BJ139" s="319"/>
      <c r="BM139" s="322"/>
    </row>
    <row r="140" spans="1:65" ht="17" customHeight="1">
      <c r="A140" s="227">
        <v>8</v>
      </c>
      <c r="B140" s="125">
        <f>Horarios!C140</f>
        <v>46414.875</v>
      </c>
      <c r="C140" s="117">
        <f>Horarios!C140</f>
        <v>46414.875</v>
      </c>
      <c r="D140" s="118" t="s">
        <v>698</v>
      </c>
      <c r="E140" s="222" t="e" cm="1" vm="22">
        <f t="array" ref="E140">badge_home</f>
        <v>#VALUE!</v>
      </c>
      <c r="F140" s="235"/>
      <c r="G140" s="88"/>
      <c r="H140" s="90"/>
      <c r="I140" s="224"/>
      <c r="J140" s="225" t="e" cm="1" vm="25">
        <f t="array" ref="J140">badge_away</f>
        <v>#VALUE!</v>
      </c>
      <c r="K140" s="133" t="s">
        <v>986</v>
      </c>
      <c r="L140" s="129"/>
      <c r="M140" s="188"/>
      <c r="N140" s="188"/>
      <c r="O140" s="188"/>
      <c r="P140" s="188"/>
      <c r="Q140" s="188"/>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c r="BF140" s="319" t="str">
        <f t="shared" si="8"/>
        <v>Pendiente</v>
      </c>
      <c r="BI140" s="319"/>
      <c r="BJ140" s="319"/>
      <c r="BM140" s="322"/>
    </row>
    <row r="141" spans="1:65" ht="17" customHeight="1">
      <c r="A141" s="227">
        <v>8</v>
      </c>
      <c r="B141" s="125">
        <f>Horarios!C141</f>
        <v>46414.875</v>
      </c>
      <c r="C141" s="117">
        <f>Horarios!C141</f>
        <v>46414.875</v>
      </c>
      <c r="D141" s="118" t="s">
        <v>741</v>
      </c>
      <c r="E141" s="222" t="e" cm="1" vm="30">
        <f t="array" ref="E141">badge_home</f>
        <v>#VALUE!</v>
      </c>
      <c r="F141" s="235"/>
      <c r="G141" s="88"/>
      <c r="H141" s="90"/>
      <c r="I141" s="224"/>
      <c r="J141" s="225" t="e" cm="1" vm="18">
        <f t="array" ref="J141">badge_away</f>
        <v>#VALUE!</v>
      </c>
      <c r="K141" s="133" t="s">
        <v>694</v>
      </c>
      <c r="L141" s="129"/>
      <c r="M141" s="188"/>
      <c r="N141" s="188"/>
      <c r="O141" s="188"/>
      <c r="P141" s="188"/>
      <c r="Q141" s="188"/>
      <c r="R141" s="188"/>
      <c r="S141" s="188"/>
      <c r="T141" s="188"/>
      <c r="U141" s="188"/>
      <c r="V141" s="188"/>
      <c r="W141" s="188"/>
      <c r="X141" s="188"/>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88"/>
      <c r="AX141" s="188"/>
      <c r="AY141" s="188"/>
      <c r="AZ141" s="188"/>
      <c r="BA141" s="188"/>
      <c r="BB141" s="188"/>
      <c r="BC141" s="188"/>
      <c r="BD141" s="188"/>
      <c r="BE141" s="188"/>
      <c r="BF141" s="319" t="str">
        <f t="shared" si="8"/>
        <v>Pendiente</v>
      </c>
      <c r="BI141" s="319"/>
      <c r="BJ141" s="319"/>
      <c r="BM141" s="322"/>
    </row>
    <row r="142" spans="1:65" ht="17" customHeight="1">
      <c r="A142" s="227">
        <v>8</v>
      </c>
      <c r="B142" s="125">
        <f>Horarios!C142</f>
        <v>46414.875</v>
      </c>
      <c r="C142" s="117">
        <f>Horarios!C142</f>
        <v>46414.875</v>
      </c>
      <c r="D142" s="118" t="s">
        <v>995</v>
      </c>
      <c r="E142" s="222" t="e" cm="1" vm="35">
        <f t="array" ref="E142">badge_home</f>
        <v>#VALUE!</v>
      </c>
      <c r="F142" s="235"/>
      <c r="G142" s="88"/>
      <c r="H142" s="90"/>
      <c r="I142" s="224"/>
      <c r="J142" s="225" t="e" cm="1" vm="4">
        <f t="array" ref="J142">badge_away</f>
        <v>#VALUE!</v>
      </c>
      <c r="K142" s="133" t="s">
        <v>808</v>
      </c>
      <c r="L142" s="129"/>
      <c r="M142" s="188"/>
      <c r="N142" s="188"/>
      <c r="O142" s="188"/>
      <c r="P142" s="188"/>
      <c r="Q142" s="188"/>
      <c r="R142" s="188"/>
      <c r="S142" s="188"/>
      <c r="T142" s="188"/>
      <c r="U142" s="188"/>
      <c r="V142" s="188"/>
      <c r="W142" s="188"/>
      <c r="X142" s="188"/>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88"/>
      <c r="AX142" s="188"/>
      <c r="AY142" s="188"/>
      <c r="AZ142" s="188"/>
      <c r="BA142" s="188"/>
      <c r="BB142" s="188"/>
      <c r="BC142" s="188"/>
      <c r="BD142" s="188"/>
      <c r="BE142" s="188"/>
      <c r="BF142" s="319" t="str">
        <f t="shared" si="8"/>
        <v>Pendiente</v>
      </c>
      <c r="BI142" s="319"/>
      <c r="BJ142" s="319"/>
      <c r="BM142" s="322"/>
    </row>
    <row r="143" spans="1:65" ht="17" customHeight="1">
      <c r="A143" s="227">
        <v>8</v>
      </c>
      <c r="B143" s="125">
        <f>Horarios!C143</f>
        <v>46414.875</v>
      </c>
      <c r="C143" s="117">
        <f>Horarios!C143</f>
        <v>46414.875</v>
      </c>
      <c r="D143" s="118" t="s">
        <v>980</v>
      </c>
      <c r="E143" s="222" t="e" cm="1" vm="27">
        <f t="array" ref="E143">badge_home</f>
        <v>#VALUE!</v>
      </c>
      <c r="F143" s="235"/>
      <c r="G143" s="88"/>
      <c r="H143" s="90"/>
      <c r="I143" s="224"/>
      <c r="J143" s="225" t="e" cm="1" vm="19">
        <f t="array" ref="J143">badge_away</f>
        <v>#VALUE!</v>
      </c>
      <c r="K143" s="133" t="s">
        <v>1029</v>
      </c>
      <c r="L143" s="129"/>
      <c r="M143" s="188"/>
      <c r="N143" s="188"/>
      <c r="O143" s="188"/>
      <c r="P143" s="188"/>
      <c r="Q143" s="188"/>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319" t="str">
        <f t="shared" si="8"/>
        <v>Pendiente</v>
      </c>
      <c r="BI143" s="319"/>
      <c r="BJ143" s="319"/>
      <c r="BM143" s="322"/>
    </row>
    <row r="144" spans="1:65" ht="17" customHeight="1">
      <c r="A144" s="227">
        <v>8</v>
      </c>
      <c r="B144" s="125">
        <f>Horarios!C144</f>
        <v>46414.875</v>
      </c>
      <c r="C144" s="117">
        <f>Horarios!C144</f>
        <v>46414.875</v>
      </c>
      <c r="D144" s="118" t="s">
        <v>982</v>
      </c>
      <c r="E144" s="222" t="e" cm="1" vm="7">
        <f t="array" ref="E144">badge_home</f>
        <v>#VALUE!</v>
      </c>
      <c r="F144" s="235"/>
      <c r="G144" s="88"/>
      <c r="H144" s="90"/>
      <c r="I144" s="224"/>
      <c r="J144" s="225" t="e" cm="1" vm="33">
        <f t="array" ref="J144">badge_away</f>
        <v>#VALUE!</v>
      </c>
      <c r="K144" s="133" t="s">
        <v>1004</v>
      </c>
      <c r="L144" s="129"/>
      <c r="M144" s="188"/>
      <c r="N144" s="188"/>
      <c r="O144" s="188"/>
      <c r="P144" s="188"/>
      <c r="Q144" s="188"/>
      <c r="R144" s="188"/>
      <c r="S144" s="188"/>
      <c r="T144" s="188"/>
      <c r="U144" s="188"/>
      <c r="V144" s="188"/>
      <c r="W144" s="188"/>
      <c r="X144" s="188"/>
      <c r="Y144" s="188"/>
      <c r="Z144" s="188"/>
      <c r="AA144" s="188"/>
      <c r="AB144" s="188"/>
      <c r="AC144" s="188"/>
      <c r="AD144" s="188"/>
      <c r="AE144" s="188"/>
      <c r="AF144" s="188"/>
      <c r="AG144" s="188"/>
      <c r="AH144" s="188"/>
      <c r="AI144" s="188"/>
      <c r="AJ144" s="188"/>
      <c r="AK144" s="188"/>
      <c r="AL144" s="188"/>
      <c r="AN144" s="188"/>
      <c r="AO144" s="188"/>
      <c r="AP144" s="188"/>
      <c r="AQ144" s="188"/>
      <c r="AR144" s="188"/>
      <c r="AS144" s="188"/>
      <c r="AT144" s="188"/>
      <c r="AU144" s="188"/>
      <c r="AV144" s="188"/>
      <c r="AW144" s="188"/>
      <c r="AX144" s="188"/>
      <c r="AY144" s="188"/>
      <c r="AZ144" s="188"/>
      <c r="BA144" s="188"/>
      <c r="BB144" s="188"/>
      <c r="BC144" s="188"/>
      <c r="BD144" s="188"/>
      <c r="BE144" s="188"/>
      <c r="BF144" s="319" t="str">
        <f t="shared" si="8"/>
        <v>Pendiente</v>
      </c>
      <c r="BI144" s="319"/>
      <c r="BJ144" s="319"/>
      <c r="BM144" s="322"/>
    </row>
    <row r="145" spans="1:65" ht="17" customHeight="1" thickBot="1">
      <c r="A145" s="245">
        <v>8</v>
      </c>
      <c r="B145" s="126">
        <f>Horarios!C145</f>
        <v>46414.875</v>
      </c>
      <c r="C145" s="127">
        <f>Horarios!C145</f>
        <v>46414.875</v>
      </c>
      <c r="D145" s="128" t="s">
        <v>1027</v>
      </c>
      <c r="E145" s="246" t="e" cm="1" vm="23">
        <f t="array" ref="E145">badge_home</f>
        <v>#VALUE!</v>
      </c>
      <c r="F145" s="247"/>
      <c r="G145" s="96"/>
      <c r="H145" s="97"/>
      <c r="I145" s="248"/>
      <c r="J145" s="247" t="e" cm="1" vm="15">
        <f t="array" ref="J145">badge_away</f>
        <v>#VALUE!</v>
      </c>
      <c r="K145" s="249" t="s">
        <v>695</v>
      </c>
      <c r="L145" s="129"/>
      <c r="M145" s="188"/>
      <c r="N145" s="188"/>
      <c r="O145" s="188"/>
      <c r="P145" s="188"/>
      <c r="Q145" s="188"/>
      <c r="R145" s="188"/>
      <c r="S145" s="188"/>
      <c r="T145" s="188"/>
      <c r="AK145" s="188"/>
      <c r="AL145" s="188"/>
      <c r="AN145" s="188"/>
      <c r="AO145" s="188"/>
      <c r="AP145" s="188"/>
      <c r="AQ145" s="188"/>
      <c r="AR145" s="188"/>
      <c r="AS145" s="188"/>
      <c r="AT145" s="188"/>
      <c r="AU145" s="188"/>
      <c r="AV145" s="188"/>
      <c r="AW145" s="188"/>
      <c r="AX145" s="188"/>
      <c r="AY145" s="188"/>
      <c r="AZ145" s="188"/>
      <c r="BA145" s="188"/>
      <c r="BB145" s="188"/>
      <c r="BC145" s="188"/>
      <c r="BD145" s="188"/>
      <c r="BE145" s="188"/>
      <c r="BF145" s="319" t="str">
        <f t="shared" si="8"/>
        <v>Pendiente</v>
      </c>
      <c r="BI145" s="319"/>
      <c r="BJ145" s="319"/>
      <c r="BM145" s="322"/>
    </row>
    <row r="146" spans="1:65" ht="17" customHeight="1">
      <c r="A146" s="129"/>
      <c r="B146" s="129"/>
      <c r="C146" s="129"/>
      <c r="D146" s="129"/>
      <c r="E146" s="129"/>
      <c r="F146" s="129"/>
      <c r="G146" s="129"/>
      <c r="H146" s="129"/>
      <c r="I146" s="129"/>
      <c r="J146" s="129"/>
      <c r="K146" s="129"/>
      <c r="L146" s="129"/>
      <c r="M146" s="188"/>
      <c r="N146" s="188"/>
      <c r="O146" s="188"/>
      <c r="P146" s="188"/>
      <c r="Q146" s="188"/>
      <c r="R146" s="188"/>
      <c r="S146" s="188"/>
      <c r="T146" s="188"/>
      <c r="AK146" s="188"/>
      <c r="AL146" s="188"/>
      <c r="AN146" s="188"/>
      <c r="AO146" s="188"/>
      <c r="AP146" s="188"/>
      <c r="AQ146" s="188"/>
      <c r="AR146" s="188"/>
      <c r="AS146" s="188"/>
      <c r="AT146" s="188"/>
      <c r="AU146" s="188"/>
      <c r="AV146" s="188"/>
      <c r="AW146" s="188"/>
      <c r="AX146" s="188"/>
      <c r="AY146" s="188"/>
      <c r="AZ146" s="188"/>
      <c r="BA146" s="188"/>
      <c r="BB146" s="188"/>
      <c r="BC146" s="188"/>
      <c r="BD146" s="188"/>
      <c r="BE146" s="188"/>
      <c r="BF146" s="319"/>
      <c r="BI146" s="319"/>
      <c r="BJ146" s="319"/>
      <c r="BM146" s="322"/>
    </row>
    <row r="147" spans="1:65" ht="15" customHeight="1">
      <c r="A147" s="507" t="str">
        <f>Idiomas!D28</f>
        <v>IR A LAS ELIMINATORIAS</v>
      </c>
      <c r="B147" s="508"/>
      <c r="C147" s="508"/>
      <c r="D147" s="508"/>
      <c r="E147" s="508"/>
      <c r="F147" s="508"/>
      <c r="G147" s="508"/>
      <c r="H147" s="508"/>
      <c r="I147" s="508"/>
      <c r="J147" s="508"/>
      <c r="K147" s="509"/>
      <c r="P147" s="204"/>
    </row>
    <row r="148" spans="1:65" ht="16" customHeight="1">
      <c r="A148" s="510"/>
      <c r="B148" s="511"/>
      <c r="C148" s="511"/>
      <c r="D148" s="511"/>
      <c r="E148" s="511"/>
      <c r="F148" s="511"/>
      <c r="G148" s="511"/>
      <c r="H148" s="511"/>
      <c r="I148" s="511"/>
      <c r="J148" s="511"/>
      <c r="K148" s="512"/>
      <c r="P148" s="250"/>
    </row>
    <row r="149" spans="1:65" ht="15" customHeight="1">
      <c r="A149" s="510"/>
      <c r="B149" s="511"/>
      <c r="C149" s="511"/>
      <c r="D149" s="511"/>
      <c r="E149" s="511"/>
      <c r="F149" s="511"/>
      <c r="G149" s="511"/>
      <c r="H149" s="511"/>
      <c r="I149" s="511"/>
      <c r="J149" s="511"/>
      <c r="K149" s="512"/>
    </row>
    <row r="150" spans="1:65" ht="16" customHeight="1" thickBot="1">
      <c r="A150" s="513"/>
      <c r="B150" s="514"/>
      <c r="C150" s="514"/>
      <c r="D150" s="514"/>
      <c r="E150" s="514"/>
      <c r="F150" s="514"/>
      <c r="G150" s="514"/>
      <c r="H150" s="514"/>
      <c r="I150" s="514"/>
      <c r="J150" s="514"/>
      <c r="K150" s="515"/>
    </row>
    <row r="151" spans="1:65">
      <c r="A151" s="104"/>
      <c r="B151" s="104"/>
      <c r="C151" s="104"/>
      <c r="D151" s="104"/>
      <c r="E151" s="104"/>
      <c r="F151" s="104"/>
      <c r="G151" s="104"/>
      <c r="H151" s="104"/>
      <c r="I151" s="104"/>
    </row>
    <row r="152" spans="1:65">
      <c r="B152" s="130"/>
    </row>
    <row r="153" spans="1:65">
      <c r="B153" s="130"/>
    </row>
    <row r="154" spans="1:65">
      <c r="B154" s="130"/>
    </row>
    <row r="155" spans="1:65">
      <c r="B155" s="130"/>
    </row>
    <row r="156" spans="1:65">
      <c r="B156" s="130"/>
    </row>
    <row r="157" spans="1:65">
      <c r="B157" s="130"/>
    </row>
    <row r="158" spans="1:65">
      <c r="B158" s="130"/>
    </row>
    <row r="159" spans="1:65">
      <c r="B159" s="130"/>
    </row>
    <row r="160" spans="1:65">
      <c r="B160" s="130"/>
    </row>
    <row r="161" spans="2:2">
      <c r="B161" s="130"/>
    </row>
    <row r="162" spans="2:2">
      <c r="B162" s="130"/>
    </row>
    <row r="163" spans="2:2">
      <c r="B163" s="130"/>
    </row>
    <row r="164" spans="2:2">
      <c r="B164" s="130"/>
    </row>
    <row r="165" spans="2:2">
      <c r="B165" s="130"/>
    </row>
    <row r="166" spans="2:2">
      <c r="B166" s="130"/>
    </row>
    <row r="167" spans="2:2">
      <c r="B167" s="130"/>
    </row>
    <row r="168" spans="2:2">
      <c r="B168" s="130"/>
    </row>
    <row r="169" spans="2:2">
      <c r="B169" s="130"/>
    </row>
    <row r="170" spans="2:2">
      <c r="B170" s="130"/>
    </row>
    <row r="171" spans="2:2">
      <c r="B171" s="130"/>
    </row>
    <row r="172" spans="2:2">
      <c r="B172" s="130"/>
    </row>
    <row r="173" spans="2:2">
      <c r="B173" s="130"/>
    </row>
    <row r="174" spans="2:2">
      <c r="B174" s="130"/>
    </row>
    <row r="175" spans="2:2">
      <c r="B175" s="130"/>
    </row>
    <row r="176" spans="2:2">
      <c r="B176" s="130"/>
    </row>
    <row r="177" spans="2:2">
      <c r="B177" s="130"/>
    </row>
    <row r="178" spans="2:2">
      <c r="B178" s="130"/>
    </row>
    <row r="179" spans="2:2">
      <c r="B179" s="130"/>
    </row>
    <row r="180" spans="2:2">
      <c r="B180" s="130"/>
    </row>
    <row r="181" spans="2:2">
      <c r="B181" s="130"/>
    </row>
    <row r="182" spans="2:2">
      <c r="B182" s="130"/>
    </row>
    <row r="183" spans="2:2">
      <c r="B183" s="130"/>
    </row>
    <row r="184" spans="2:2">
      <c r="B184" s="130"/>
    </row>
    <row r="185" spans="2:2">
      <c r="B185" s="130"/>
    </row>
    <row r="186" spans="2:2">
      <c r="B186" s="130"/>
    </row>
    <row r="187" spans="2:2">
      <c r="B187" s="130"/>
    </row>
    <row r="188" spans="2:2">
      <c r="B188" s="130"/>
    </row>
    <row r="189" spans="2:2">
      <c r="B189" s="130"/>
    </row>
    <row r="190" spans="2:2">
      <c r="B190" s="130"/>
    </row>
    <row r="191" spans="2:2">
      <c r="B191" s="130"/>
    </row>
    <row r="192" spans="2:2">
      <c r="B192" s="130"/>
    </row>
    <row r="193" spans="2:2">
      <c r="B193" s="130"/>
    </row>
    <row r="194" spans="2:2">
      <c r="B194" s="130"/>
    </row>
    <row r="195" spans="2:2">
      <c r="B195" s="130"/>
    </row>
    <row r="196" spans="2:2">
      <c r="B196" s="130"/>
    </row>
    <row r="197" spans="2:2">
      <c r="B197" s="130"/>
    </row>
    <row r="198" spans="2:2">
      <c r="B198" s="130"/>
    </row>
    <row r="199" spans="2:2">
      <c r="B199" s="130"/>
    </row>
    <row r="200" spans="2:2">
      <c r="B200" s="130"/>
    </row>
    <row r="201" spans="2:2">
      <c r="B201" s="130"/>
    </row>
    <row r="202" spans="2:2">
      <c r="B202" s="130"/>
    </row>
    <row r="203" spans="2:2">
      <c r="B203" s="130"/>
    </row>
    <row r="204" spans="2:2">
      <c r="B204" s="130"/>
    </row>
    <row r="205" spans="2:2">
      <c r="B205" s="130"/>
    </row>
    <row r="206" spans="2:2">
      <c r="B206" s="130"/>
    </row>
    <row r="207" spans="2:2">
      <c r="B207" s="130"/>
    </row>
    <row r="208" spans="2:2">
      <c r="B208" s="130"/>
    </row>
    <row r="209" spans="2:2">
      <c r="B209" s="130"/>
    </row>
    <row r="210" spans="2:2">
      <c r="B210" s="130"/>
    </row>
    <row r="211" spans="2:2">
      <c r="B211" s="130"/>
    </row>
    <row r="212" spans="2:2">
      <c r="B212" s="130"/>
    </row>
    <row r="213" spans="2:2">
      <c r="B213" s="130"/>
    </row>
    <row r="214" spans="2:2">
      <c r="B214" s="130"/>
    </row>
    <row r="215" spans="2:2">
      <c r="B215" s="130"/>
    </row>
    <row r="216" spans="2:2">
      <c r="B216" s="130"/>
    </row>
    <row r="217" spans="2:2">
      <c r="B217" s="130"/>
    </row>
    <row r="218" spans="2:2">
      <c r="B218" s="130"/>
    </row>
    <row r="219" spans="2:2">
      <c r="B219" s="130"/>
    </row>
    <row r="220" spans="2:2">
      <c r="B220" s="130"/>
    </row>
    <row r="221" spans="2:2">
      <c r="B221" s="130"/>
    </row>
    <row r="222" spans="2:2">
      <c r="B222" s="130"/>
    </row>
    <row r="223" spans="2:2">
      <c r="B223" s="130"/>
    </row>
    <row r="224" spans="2:2">
      <c r="B224" s="130"/>
    </row>
    <row r="225" spans="2:2">
      <c r="B225" s="130"/>
    </row>
    <row r="226" spans="2:2">
      <c r="B226" s="130"/>
    </row>
    <row r="227" spans="2:2">
      <c r="B227" s="130"/>
    </row>
    <row r="228" spans="2:2">
      <c r="B228" s="130"/>
    </row>
    <row r="229" spans="2:2">
      <c r="B229" s="130"/>
    </row>
    <row r="230" spans="2:2">
      <c r="B230" s="130"/>
    </row>
    <row r="231" spans="2:2">
      <c r="B231" s="130"/>
    </row>
    <row r="232" spans="2:2">
      <c r="B232" s="130"/>
    </row>
    <row r="233" spans="2:2">
      <c r="B233" s="130"/>
    </row>
    <row r="234" spans="2:2">
      <c r="B234" s="130"/>
    </row>
    <row r="235" spans="2:2">
      <c r="B235" s="130"/>
    </row>
    <row r="236" spans="2:2">
      <c r="B236" s="130"/>
    </row>
    <row r="237" spans="2:2">
      <c r="B237" s="130"/>
    </row>
    <row r="238" spans="2:2">
      <c r="B238" s="130"/>
    </row>
    <row r="239" spans="2:2">
      <c r="B239" s="130"/>
    </row>
    <row r="240" spans="2:2">
      <c r="B240" s="130"/>
    </row>
    <row r="241" spans="2:2">
      <c r="B241" s="130"/>
    </row>
    <row r="242" spans="2:2">
      <c r="B242" s="130"/>
    </row>
    <row r="243" spans="2:2">
      <c r="B243" s="130"/>
    </row>
    <row r="244" spans="2:2">
      <c r="B244" s="130"/>
    </row>
    <row r="245" spans="2:2">
      <c r="B245" s="130"/>
    </row>
    <row r="246" spans="2:2">
      <c r="B246" s="130"/>
    </row>
    <row r="247" spans="2:2">
      <c r="B247" s="130"/>
    </row>
    <row r="248" spans="2:2">
      <c r="B248" s="130"/>
    </row>
    <row r="249" spans="2:2">
      <c r="B249" s="130"/>
    </row>
    <row r="250" spans="2:2">
      <c r="B250" s="130"/>
    </row>
    <row r="251" spans="2:2">
      <c r="B251" s="130"/>
    </row>
    <row r="252" spans="2:2">
      <c r="B252" s="130"/>
    </row>
    <row r="253" spans="2:2">
      <c r="B253" s="130"/>
    </row>
    <row r="254" spans="2:2">
      <c r="B254" s="130"/>
    </row>
    <row r="255" spans="2:2">
      <c r="B255" s="130"/>
    </row>
    <row r="256" spans="2:2">
      <c r="B256" s="130"/>
    </row>
    <row r="257" spans="2:2">
      <c r="B257" s="130"/>
    </row>
    <row r="258" spans="2:2">
      <c r="B258" s="130"/>
    </row>
    <row r="259" spans="2:2">
      <c r="B259" s="130"/>
    </row>
    <row r="260" spans="2:2">
      <c r="B260" s="130"/>
    </row>
    <row r="261" spans="2:2">
      <c r="B261" s="130"/>
    </row>
    <row r="262" spans="2:2">
      <c r="B262" s="130"/>
    </row>
    <row r="263" spans="2:2">
      <c r="B263" s="130"/>
    </row>
    <row r="264" spans="2:2">
      <c r="B264" s="130"/>
    </row>
    <row r="265" spans="2:2">
      <c r="B265" s="130"/>
    </row>
    <row r="266" spans="2:2">
      <c r="B266" s="130"/>
    </row>
    <row r="267" spans="2:2">
      <c r="B267" s="130"/>
    </row>
    <row r="268" spans="2:2">
      <c r="B268" s="130"/>
    </row>
    <row r="269" spans="2:2">
      <c r="B269" s="130"/>
    </row>
    <row r="270" spans="2:2">
      <c r="B270" s="130"/>
    </row>
    <row r="271" spans="2:2">
      <c r="B271" s="130"/>
    </row>
    <row r="272" spans="2:2">
      <c r="B272" s="130"/>
    </row>
    <row r="273" spans="2:2">
      <c r="B273" s="130"/>
    </row>
    <row r="274" spans="2:2">
      <c r="B274" s="130"/>
    </row>
    <row r="275" spans="2:2">
      <c r="B275" s="130"/>
    </row>
    <row r="276" spans="2:2">
      <c r="B276" s="130"/>
    </row>
    <row r="277" spans="2:2">
      <c r="B277" s="130"/>
    </row>
    <row r="278" spans="2:2">
      <c r="B278" s="130"/>
    </row>
    <row r="279" spans="2:2">
      <c r="B279" s="130"/>
    </row>
    <row r="280" spans="2:2">
      <c r="B280" s="130"/>
    </row>
    <row r="281" spans="2:2">
      <c r="B281" s="130"/>
    </row>
    <row r="282" spans="2:2">
      <c r="B282" s="130"/>
    </row>
    <row r="283" spans="2:2">
      <c r="B283" s="130"/>
    </row>
    <row r="284" spans="2:2">
      <c r="B284" s="130"/>
    </row>
    <row r="285" spans="2:2">
      <c r="B285" s="130"/>
    </row>
    <row r="286" spans="2:2">
      <c r="B286" s="130"/>
    </row>
    <row r="287" spans="2:2">
      <c r="B287" s="130"/>
    </row>
    <row r="288" spans="2:2">
      <c r="B288" s="130"/>
    </row>
    <row r="289" spans="2:2">
      <c r="B289" s="130"/>
    </row>
    <row r="290" spans="2:2">
      <c r="B290" s="130"/>
    </row>
    <row r="291" spans="2:2">
      <c r="B291" s="130"/>
    </row>
    <row r="292" spans="2:2">
      <c r="B292" s="130"/>
    </row>
    <row r="293" spans="2:2">
      <c r="B293" s="130"/>
    </row>
    <row r="294" spans="2:2">
      <c r="B294" s="130"/>
    </row>
    <row r="295" spans="2:2">
      <c r="B295" s="130"/>
    </row>
    <row r="296" spans="2:2">
      <c r="B296" s="130"/>
    </row>
    <row r="297" spans="2:2">
      <c r="B297" s="130"/>
    </row>
    <row r="298" spans="2:2">
      <c r="B298" s="130"/>
    </row>
    <row r="299" spans="2:2">
      <c r="B299" s="130"/>
    </row>
    <row r="300" spans="2:2">
      <c r="B300" s="130"/>
    </row>
    <row r="301" spans="2:2">
      <c r="B301" s="130"/>
    </row>
    <row r="302" spans="2:2">
      <c r="B302" s="130"/>
    </row>
    <row r="303" spans="2:2">
      <c r="B303" s="130"/>
    </row>
    <row r="304" spans="2:2">
      <c r="B304" s="130"/>
    </row>
    <row r="305" spans="2:2">
      <c r="B305" s="130"/>
    </row>
    <row r="306" spans="2:2">
      <c r="B306" s="130"/>
    </row>
    <row r="307" spans="2:2">
      <c r="B307" s="130"/>
    </row>
    <row r="308" spans="2:2">
      <c r="B308" s="130"/>
    </row>
    <row r="309" spans="2:2">
      <c r="B309" s="130"/>
    </row>
    <row r="310" spans="2:2">
      <c r="B310" s="130"/>
    </row>
    <row r="311" spans="2:2">
      <c r="B311" s="130"/>
    </row>
    <row r="312" spans="2:2">
      <c r="B312" s="130"/>
    </row>
    <row r="313" spans="2:2">
      <c r="B313" s="130"/>
    </row>
    <row r="314" spans="2:2">
      <c r="B314" s="130"/>
    </row>
    <row r="315" spans="2:2">
      <c r="B315" s="130"/>
    </row>
    <row r="316" spans="2:2">
      <c r="B316" s="130"/>
    </row>
    <row r="317" spans="2:2">
      <c r="B317" s="130"/>
    </row>
    <row r="318" spans="2:2">
      <c r="B318" s="130"/>
    </row>
    <row r="319" spans="2:2">
      <c r="B319" s="130"/>
    </row>
    <row r="320" spans="2:2">
      <c r="B320" s="130"/>
    </row>
    <row r="321" spans="2:2">
      <c r="B321" s="130"/>
    </row>
    <row r="322" spans="2:2">
      <c r="B322" s="130"/>
    </row>
    <row r="323" spans="2:2">
      <c r="B323" s="130"/>
    </row>
    <row r="324" spans="2:2">
      <c r="B324" s="130"/>
    </row>
    <row r="325" spans="2:2">
      <c r="B325" s="130"/>
    </row>
    <row r="326" spans="2:2">
      <c r="B326" s="130"/>
    </row>
    <row r="327" spans="2:2">
      <c r="B327" s="130"/>
    </row>
    <row r="328" spans="2:2">
      <c r="B328" s="130"/>
    </row>
    <row r="329" spans="2:2">
      <c r="B329" s="130"/>
    </row>
    <row r="330" spans="2:2">
      <c r="B330" s="130"/>
    </row>
  </sheetData>
  <sheetProtection algorithmName="SHA-512" hashValue="9bz06IsFkIrGTG64KaV5T54R1chqncaj/Wuajpf2cm3llV7WTJGnJBViqgsGqhNEWWbMjXZGbJnjyMOSReW2Ig==" saltValue="TY15EDdWwcmyEbvRsJ8pHg==" spinCount="100000" sheet="1" formatColumns="0" selectLockedCells="1"/>
  <mergeCells count="2">
    <mergeCell ref="P56:X60"/>
    <mergeCell ref="A147:K150"/>
  </mergeCells>
  <phoneticPr fontId="8" type="noConversion"/>
  <conditionalFormatting sqref="M2">
    <cfRule type="iconSet" priority="19">
      <iconSet iconSet="3Symbols2">
        <cfvo type="percent" val="0"/>
        <cfvo type="percent" val="33"/>
        <cfvo type="percent" val="67"/>
      </iconSet>
    </cfRule>
  </conditionalFormatting>
  <conditionalFormatting sqref="AS1:AT37">
    <cfRule type="expression" dxfId="86" priority="22" stopIfTrue="1">
      <formula>IF(AND(SUM($R$2:$R$37)=288,$AV1&gt;1),1,0)</formula>
    </cfRule>
  </conditionalFormatting>
  <dataValidations count="3">
    <dataValidation type="whole" operator="lessThan" allowBlank="1" showInputMessage="1" showErrorMessage="1" errorTitle="Escriba un número negativo" sqref="BA2:BA36" xr:uid="{AEBA2899-F8B3-E445-86AF-72F32AC6665B}">
      <formula1>0</formula1>
    </dataValidation>
    <dataValidation type="list" allowBlank="1" showInputMessage="1" showErrorMessage="1" sqref="AT2:AT37" xr:uid="{C7FBE577-5491-DB47-88DE-0A6FC127CB10}">
      <formula1>OFFSET($N$2,AU2-1,0,AV2,1)</formula1>
    </dataValidation>
    <dataValidation type="whole" allowBlank="1" showInputMessage="1" showErrorMessage="1" errorTitle="Number" error="0-100" promptTitle="Introduzca un número" sqref="G2:H145" xr:uid="{D0134D89-FFE8-2846-80C2-7A3571DF9399}">
      <formula1>0</formula1>
      <formula2>100</formula2>
    </dataValidation>
  </dataValidations>
  <hyperlinks>
    <hyperlink ref="L20" location="League!N1" display="^" xr:uid="{A58B90DB-DE3B-A54B-8598-420078C20C71}"/>
    <hyperlink ref="L38" location="League!N1" display="^" xr:uid="{D8E7D2FF-89D8-2241-AD97-57D4A1BD36CB}"/>
    <hyperlink ref="L56" location="League!N1" display="^" xr:uid="{66C94A7D-16F7-1149-9845-B88F3885FEE6}"/>
    <hyperlink ref="L74" location="League!N1" display="^" xr:uid="{DA69C044-05B2-C54A-8D68-3FE2EB8EF8FD}"/>
    <hyperlink ref="L92" location="League!N1" display="^" xr:uid="{B634DA87-6019-DC47-8892-7EA3B855DE08}"/>
    <hyperlink ref="L110" location="League!N1" display="^" xr:uid="{CAC6E6ED-1ACA-C243-958E-DAC72B485822}"/>
    <hyperlink ref="L128" location="League!N1" display="^" xr:uid="{C9E95B61-F7FD-0840-BB94-5F2337D72033}"/>
    <hyperlink ref="A147:K150" location="KO!F4" display="KO!F4" xr:uid="{D3CD453E-CCA5-1342-8869-860E28279815}"/>
    <hyperlink ref="P56:X60" r:id="rId1" display="https://matejero.es/download/admin-champions-26-27/" xr:uid="{CEC87E28-DBF2-3743-84C9-26D10D78C263}"/>
    <hyperlink ref="P56" r:id="rId2" display="https://matejero.es/download/admin-champions-25-26/" xr:uid="{D862D9D4-7769-5548-99F0-5A8DD2F3970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AB46214-700C-0343-92F6-81F51C2FC319}">
          <x14:formula1>
            <xm:f>Teams!$A$2:$A$37</xm:f>
          </x14:formula1>
          <xm:sqref>D2:D145 K2:K145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C129-0577-F14F-BEFA-622FB60CE569}">
  <sheetPr codeName="Hoja3"/>
  <dimension ref="A1:AR36"/>
  <sheetViews>
    <sheetView showGridLines="0" showRowColHeaders="0" zoomScaleNormal="100" workbookViewId="0">
      <selection activeCell="G4" sqref="G4"/>
    </sheetView>
  </sheetViews>
  <sheetFormatPr baseColWidth="10" defaultRowHeight="16"/>
  <cols>
    <col min="1" max="1" width="3.5" customWidth="1"/>
    <col min="2" max="2" width="24.83203125" customWidth="1"/>
    <col min="3" max="3" width="3.33203125" style="61" customWidth="1"/>
    <col min="4" max="4" width="1.83203125" style="61" customWidth="1"/>
    <col min="5" max="5" width="3.33203125" style="61" customWidth="1"/>
    <col min="6" max="6" width="16.83203125" customWidth="1"/>
    <col min="7" max="10" width="3.83203125" style="57" customWidth="1"/>
    <col min="11" max="11" width="1.83203125" customWidth="1"/>
    <col min="12" max="12" width="2.83203125" customWidth="1"/>
    <col min="13" max="13" width="3.33203125" customWidth="1"/>
    <col min="14" max="14" width="16.83203125" customWidth="1"/>
    <col min="15" max="18" width="3.83203125" style="57" customWidth="1"/>
    <col min="19" max="20" width="2.83203125" customWidth="1"/>
    <col min="21" max="21" width="3.33203125" customWidth="1"/>
    <col min="22" max="22" width="16.83203125" customWidth="1"/>
    <col min="23" max="26" width="3.83203125" customWidth="1"/>
    <col min="27" max="28" width="2.83203125" customWidth="1"/>
    <col min="29" max="29" width="3.33203125" customWidth="1"/>
    <col min="30" max="30" width="16.83203125" customWidth="1"/>
    <col min="31" max="34" width="3.83203125" customWidth="1"/>
    <col min="35" max="36" width="2.83203125" customWidth="1"/>
    <col min="37" max="37" width="3.33203125" customWidth="1"/>
    <col min="38" max="38" width="16.83203125" customWidth="1"/>
    <col min="39" max="40" width="3.83203125" customWidth="1"/>
    <col min="41" max="41" width="2.83203125" customWidth="1"/>
    <col min="42" max="42" width="16.33203125" customWidth="1"/>
    <col min="43" max="43" width="1.83203125" customWidth="1"/>
    <col min="44" max="44" width="2.83203125" customWidth="1"/>
    <col min="47" max="47" width="11.5" bestFit="1" customWidth="1"/>
  </cols>
  <sheetData>
    <row r="1" spans="1:44" ht="25" customHeight="1">
      <c r="C1" s="334"/>
      <c r="D1" s="60"/>
      <c r="E1" s="60"/>
      <c r="F1" s="80" t="s">
        <v>733</v>
      </c>
      <c r="G1" s="81"/>
      <c r="H1" s="80"/>
      <c r="I1" s="80"/>
      <c r="J1" s="80"/>
      <c r="K1" s="80"/>
      <c r="L1" s="80"/>
      <c r="M1" s="80"/>
      <c r="N1" s="80" t="s">
        <v>734</v>
      </c>
      <c r="O1" s="80"/>
      <c r="P1" s="80"/>
      <c r="Q1" s="80"/>
      <c r="R1" s="80"/>
      <c r="S1" s="80"/>
      <c r="T1" s="80"/>
      <c r="U1" s="80"/>
      <c r="V1" s="80" t="s">
        <v>782</v>
      </c>
      <c r="W1" s="80"/>
      <c r="X1" s="80"/>
      <c r="Y1" s="80"/>
      <c r="Z1" s="80"/>
      <c r="AA1" s="80"/>
      <c r="AB1" s="80"/>
      <c r="AC1" s="80"/>
      <c r="AD1" s="80" t="s">
        <v>783</v>
      </c>
      <c r="AE1" s="80"/>
      <c r="AF1" s="80"/>
      <c r="AG1" s="80"/>
      <c r="AH1" s="80"/>
      <c r="AI1" s="80"/>
      <c r="AJ1" s="80"/>
      <c r="AK1" s="80"/>
      <c r="AL1" s="80" t="s">
        <v>54</v>
      </c>
      <c r="AM1" s="77"/>
      <c r="AN1" s="77"/>
      <c r="AO1" s="77"/>
      <c r="AP1" s="77"/>
      <c r="AQ1" s="58"/>
      <c r="AR1" s="58"/>
    </row>
    <row r="2" spans="1:44" ht="16" customHeight="1">
      <c r="B2" s="464" t="s">
        <v>1099</v>
      </c>
      <c r="C2" s="60"/>
      <c r="D2" s="60"/>
      <c r="E2" s="60"/>
      <c r="F2" s="102" t="s">
        <v>1010</v>
      </c>
      <c r="G2" s="102"/>
      <c r="H2" s="102"/>
      <c r="I2" s="102"/>
      <c r="J2" s="102"/>
      <c r="K2" s="102"/>
      <c r="L2" s="102"/>
      <c r="M2" s="102"/>
      <c r="N2" s="102" t="s">
        <v>1011</v>
      </c>
      <c r="O2" s="102"/>
      <c r="P2" s="102"/>
      <c r="Q2" s="102"/>
      <c r="R2" s="102"/>
      <c r="S2" s="102"/>
      <c r="T2" s="102"/>
      <c r="U2" s="102"/>
      <c r="V2" s="102" t="s">
        <v>1012</v>
      </c>
      <c r="W2" s="102"/>
      <c r="X2" s="102"/>
      <c r="Y2" s="102"/>
      <c r="Z2" s="102"/>
      <c r="AA2" s="102"/>
      <c r="AB2" s="102"/>
      <c r="AC2" s="102"/>
      <c r="AD2" s="102" t="s">
        <v>1013</v>
      </c>
      <c r="AE2" s="102"/>
      <c r="AF2" s="102"/>
      <c r="AG2" s="102"/>
      <c r="AH2" s="102"/>
      <c r="AI2" s="102"/>
      <c r="AJ2" s="102"/>
      <c r="AK2" s="102"/>
      <c r="AL2" s="102" t="s">
        <v>1014</v>
      </c>
      <c r="AM2" s="77"/>
      <c r="AN2" s="77"/>
      <c r="AO2" s="77"/>
      <c r="AP2" s="77"/>
      <c r="AQ2" s="58"/>
      <c r="AR2" s="58"/>
    </row>
    <row r="3" spans="1:44" ht="21">
      <c r="B3" s="518" t="str">
        <f>+IF(B2="Real",Idiomas!D67,"")</f>
        <v/>
      </c>
      <c r="C3" s="60"/>
      <c r="D3" s="325"/>
      <c r="E3" s="335"/>
      <c r="F3" s="325"/>
      <c r="G3" s="335" t="s">
        <v>242</v>
      </c>
      <c r="H3" s="335" t="s">
        <v>245</v>
      </c>
      <c r="I3" s="338" t="s">
        <v>5</v>
      </c>
      <c r="J3" s="336" t="s">
        <v>781</v>
      </c>
      <c r="K3" s="324"/>
      <c r="L3" s="324"/>
      <c r="M3" s="324"/>
      <c r="N3" s="324"/>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30"/>
      <c r="AN3" s="330"/>
      <c r="AO3" s="330"/>
      <c r="AP3" s="330"/>
      <c r="AQ3" s="330"/>
      <c r="AR3" s="58"/>
    </row>
    <row r="4" spans="1:44" ht="18" customHeight="1" thickBot="1">
      <c r="B4" s="518"/>
      <c r="C4" s="78" t="s">
        <v>757</v>
      </c>
      <c r="D4" s="325"/>
      <c r="E4" s="342" t="str" cm="1">
        <f t="array" ref="E4">badge_ko</f>
        <v/>
      </c>
      <c r="F4" s="341" t="s">
        <v>757</v>
      </c>
      <c r="G4" s="339"/>
      <c r="H4" s="339"/>
      <c r="I4" s="340" t="str">
        <f>IF(AND(G4="",H4=""),"",G4+H4)</f>
        <v/>
      </c>
      <c r="J4" s="344"/>
      <c r="K4" s="345"/>
      <c r="L4" s="325"/>
      <c r="M4" s="325"/>
      <c r="N4" s="325"/>
      <c r="O4" s="335" t="s">
        <v>242</v>
      </c>
      <c r="P4" s="335" t="s">
        <v>245</v>
      </c>
      <c r="Q4" s="338" t="s">
        <v>5</v>
      </c>
      <c r="R4" s="336" t="s">
        <v>781</v>
      </c>
      <c r="S4" s="325"/>
      <c r="T4" s="325"/>
      <c r="U4" s="325"/>
      <c r="V4" s="325"/>
      <c r="W4" s="325"/>
      <c r="X4" s="325"/>
      <c r="Y4" s="325"/>
      <c r="Z4" s="325"/>
      <c r="AA4" s="325"/>
      <c r="AB4" s="325"/>
      <c r="AC4" s="325"/>
      <c r="AD4" s="325"/>
      <c r="AE4" s="325"/>
      <c r="AF4" s="325"/>
      <c r="AG4" s="325"/>
      <c r="AH4" s="325"/>
      <c r="AI4" s="325"/>
      <c r="AJ4" s="325"/>
      <c r="AK4" s="325"/>
      <c r="AL4" s="325"/>
      <c r="AM4" s="325"/>
      <c r="AN4" s="325"/>
      <c r="AO4" s="325"/>
      <c r="AP4" s="325"/>
      <c r="AQ4" s="325"/>
      <c r="AR4" s="58"/>
    </row>
    <row r="5" spans="1:44" ht="18" customHeight="1" thickTop="1" thickBot="1">
      <c r="B5" s="518"/>
      <c r="C5" s="79" t="s">
        <v>756</v>
      </c>
      <c r="D5" s="325"/>
      <c r="E5" s="342" t="str" cm="1">
        <f t="array" ref="E5">badge_ko</f>
        <v/>
      </c>
      <c r="F5" s="341" t="s">
        <v>756</v>
      </c>
      <c r="G5" s="339"/>
      <c r="H5" s="339"/>
      <c r="I5" s="340" t="str">
        <f>IF(AND(G5="",H5=""),"",G5+H5)</f>
        <v/>
      </c>
      <c r="J5" s="333"/>
      <c r="K5" s="346"/>
      <c r="L5" s="331"/>
      <c r="M5" s="342" t="str" cm="1">
        <f t="array" ref="M5">badge_ko</f>
        <v/>
      </c>
      <c r="N5" s="453" t="str">
        <f>IF(OR(G4="",G5="",H4="",H5=""),F5&amp;"/"&amp;F4,IF(I4&gt;I5,F4,IF(I4&lt;I5,F5,IF(OR(J4="",J5="",J4=J5),F5&amp;"/"&amp;F4,IF(J4&gt;J5,F4,F5)))))</f>
        <v>11/12/21/22</v>
      </c>
      <c r="O5" s="339"/>
      <c r="P5" s="339"/>
      <c r="Q5" s="340" t="str">
        <f t="shared" ref="Q5:Q6" si="0">IF(AND(O5="",P5=""),"",O5+P5)</f>
        <v/>
      </c>
      <c r="R5" s="344"/>
      <c r="S5" s="345"/>
      <c r="T5" s="325"/>
      <c r="U5" s="325"/>
      <c r="V5" s="325"/>
      <c r="W5" s="325"/>
      <c r="X5" s="325"/>
      <c r="Y5" s="325"/>
      <c r="Z5" s="325"/>
      <c r="AA5" s="325"/>
      <c r="AB5" s="325"/>
      <c r="AC5" s="325"/>
      <c r="AD5" s="325"/>
      <c r="AE5" s="325"/>
      <c r="AF5" s="325"/>
      <c r="AG5" s="325"/>
      <c r="AH5" s="325"/>
      <c r="AI5" s="325"/>
      <c r="AJ5" s="325"/>
      <c r="AK5" s="325"/>
      <c r="AL5" s="325"/>
      <c r="AM5" s="325"/>
      <c r="AN5" s="325"/>
      <c r="AO5" s="325"/>
      <c r="AP5" s="325"/>
      <c r="AQ5" s="325"/>
      <c r="AR5" s="58"/>
    </row>
    <row r="6" spans="1:44" ht="18" customHeight="1" thickTop="1">
      <c r="B6" s="518"/>
      <c r="C6" s="78"/>
      <c r="D6" s="325"/>
      <c r="E6" s="337"/>
      <c r="F6" s="325"/>
      <c r="G6" s="326"/>
      <c r="H6" s="326"/>
      <c r="I6" s="326"/>
      <c r="J6" s="328"/>
      <c r="K6" s="325"/>
      <c r="L6" s="347" t="s">
        <v>766</v>
      </c>
      <c r="M6" s="342" t="str" cm="1">
        <f t="array" ref="M6">badge_ko</f>
        <v/>
      </c>
      <c r="N6" s="341" t="s">
        <v>766</v>
      </c>
      <c r="O6" s="339"/>
      <c r="P6" s="339"/>
      <c r="Q6" s="340" t="str">
        <f t="shared" si="0"/>
        <v/>
      </c>
      <c r="R6" s="333"/>
      <c r="S6" s="346"/>
      <c r="T6" s="325"/>
      <c r="U6" s="325"/>
      <c r="V6" s="325"/>
      <c r="W6" s="326" t="s">
        <v>242</v>
      </c>
      <c r="X6" s="326" t="s">
        <v>245</v>
      </c>
      <c r="Y6" s="327" t="s">
        <v>5</v>
      </c>
      <c r="Z6" s="332" t="s">
        <v>781</v>
      </c>
      <c r="AA6" s="325"/>
      <c r="AB6" s="325"/>
      <c r="AC6" s="325"/>
      <c r="AD6" s="325"/>
      <c r="AE6" s="325"/>
      <c r="AF6" s="325"/>
      <c r="AG6" s="325"/>
      <c r="AH6" s="325"/>
      <c r="AI6" s="325"/>
      <c r="AJ6" s="325"/>
      <c r="AK6" s="325"/>
      <c r="AL6" s="325"/>
      <c r="AM6" s="325"/>
      <c r="AN6" s="325"/>
      <c r="AO6" s="325"/>
      <c r="AP6" s="325"/>
      <c r="AQ6" s="325"/>
      <c r="AR6" s="58"/>
    </row>
    <row r="7" spans="1:44" ht="18" customHeight="1" thickBot="1">
      <c r="B7" s="519"/>
      <c r="C7" s="78"/>
      <c r="D7" s="325"/>
      <c r="E7" s="337"/>
      <c r="F7" s="325"/>
      <c r="G7" s="335" t="s">
        <v>242</v>
      </c>
      <c r="H7" s="335" t="s">
        <v>245</v>
      </c>
      <c r="I7" s="338" t="s">
        <v>5</v>
      </c>
      <c r="J7" s="336" t="s">
        <v>781</v>
      </c>
      <c r="K7" s="329"/>
      <c r="L7" s="331"/>
      <c r="M7" s="332"/>
      <c r="N7" s="325"/>
      <c r="O7" s="326"/>
      <c r="P7" s="326"/>
      <c r="Q7" s="326"/>
      <c r="R7" s="328"/>
      <c r="S7" s="351"/>
      <c r="T7" s="325"/>
      <c r="U7" s="342" t="str" cm="1">
        <f t="array" ref="U7">badge_ko</f>
        <v/>
      </c>
      <c r="V7" s="453" t="str">
        <f>IF(OR(O5="",O6="",P5="",P6=""),"WR16-1",IF(Q5&gt;Q6,N5,IF(Q5&lt;Q6,N6,IF(OR(R5="",R6="",R5=R6),"WR16-1",IF(R5&gt;R6,N5,N6)))))</f>
        <v>WR16-1</v>
      </c>
      <c r="W7" s="339"/>
      <c r="X7" s="339"/>
      <c r="Y7" s="340" t="str">
        <f t="shared" ref="Y7:Y8" si="1">IF(AND(W7="",X7=""),"",W7+X7)</f>
        <v/>
      </c>
      <c r="Z7" s="344"/>
      <c r="AA7" s="345"/>
      <c r="AB7" s="325"/>
      <c r="AC7" s="325"/>
      <c r="AD7" s="325"/>
      <c r="AE7" s="325"/>
      <c r="AF7" s="325"/>
      <c r="AG7" s="325"/>
      <c r="AH7" s="325"/>
      <c r="AI7" s="325"/>
      <c r="AJ7" s="325"/>
      <c r="AK7" s="325"/>
      <c r="AL7" s="325"/>
      <c r="AM7" s="325"/>
      <c r="AN7" s="325"/>
      <c r="AO7" s="325"/>
      <c r="AP7" s="325"/>
      <c r="AQ7" s="325"/>
      <c r="AR7" s="58"/>
    </row>
    <row r="8" spans="1:44" ht="18" customHeight="1" thickTop="1" thickBot="1">
      <c r="A8" s="66">
        <v>1</v>
      </c>
      <c r="B8" s="66" t="str">
        <f>IF($B$2="Real",Data!B8,IF(OR(SUM(Calcs!$B$2:$B$37)&gt;=36,$C$1=288),League!P2,"Clas."&amp;A8))</f>
        <v>Clas.1</v>
      </c>
      <c r="C8" s="78" t="s">
        <v>759</v>
      </c>
      <c r="D8" s="325"/>
      <c r="E8" s="342" t="str" cm="1">
        <f t="array" ref="E8">badge_ko</f>
        <v/>
      </c>
      <c r="F8" s="341" t="s">
        <v>759</v>
      </c>
      <c r="G8" s="339"/>
      <c r="H8" s="339"/>
      <c r="I8" s="340" t="str">
        <f t="shared" ref="I8:I9" si="2">IF(AND(G8="",H8=""),"",G8+H8)</f>
        <v/>
      </c>
      <c r="J8" s="344"/>
      <c r="K8" s="348"/>
      <c r="L8" s="331"/>
      <c r="M8" s="332"/>
      <c r="N8" s="325"/>
      <c r="O8" s="335" t="s">
        <v>242</v>
      </c>
      <c r="P8" s="335" t="s">
        <v>245</v>
      </c>
      <c r="Q8" s="338" t="s">
        <v>5</v>
      </c>
      <c r="R8" s="336" t="s">
        <v>781</v>
      </c>
      <c r="S8" s="351"/>
      <c r="T8" s="353"/>
      <c r="U8" s="342" t="str" cm="1">
        <f t="array" ref="U8">badge_ko</f>
        <v/>
      </c>
      <c r="V8" s="453" t="str">
        <f>IF(OR(O9="",O10="",P9="",P10=""),"WR16-2",IF(Q9&gt;Q10,N9,IF(Q9&lt;Q10,N10,IF(OR(R9="",R10="",R9=R10),"WR16-2",IF(R9&gt;R10,N9,N10)))))</f>
        <v>WR16-2</v>
      </c>
      <c r="W8" s="339"/>
      <c r="X8" s="339"/>
      <c r="Y8" s="340" t="str">
        <f t="shared" si="1"/>
        <v/>
      </c>
      <c r="Z8" s="333"/>
      <c r="AA8" s="346"/>
      <c r="AB8" s="325"/>
      <c r="AC8" s="325"/>
      <c r="AD8" s="325"/>
      <c r="AE8" s="325"/>
      <c r="AF8" s="325"/>
      <c r="AG8" s="325"/>
      <c r="AH8" s="325"/>
      <c r="AI8" s="325"/>
      <c r="AJ8" s="325"/>
      <c r="AK8" s="325"/>
      <c r="AL8" s="325"/>
      <c r="AM8" s="325"/>
      <c r="AN8" s="325"/>
      <c r="AO8" s="325"/>
      <c r="AP8" s="325"/>
      <c r="AQ8" s="325"/>
      <c r="AR8" s="58"/>
    </row>
    <row r="9" spans="1:44" ht="18" customHeight="1" thickTop="1" thickBot="1">
      <c r="A9" s="66">
        <v>2</v>
      </c>
      <c r="B9" s="66" t="str">
        <f>IF($B$2="Real",Data!B9,IF(OR(SUM(Calcs!$B$2:$B$37)&gt;=36,$C$1=288),League!P3,"Clas."&amp;A9))</f>
        <v>Clas.2</v>
      </c>
      <c r="C9" s="79" t="s">
        <v>758</v>
      </c>
      <c r="D9" s="325"/>
      <c r="E9" s="342" t="str" cm="1">
        <f t="array" ref="E9">badge_ko</f>
        <v/>
      </c>
      <c r="F9" s="341" t="s">
        <v>758</v>
      </c>
      <c r="G9" s="339"/>
      <c r="H9" s="339"/>
      <c r="I9" s="340" t="str">
        <f t="shared" si="2"/>
        <v/>
      </c>
      <c r="J9" s="333"/>
      <c r="K9" s="349"/>
      <c r="L9" s="331"/>
      <c r="M9" s="342" t="str" cm="1">
        <f t="array" ref="M9">badge_ko</f>
        <v/>
      </c>
      <c r="N9" s="453" t="str">
        <f>IF(OR(G8="",G9="",H8="",H9=""),F9&amp;"/"&amp;F8,IF(I8&gt;I9,F8,IF(I8&lt;I9,F9,IF(OR(J8="",J9="",J8=J9),F9&amp;"/"&amp;F8,IF(J8&gt;J9,F8,F9)))))</f>
        <v>13/14/19/20</v>
      </c>
      <c r="O9" s="339"/>
      <c r="P9" s="339"/>
      <c r="Q9" s="340" t="str">
        <f t="shared" ref="Q9:Q10" si="3">IF(AND(O9="",P9=""),"",O9+P9)</f>
        <v/>
      </c>
      <c r="R9" s="344"/>
      <c r="S9" s="352"/>
      <c r="T9" s="325"/>
      <c r="U9" s="331"/>
      <c r="V9" s="325"/>
      <c r="W9" s="325"/>
      <c r="X9" s="325"/>
      <c r="Y9" s="325"/>
      <c r="Z9" s="329"/>
      <c r="AA9" s="351"/>
      <c r="AB9" s="325"/>
      <c r="AC9" s="325"/>
      <c r="AD9" s="325"/>
      <c r="AE9" s="325"/>
      <c r="AF9" s="325"/>
      <c r="AG9" s="325"/>
      <c r="AH9" s="325"/>
      <c r="AI9" s="325"/>
      <c r="AJ9" s="325"/>
      <c r="AK9" s="325"/>
      <c r="AL9" s="325"/>
      <c r="AM9" s="325"/>
      <c r="AN9" s="325"/>
      <c r="AO9" s="325"/>
      <c r="AP9" s="325"/>
      <c r="AQ9" s="325"/>
      <c r="AR9" s="58"/>
    </row>
    <row r="10" spans="1:44" ht="18" customHeight="1" thickTop="1">
      <c r="A10" s="66">
        <v>3</v>
      </c>
      <c r="B10" s="66" t="str">
        <f>IF($B$2="Real",Data!B10,IF(OR(SUM(Calcs!$B$2:$B$37)&gt;=36,$C$1=288),League!P4,"Clas."&amp;A10))</f>
        <v>Clas.3</v>
      </c>
      <c r="C10" s="78"/>
      <c r="D10" s="325"/>
      <c r="E10" s="337"/>
      <c r="F10" s="325"/>
      <c r="G10" s="326"/>
      <c r="H10" s="326"/>
      <c r="I10" s="326"/>
      <c r="J10" s="328"/>
      <c r="K10" s="325"/>
      <c r="L10" s="347" t="s">
        <v>767</v>
      </c>
      <c r="M10" s="342" t="str" cm="1">
        <f t="array" ref="M10">badge_ko</f>
        <v/>
      </c>
      <c r="N10" s="341" t="s">
        <v>767</v>
      </c>
      <c r="O10" s="339"/>
      <c r="P10" s="339"/>
      <c r="Q10" s="340" t="str">
        <f t="shared" si="3"/>
        <v/>
      </c>
      <c r="R10" s="333"/>
      <c r="S10" s="325"/>
      <c r="T10" s="325"/>
      <c r="U10" s="331"/>
      <c r="V10" s="325"/>
      <c r="W10" s="325"/>
      <c r="X10" s="325"/>
      <c r="Y10" s="325"/>
      <c r="Z10" s="329"/>
      <c r="AA10" s="351"/>
      <c r="AB10" s="325"/>
      <c r="AC10" s="325"/>
      <c r="AD10" s="325"/>
      <c r="AE10" s="326" t="s">
        <v>242</v>
      </c>
      <c r="AF10" s="326" t="s">
        <v>245</v>
      </c>
      <c r="AG10" s="327" t="s">
        <v>5</v>
      </c>
      <c r="AH10" s="332" t="s">
        <v>781</v>
      </c>
      <c r="AI10" s="325"/>
      <c r="AJ10" s="325"/>
      <c r="AK10" s="325"/>
      <c r="AL10" s="325"/>
      <c r="AM10" s="325"/>
      <c r="AN10" s="325"/>
      <c r="AO10" s="325"/>
      <c r="AP10" s="325"/>
      <c r="AQ10" s="325"/>
      <c r="AR10" s="58"/>
    </row>
    <row r="11" spans="1:44" ht="18" customHeight="1" thickBot="1">
      <c r="A11" s="66">
        <v>4</v>
      </c>
      <c r="B11" s="66" t="str">
        <f>IF($B$2="Real",Data!B11,IF(OR(SUM(Calcs!$B$2:$B$37)&gt;=36,$C$1=288),League!P5,"Clas."&amp;A11))</f>
        <v>Clas.4</v>
      </c>
      <c r="C11" s="78"/>
      <c r="D11" s="325"/>
      <c r="E11" s="337"/>
      <c r="F11" s="325"/>
      <c r="G11" s="335" t="s">
        <v>242</v>
      </c>
      <c r="H11" s="335" t="s">
        <v>245</v>
      </c>
      <c r="I11" s="338" t="s">
        <v>5</v>
      </c>
      <c r="J11" s="336" t="s">
        <v>781</v>
      </c>
      <c r="K11" s="329"/>
      <c r="L11" s="331"/>
      <c r="M11" s="332"/>
      <c r="N11" s="325"/>
      <c r="O11" s="326"/>
      <c r="P11" s="326"/>
      <c r="Q11" s="326"/>
      <c r="R11" s="328"/>
      <c r="S11" s="325"/>
      <c r="T11" s="325"/>
      <c r="U11" s="331"/>
      <c r="V11" s="325"/>
      <c r="W11" s="325"/>
      <c r="X11" s="325"/>
      <c r="Y11" s="325"/>
      <c r="Z11" s="329"/>
      <c r="AA11" s="351"/>
      <c r="AB11" s="354"/>
      <c r="AC11" s="342" t="str" cm="1">
        <f t="array" ref="AC11">badge_ko</f>
        <v/>
      </c>
      <c r="AD11" s="453" t="str">
        <f>IF(OR(W7="",W8="",X7="",X8=""),"WQF-1",IF(Y7&gt;Y8,V7,IF(Y7&lt;Y8,V8,IF(OR(Z7="",Z8="",Z7=Z8),"WQF-1",IF(Z7&gt;Z8,V7,V8)))))</f>
        <v>WQF-1</v>
      </c>
      <c r="AE11" s="339"/>
      <c r="AF11" s="339"/>
      <c r="AG11" s="340" t="str">
        <f t="shared" ref="AG11:AG12" si="4">IF(AND(AE11="",AF11=""),"",AE11+AF11)</f>
        <v/>
      </c>
      <c r="AH11" s="344"/>
      <c r="AI11" s="345"/>
      <c r="AJ11" s="325"/>
      <c r="AK11" s="325"/>
      <c r="AL11" s="325"/>
      <c r="AM11" s="325"/>
      <c r="AN11" s="325"/>
      <c r="AO11" s="325"/>
      <c r="AP11" s="325"/>
      <c r="AQ11" s="325"/>
      <c r="AR11" s="58"/>
    </row>
    <row r="12" spans="1:44" ht="18" customHeight="1" thickTop="1" thickBot="1">
      <c r="A12" s="67">
        <v>5</v>
      </c>
      <c r="B12" s="66" t="str">
        <f>IF($B$2="Real",Data!B12,IF(OR(SUM(Calcs!$B$2:$B$37)&gt;=36,$C$1=288),League!P6,"Clas."&amp;A12))</f>
        <v>Clas.5</v>
      </c>
      <c r="C12" s="78" t="s">
        <v>751</v>
      </c>
      <c r="D12" s="325"/>
      <c r="E12" s="342" t="str" cm="1">
        <f t="array" ref="E12">badge_ko</f>
        <v/>
      </c>
      <c r="F12" s="341" t="s">
        <v>751</v>
      </c>
      <c r="G12" s="339"/>
      <c r="H12" s="339"/>
      <c r="I12" s="340" t="str">
        <f t="shared" ref="I12:I13" si="5">IF(AND(G12="",H12=""),"",G12+H12)</f>
        <v/>
      </c>
      <c r="J12" s="344"/>
      <c r="K12" s="348"/>
      <c r="L12" s="331"/>
      <c r="M12" s="332"/>
      <c r="N12" s="325"/>
      <c r="O12" s="335" t="s">
        <v>242</v>
      </c>
      <c r="P12" s="335" t="s">
        <v>245</v>
      </c>
      <c r="Q12" s="338" t="s">
        <v>5</v>
      </c>
      <c r="R12" s="336" t="s">
        <v>781</v>
      </c>
      <c r="S12" s="325"/>
      <c r="T12" s="325"/>
      <c r="U12" s="331"/>
      <c r="V12" s="325"/>
      <c r="W12" s="325"/>
      <c r="X12" s="325"/>
      <c r="Y12" s="325"/>
      <c r="Z12" s="329"/>
      <c r="AA12" s="351"/>
      <c r="AB12" s="325"/>
      <c r="AC12" s="342" t="str" cm="1">
        <f t="array" ref="AC12">badge_ko</f>
        <v/>
      </c>
      <c r="AD12" s="453" t="str">
        <f>IF(OR(W15="",W16="",X15="",X16=""),"WQF-2",IF(Y15&gt;Y16,V15,IF(Y15&lt;Y16,V16,IF(OR(Z15="",Z16="",Z15=Z16),"WQF-2",IF(Z15&gt;Z16,V15,V16)))))</f>
        <v>WQF-2</v>
      </c>
      <c r="AE12" s="339"/>
      <c r="AF12" s="339"/>
      <c r="AG12" s="340" t="str">
        <f t="shared" si="4"/>
        <v/>
      </c>
      <c r="AH12" s="333"/>
      <c r="AI12" s="346"/>
      <c r="AJ12" s="325"/>
      <c r="AK12" s="325"/>
      <c r="AL12" s="325"/>
      <c r="AM12" s="325"/>
      <c r="AN12" s="325"/>
      <c r="AO12" s="325"/>
      <c r="AP12" s="325"/>
      <c r="AQ12" s="325"/>
      <c r="AR12" s="58"/>
    </row>
    <row r="13" spans="1:44" ht="18" customHeight="1" thickTop="1" thickBot="1">
      <c r="A13" s="66">
        <v>6</v>
      </c>
      <c r="B13" s="66" t="str">
        <f>IF($B$2="Real",Data!B13,IF(OR(SUM(Calcs!$B$2:$B$37)&gt;=36,$C$1=288),League!P7,"Clas."&amp;A13))</f>
        <v>Clas.6</v>
      </c>
      <c r="C13" s="79" t="s">
        <v>755</v>
      </c>
      <c r="D13" s="325"/>
      <c r="E13" s="342" t="str" cm="1">
        <f t="array" ref="E13">badge_ko</f>
        <v/>
      </c>
      <c r="F13" s="341" t="s">
        <v>755</v>
      </c>
      <c r="G13" s="339"/>
      <c r="H13" s="339"/>
      <c r="I13" s="340" t="str">
        <f t="shared" si="5"/>
        <v/>
      </c>
      <c r="J13" s="333"/>
      <c r="K13" s="349"/>
      <c r="L13" s="331"/>
      <c r="M13" s="342" t="str" cm="1">
        <f t="array" ref="M13">badge_ko</f>
        <v/>
      </c>
      <c r="N13" s="453" t="str">
        <f>IF(OR(G12="",G13="",H12="",H13=""),F13&amp;"/"&amp;F12,IF(I12&gt;I13,F12,IF(I12&lt;I13,F13,IF(OR(J12="",J13="",J12=J13),F13&amp;"/"&amp;F12,IF(J12&gt;J13,F12,F13)))))</f>
        <v>9/10/23/24</v>
      </c>
      <c r="O13" s="339"/>
      <c r="P13" s="339"/>
      <c r="Q13" s="340" t="str">
        <f t="shared" ref="Q13:Q14" si="6">IF(AND(O13="",P13=""),"",O13+P13)</f>
        <v/>
      </c>
      <c r="R13" s="344"/>
      <c r="S13" s="345"/>
      <c r="T13" s="325"/>
      <c r="U13" s="331"/>
      <c r="V13" s="325"/>
      <c r="W13" s="325"/>
      <c r="X13" s="325"/>
      <c r="Y13" s="325"/>
      <c r="Z13" s="329"/>
      <c r="AA13" s="351"/>
      <c r="AB13" s="325"/>
      <c r="AC13" s="325"/>
      <c r="AD13" s="325"/>
      <c r="AE13" s="325"/>
      <c r="AF13" s="325"/>
      <c r="AG13" s="325"/>
      <c r="AH13" s="325"/>
      <c r="AI13" s="351"/>
      <c r="AJ13" s="325"/>
      <c r="AK13" s="325"/>
      <c r="AL13" s="325"/>
      <c r="AM13" s="325"/>
      <c r="AN13" s="325"/>
      <c r="AO13" s="325"/>
      <c r="AP13" s="325"/>
      <c r="AQ13" s="325"/>
      <c r="AR13" s="58"/>
    </row>
    <row r="14" spans="1:44" ht="18" customHeight="1" thickTop="1">
      <c r="A14" s="66">
        <v>7</v>
      </c>
      <c r="B14" s="66" t="str">
        <f>IF($B$2="Real",Data!B14,IF(OR(SUM(Calcs!$B$2:$B$37)&gt;=36,$C$1=288),League!P8,"Clas."&amp;A14))</f>
        <v>Clas.7</v>
      </c>
      <c r="C14" s="78"/>
      <c r="D14" s="325"/>
      <c r="E14" s="337"/>
      <c r="F14" s="325"/>
      <c r="G14" s="326"/>
      <c r="H14" s="326"/>
      <c r="I14" s="326"/>
      <c r="J14" s="328"/>
      <c r="K14" s="325"/>
      <c r="L14" s="347" t="s">
        <v>765</v>
      </c>
      <c r="M14" s="342" t="str" cm="1">
        <f t="array" ref="M14">badge_ko</f>
        <v/>
      </c>
      <c r="N14" s="341" t="s">
        <v>765</v>
      </c>
      <c r="O14" s="339"/>
      <c r="P14" s="339"/>
      <c r="Q14" s="340" t="str">
        <f t="shared" si="6"/>
        <v/>
      </c>
      <c r="R14" s="333"/>
      <c r="S14" s="346"/>
      <c r="T14" s="325"/>
      <c r="U14" s="331"/>
      <c r="V14" s="325"/>
      <c r="W14" s="326" t="s">
        <v>242</v>
      </c>
      <c r="X14" s="326" t="s">
        <v>245</v>
      </c>
      <c r="Y14" s="327" t="s">
        <v>5</v>
      </c>
      <c r="Z14" s="332" t="s">
        <v>781</v>
      </c>
      <c r="AA14" s="351"/>
      <c r="AB14" s="325"/>
      <c r="AC14" s="325"/>
      <c r="AD14" s="325"/>
      <c r="AE14" s="325"/>
      <c r="AF14" s="325"/>
      <c r="AG14" s="325"/>
      <c r="AH14" s="325"/>
      <c r="AI14" s="351"/>
      <c r="AJ14" s="325"/>
      <c r="AK14" s="325"/>
      <c r="AL14" s="325"/>
      <c r="AM14" s="325"/>
      <c r="AN14" s="325"/>
      <c r="AO14" s="325"/>
      <c r="AP14" s="325"/>
      <c r="AQ14" s="325"/>
      <c r="AR14" s="58"/>
    </row>
    <row r="15" spans="1:44" ht="18" customHeight="1" thickBot="1">
      <c r="A15" s="66">
        <v>8</v>
      </c>
      <c r="B15" s="66" t="str">
        <f>IF($B$2="Real",Data!B15,IF(OR(SUM(Calcs!$B$2:$B$37)&gt;=36,$C$1=288),League!P9,"Clas."&amp;A15))</f>
        <v>Clas.8</v>
      </c>
      <c r="C15" s="78"/>
      <c r="D15" s="325"/>
      <c r="E15" s="337"/>
      <c r="F15" s="325"/>
      <c r="G15" s="335" t="s">
        <v>242</v>
      </c>
      <c r="H15" s="335" t="s">
        <v>245</v>
      </c>
      <c r="I15" s="338" t="s">
        <v>5</v>
      </c>
      <c r="J15" s="336" t="s">
        <v>781</v>
      </c>
      <c r="K15" s="329"/>
      <c r="L15" s="331"/>
      <c r="M15" s="332"/>
      <c r="N15" s="325"/>
      <c r="O15" s="326"/>
      <c r="P15" s="326"/>
      <c r="Q15" s="326"/>
      <c r="R15" s="328"/>
      <c r="S15" s="351"/>
      <c r="T15" s="325"/>
      <c r="U15" s="342" t="str" cm="1">
        <f t="array" ref="U15">badge_ko</f>
        <v/>
      </c>
      <c r="V15" s="453" t="str">
        <f>IF(OR(O13="",O14="",P13="",P14=""),"WR16-3",IF(Q13&gt;Q14,N13,IF(Q13&lt;Q14,N14,IF(OR(R13="",R14="",R13=R14),"WR16-3",IF(R13&gt;R14,N13,N14)))))</f>
        <v>WR16-3</v>
      </c>
      <c r="W15" s="339"/>
      <c r="X15" s="339"/>
      <c r="Y15" s="340" t="str">
        <f t="shared" ref="Y15:Y16" si="7">IF(AND(W15="",X15=""),"",W15+X15)</f>
        <v/>
      </c>
      <c r="Z15" s="333"/>
      <c r="AA15" s="352"/>
      <c r="AB15" s="325"/>
      <c r="AC15" s="325"/>
      <c r="AD15" s="325"/>
      <c r="AE15" s="325"/>
      <c r="AF15" s="325"/>
      <c r="AG15" s="325"/>
      <c r="AH15" s="325"/>
      <c r="AI15" s="351"/>
      <c r="AJ15" s="325"/>
      <c r="AK15" s="325"/>
      <c r="AL15" s="325"/>
      <c r="AM15" s="325"/>
      <c r="AN15" s="325"/>
      <c r="AO15" s="325"/>
      <c r="AP15" s="325"/>
      <c r="AQ15" s="325"/>
      <c r="AR15" s="58"/>
    </row>
    <row r="16" spans="1:44" ht="18" customHeight="1" thickTop="1" thickBot="1">
      <c r="A16" s="68">
        <v>9</v>
      </c>
      <c r="B16" s="68" t="str">
        <f>IF($B$2="Real",Data!B16,IF(OR(SUM(Calcs!$B$2:$B$37)&gt;=36,$C$1=288),League!P10,"Clas."&amp;A16))</f>
        <v>Clas.9</v>
      </c>
      <c r="C16" s="78" t="s">
        <v>749</v>
      </c>
      <c r="D16" s="325"/>
      <c r="E16" s="342" t="str" cm="1">
        <f t="array" ref="E16">badge_ko</f>
        <v/>
      </c>
      <c r="F16" s="341" t="s">
        <v>749</v>
      </c>
      <c r="G16" s="339"/>
      <c r="H16" s="339"/>
      <c r="I16" s="340" t="str">
        <f t="shared" ref="I16:I17" si="8">IF(AND(G16="",H16=""),"",G16+H16)</f>
        <v/>
      </c>
      <c r="J16" s="344"/>
      <c r="K16" s="348"/>
      <c r="L16" s="331"/>
      <c r="M16" s="332"/>
      <c r="N16" s="325"/>
      <c r="O16" s="335" t="s">
        <v>242</v>
      </c>
      <c r="P16" s="335" t="s">
        <v>245</v>
      </c>
      <c r="Q16" s="338" t="s">
        <v>5</v>
      </c>
      <c r="R16" s="336" t="s">
        <v>781</v>
      </c>
      <c r="S16" s="351"/>
      <c r="T16" s="353"/>
      <c r="U16" s="342" t="str" cm="1">
        <f t="array" ref="U16">badge_ko</f>
        <v/>
      </c>
      <c r="V16" s="453" t="str">
        <f>IF(OR(O17="",O18="",P17="",P18=""),"WR16-4",IF(Q17&gt;Q18,N17,IF(Q17&lt;Q18,N18,IF(OR(R17="",R18="",R17=R18),"WR16-4",IF(R17&gt;R18,N17,N18)))))</f>
        <v>WR16-4</v>
      </c>
      <c r="W16" s="339"/>
      <c r="X16" s="339"/>
      <c r="Y16" s="340" t="str">
        <f t="shared" si="7"/>
        <v/>
      </c>
      <c r="Z16" s="376"/>
      <c r="AA16" s="325"/>
      <c r="AB16" s="325"/>
      <c r="AC16" s="325"/>
      <c r="AD16" s="325"/>
      <c r="AE16" s="325"/>
      <c r="AF16" s="325"/>
      <c r="AG16" s="325"/>
      <c r="AH16" s="325"/>
      <c r="AI16" s="351"/>
      <c r="AJ16" s="325"/>
      <c r="AK16" s="325"/>
      <c r="AL16" s="325"/>
      <c r="AM16" s="325"/>
      <c r="AN16" s="325"/>
      <c r="AO16" s="325"/>
      <c r="AP16" s="325"/>
      <c r="AQ16" s="325"/>
      <c r="AR16" s="58"/>
    </row>
    <row r="17" spans="1:44" ht="18" customHeight="1" thickTop="1" thickBot="1">
      <c r="A17" s="68">
        <v>10</v>
      </c>
      <c r="B17" s="68" t="str">
        <f>IF($B$2="Real",Data!B17,IF(OR(SUM(Calcs!$B$2:$B$37)&gt;=36,$C$1=288),League!P11,"Clas."&amp;A17))</f>
        <v>Clas.10</v>
      </c>
      <c r="C17" s="78" t="s">
        <v>748</v>
      </c>
      <c r="D17" s="325"/>
      <c r="E17" s="342" t="str" cm="1">
        <f t="array" ref="E17">badge_ko</f>
        <v/>
      </c>
      <c r="F17" s="341" t="s">
        <v>748</v>
      </c>
      <c r="G17" s="339"/>
      <c r="H17" s="339"/>
      <c r="I17" s="340" t="str">
        <f t="shared" si="8"/>
        <v/>
      </c>
      <c r="J17" s="333"/>
      <c r="K17" s="349"/>
      <c r="L17" s="350"/>
      <c r="M17" s="342" t="str" cm="1">
        <f t="array" ref="M17">badge_ko</f>
        <v/>
      </c>
      <c r="N17" s="453" t="str">
        <f>IF(OR(G16="",G17="",H16="",H17=""),F17&amp;"/"&amp;F16,IF(I16&gt;I17,F16,IF(I16&lt;I17,F17,IF(OR(J16="",J17="",J16=J17),F17&amp;"/"&amp;F16,IF(J16&gt;J17,F16,F17)))))</f>
        <v>15/16/17/18</v>
      </c>
      <c r="O17" s="339"/>
      <c r="P17" s="339"/>
      <c r="Q17" s="340" t="str">
        <f t="shared" ref="Q17:Q18" si="9">IF(AND(O17="",P17=""),"",O17+P17)</f>
        <v/>
      </c>
      <c r="R17" s="344"/>
      <c r="S17" s="352"/>
      <c r="T17" s="325"/>
      <c r="U17" s="325"/>
      <c r="V17" s="325"/>
      <c r="W17" s="325"/>
      <c r="X17" s="325"/>
      <c r="Y17" s="325"/>
      <c r="Z17" s="329"/>
      <c r="AA17" s="325"/>
      <c r="AB17" s="325"/>
      <c r="AC17" s="325"/>
      <c r="AD17" s="325"/>
      <c r="AE17" s="325"/>
      <c r="AF17" s="325"/>
      <c r="AG17" s="325"/>
      <c r="AH17" s="325"/>
      <c r="AI17" s="351"/>
      <c r="AJ17" s="325"/>
      <c r="AK17" s="325"/>
      <c r="AL17" s="325"/>
      <c r="AM17" s="325"/>
      <c r="AN17" s="325"/>
      <c r="AO17" s="325"/>
      <c r="AP17" s="325"/>
      <c r="AQ17" s="325"/>
      <c r="AR17" s="58"/>
    </row>
    <row r="18" spans="1:44" ht="18" customHeight="1" thickTop="1">
      <c r="A18" s="68">
        <v>11</v>
      </c>
      <c r="B18" s="68" t="str">
        <f>IF($B$2="Real",Data!B18,IF(OR(SUM(Calcs!$B$2:$B$37)&gt;=36,$C$1=288),League!P12,"Clas."&amp;A18))</f>
        <v>Clas.11</v>
      </c>
      <c r="C18" s="78"/>
      <c r="D18" s="325"/>
      <c r="E18" s="337"/>
      <c r="F18" s="325"/>
      <c r="G18" s="326"/>
      <c r="H18" s="326"/>
      <c r="I18" s="326"/>
      <c r="J18" s="328"/>
      <c r="K18" s="325"/>
      <c r="L18" s="343" t="s">
        <v>764</v>
      </c>
      <c r="M18" s="342" t="str" cm="1">
        <f t="array" ref="M18">badge_ko</f>
        <v/>
      </c>
      <c r="N18" s="341" t="s">
        <v>764</v>
      </c>
      <c r="O18" s="339"/>
      <c r="P18" s="339"/>
      <c r="Q18" s="340" t="str">
        <f t="shared" si="9"/>
        <v/>
      </c>
      <c r="R18" s="333"/>
      <c r="S18" s="325"/>
      <c r="T18" s="325"/>
      <c r="U18" s="325"/>
      <c r="V18" s="325"/>
      <c r="W18" s="325"/>
      <c r="X18" s="325"/>
      <c r="Y18" s="325"/>
      <c r="Z18" s="329"/>
      <c r="AA18" s="325"/>
      <c r="AB18" s="325"/>
      <c r="AC18" s="325"/>
      <c r="AD18" s="325"/>
      <c r="AE18" s="325"/>
      <c r="AF18" s="325"/>
      <c r="AG18" s="325"/>
      <c r="AH18" s="325"/>
      <c r="AI18" s="351"/>
      <c r="AJ18" s="325"/>
      <c r="AK18" s="325"/>
      <c r="AL18" s="325" t="str">
        <f>IF(OR(AE11="",AE12="",AF11="",AF12=""),"WSF-1",IF(AG11&gt;AG12,AD11,IF(AG11&lt;AG12,AD12,IF(OR(AH11="",AH12="",AH11=AH12),"WSF-1",IF(AH11&gt;AH12,AD11,AD12)))))</f>
        <v>WSF-1</v>
      </c>
      <c r="AM18" s="326" t="s">
        <v>54</v>
      </c>
      <c r="AN18" s="332" t="s">
        <v>781</v>
      </c>
      <c r="AO18" s="325"/>
      <c r="AP18" s="326" t="s">
        <v>157</v>
      </c>
      <c r="AQ18" s="325"/>
      <c r="AR18" s="58"/>
    </row>
    <row r="19" spans="1:44" ht="18" customHeight="1" thickBot="1">
      <c r="A19" s="68">
        <v>12</v>
      </c>
      <c r="B19" s="68" t="str">
        <f>IF($B$2="Real",Data!B19,IF(OR(SUM(Calcs!$B$2:$B$37)&gt;=36,$C$1=288),League!P13,"Clas."&amp;A19))</f>
        <v>Clas.12</v>
      </c>
      <c r="C19" s="78"/>
      <c r="D19" s="325"/>
      <c r="E19" s="337"/>
      <c r="F19" s="325"/>
      <c r="G19" s="335" t="s">
        <v>242</v>
      </c>
      <c r="H19" s="335" t="s">
        <v>245</v>
      </c>
      <c r="I19" s="338" t="s">
        <v>5</v>
      </c>
      <c r="J19" s="336" t="s">
        <v>781</v>
      </c>
      <c r="K19" s="329"/>
      <c r="L19" s="331"/>
      <c r="M19" s="332"/>
      <c r="N19" s="325"/>
      <c r="O19" s="326"/>
      <c r="P19" s="326"/>
      <c r="Q19" s="326"/>
      <c r="R19" s="326"/>
      <c r="S19" s="326"/>
      <c r="T19" s="326"/>
      <c r="U19" s="326"/>
      <c r="V19" s="326"/>
      <c r="W19" s="326"/>
      <c r="X19" s="326"/>
      <c r="Y19" s="326"/>
      <c r="Z19" s="326"/>
      <c r="AA19" s="326"/>
      <c r="AB19" s="326"/>
      <c r="AC19" s="326"/>
      <c r="AD19" s="325"/>
      <c r="AE19" s="325"/>
      <c r="AF19" s="325"/>
      <c r="AG19" s="325"/>
      <c r="AH19" s="325"/>
      <c r="AI19" s="351"/>
      <c r="AJ19" s="375"/>
      <c r="AK19" s="342" t="str" cm="1">
        <f t="array" ref="AK19">badge_ko</f>
        <v/>
      </c>
      <c r="AL19" s="454" t="str">
        <f>IF(OR(AE11="",AE12="",AF11="",AF12=""),"WSF-1",IF(AG11&gt;AG12,AD11,IF(AG11&lt;AG12,AD12,IF(OR(AH11="",AH12="",AH11=AH12),"WSF-1",IF(AH11&gt;AH12,AD11,AD12)))))</f>
        <v>WSF-1</v>
      </c>
      <c r="AM19" s="339"/>
      <c r="AN19" s="344"/>
      <c r="AO19" s="345"/>
      <c r="AP19" s="516" t="str">
        <f>IF(OR(AM19="",AM20=""),"WF",IF(AM19&gt;AM20,AL19,IF(AM19&lt;AM20,AL20,IF(OR(AN19="",AN20="",AN19=AN20),"WF",IF(AN19&gt;AN20,AL19,AL20)))))</f>
        <v>WF</v>
      </c>
      <c r="AQ19" s="325"/>
      <c r="AR19" s="58"/>
    </row>
    <row r="20" spans="1:44" ht="18" customHeight="1" thickTop="1" thickBot="1">
      <c r="A20" s="68">
        <v>13</v>
      </c>
      <c r="B20" s="68" t="str">
        <f>IF($B$2="Real",Data!B20,IF(OR(SUM(Calcs!$B$2:$B$37)&gt;=36,$C$1=288),League!P14,"Clas."&amp;A20))</f>
        <v>Clas.13</v>
      </c>
      <c r="C20" s="78" t="s">
        <v>753</v>
      </c>
      <c r="D20" s="356"/>
      <c r="E20" s="342" t="str" cm="1">
        <f t="array" ref="E20">badge_ko</f>
        <v/>
      </c>
      <c r="F20" s="341" t="s">
        <v>753</v>
      </c>
      <c r="G20" s="339"/>
      <c r="H20" s="339"/>
      <c r="I20" s="340" t="str">
        <f t="shared" ref="I20:I21" si="10">IF(AND(G20="",H20=""),"",G20+H20)</f>
        <v/>
      </c>
      <c r="J20" s="456"/>
      <c r="K20" s="364"/>
      <c r="L20" s="362"/>
      <c r="M20" s="355"/>
      <c r="N20" s="356"/>
      <c r="O20" s="357" t="s">
        <v>242</v>
      </c>
      <c r="P20" s="357" t="s">
        <v>245</v>
      </c>
      <c r="Q20" s="358" t="s">
        <v>5</v>
      </c>
      <c r="R20" s="378" t="s">
        <v>781</v>
      </c>
      <c r="S20" s="356"/>
      <c r="T20" s="356"/>
      <c r="U20" s="356"/>
      <c r="V20" s="356"/>
      <c r="W20" s="356"/>
      <c r="X20" s="356"/>
      <c r="Y20" s="356"/>
      <c r="Z20" s="362"/>
      <c r="AA20" s="356"/>
      <c r="AB20" s="356"/>
      <c r="AC20" s="356"/>
      <c r="AD20" s="356"/>
      <c r="AE20" s="356"/>
      <c r="AF20" s="356"/>
      <c r="AG20" s="356"/>
      <c r="AH20" s="356"/>
      <c r="AI20" s="368"/>
      <c r="AJ20" s="356"/>
      <c r="AK20" s="342" t="str" cm="1">
        <f t="array" ref="AK20">badge_ko</f>
        <v/>
      </c>
      <c r="AL20" s="454" t="str">
        <f>IF(OR(AE27="",AE28="",AF27="",AF28=""),"WSF-2",IF(AG27&gt;AG28,AD27,IF(AG27&lt;AG28,AD28,IF(OR(AH27="",AH28="",AH27=AH28),"WSF-2",IF(AH27&gt;AH28,AD27,AD28)))))</f>
        <v>WSF-2</v>
      </c>
      <c r="AM20" s="339"/>
      <c r="AN20" s="455"/>
      <c r="AO20" s="379"/>
      <c r="AP20" s="517"/>
      <c r="AQ20" s="356"/>
      <c r="AR20" s="58"/>
    </row>
    <row r="21" spans="1:44" ht="18" customHeight="1" thickTop="1" thickBot="1">
      <c r="A21" s="68">
        <v>14</v>
      </c>
      <c r="B21" s="68" t="str">
        <f>IF($B$2="Real",Data!B21,IF(OR(SUM(Calcs!$B$2:$B$37)&gt;=36,$C$1=288),League!P15,"Clas."&amp;A21))</f>
        <v>Clas.14</v>
      </c>
      <c r="C21" s="79" t="s">
        <v>752</v>
      </c>
      <c r="D21" s="356"/>
      <c r="E21" s="342" t="str" cm="1">
        <f t="array" ref="E21">badge_ko</f>
        <v/>
      </c>
      <c r="F21" s="341" t="s">
        <v>752</v>
      </c>
      <c r="G21" s="339"/>
      <c r="H21" s="339"/>
      <c r="I21" s="340" t="str">
        <f t="shared" si="10"/>
        <v/>
      </c>
      <c r="J21" s="457"/>
      <c r="K21" s="365"/>
      <c r="L21" s="372"/>
      <c r="M21" s="342" t="str" cm="1">
        <f t="array" ref="M21">badge_ko</f>
        <v/>
      </c>
      <c r="N21" s="453" t="str">
        <f>IF(OR(G20="",G21="",H20="",H21=""),F21&amp;"/"&amp;F20,IF(I20&gt;I21,F20,IF(I20&lt;I21,F21,IF(OR(J20="",J21="",J20=J21),F21&amp;"/"&amp;F20,IF(J20&gt;J21,F20,F21)))))</f>
        <v>12/11/22/21</v>
      </c>
      <c r="O21" s="339"/>
      <c r="P21" s="339"/>
      <c r="Q21" s="340" t="str">
        <f t="shared" ref="Q21:Q22" si="11">IF(AND(O21="",P21=""),"",O21+P21)</f>
        <v/>
      </c>
      <c r="R21" s="458"/>
      <c r="S21" s="366"/>
      <c r="T21" s="356"/>
      <c r="U21" s="356"/>
      <c r="V21" s="356"/>
      <c r="W21" s="356"/>
      <c r="X21" s="356"/>
      <c r="Y21" s="356"/>
      <c r="Z21" s="362"/>
      <c r="AA21" s="356"/>
      <c r="AB21" s="356"/>
      <c r="AC21" s="356"/>
      <c r="AD21" s="356"/>
      <c r="AE21" s="356"/>
      <c r="AF21" s="356"/>
      <c r="AG21" s="356"/>
      <c r="AH21" s="356"/>
      <c r="AI21" s="368"/>
      <c r="AJ21" s="356"/>
      <c r="AK21" s="356"/>
      <c r="AL21" s="356"/>
      <c r="AM21" s="356"/>
      <c r="AN21" s="356"/>
      <c r="AO21" s="356"/>
      <c r="AP21" s="356"/>
      <c r="AQ21" s="356"/>
      <c r="AR21" s="58"/>
    </row>
    <row r="22" spans="1:44" ht="18" customHeight="1" thickTop="1">
      <c r="A22" s="68">
        <v>15</v>
      </c>
      <c r="B22" s="68" t="str">
        <f>IF($B$2="Real",Data!B22,IF(OR(SUM(Calcs!$B$2:$B$37)&gt;=36,$C$1=288),League!P16,"Clas."&amp;A22))</f>
        <v>Clas.15</v>
      </c>
      <c r="C22" s="78"/>
      <c r="D22" s="356"/>
      <c r="E22" s="361"/>
      <c r="F22" s="356"/>
      <c r="G22" s="357"/>
      <c r="H22" s="357"/>
      <c r="I22" s="357"/>
      <c r="J22" s="355"/>
      <c r="K22" s="356"/>
      <c r="L22" s="373" t="s">
        <v>769</v>
      </c>
      <c r="M22" s="342" t="str" cm="1">
        <f t="array" ref="M22">badge_ko</f>
        <v/>
      </c>
      <c r="N22" s="341" t="s">
        <v>769</v>
      </c>
      <c r="O22" s="339"/>
      <c r="P22" s="339"/>
      <c r="Q22" s="340" t="str">
        <f t="shared" si="11"/>
        <v/>
      </c>
      <c r="R22" s="457"/>
      <c r="S22" s="367"/>
      <c r="T22" s="356"/>
      <c r="U22" s="356"/>
      <c r="V22" s="356"/>
      <c r="W22" s="357" t="s">
        <v>242</v>
      </c>
      <c r="X22" s="357" t="s">
        <v>245</v>
      </c>
      <c r="Y22" s="358" t="s">
        <v>5</v>
      </c>
      <c r="Z22" s="378" t="s">
        <v>781</v>
      </c>
      <c r="AA22" s="356"/>
      <c r="AB22" s="356"/>
      <c r="AC22" s="356"/>
      <c r="AD22" s="356"/>
      <c r="AE22" s="356"/>
      <c r="AF22" s="356"/>
      <c r="AG22" s="356"/>
      <c r="AH22" s="356"/>
      <c r="AI22" s="368"/>
      <c r="AJ22" s="356"/>
      <c r="AK22" s="356"/>
      <c r="AL22" s="356"/>
      <c r="AM22" s="356"/>
      <c r="AN22" s="356"/>
      <c r="AO22" s="356"/>
      <c r="AP22" s="356"/>
      <c r="AQ22" s="356"/>
      <c r="AR22" s="58"/>
    </row>
    <row r="23" spans="1:44" ht="18" customHeight="1" thickBot="1">
      <c r="A23" s="68">
        <v>16</v>
      </c>
      <c r="B23" s="68" t="str">
        <f>IF($B$2="Real",Data!B23,IF(OR(SUM(Calcs!$B$2:$B$37)&gt;=36,$C$1=288),League!P17,"Clas."&amp;A23))</f>
        <v>Clas.16</v>
      </c>
      <c r="C23" s="78"/>
      <c r="D23" s="356"/>
      <c r="E23" s="361"/>
      <c r="F23" s="356"/>
      <c r="G23" s="357" t="s">
        <v>242</v>
      </c>
      <c r="H23" s="357" t="s">
        <v>245</v>
      </c>
      <c r="I23" s="358" t="s">
        <v>5</v>
      </c>
      <c r="J23" s="378" t="s">
        <v>781</v>
      </c>
      <c r="K23" s="362"/>
      <c r="L23" s="374"/>
      <c r="M23" s="359"/>
      <c r="N23" s="356"/>
      <c r="O23" s="357"/>
      <c r="P23" s="357"/>
      <c r="Q23" s="357"/>
      <c r="R23" s="355"/>
      <c r="S23" s="368"/>
      <c r="T23" s="369"/>
      <c r="U23" s="342" t="str" cm="1">
        <f t="array" ref="U23">badge_ko</f>
        <v/>
      </c>
      <c r="V23" s="453" t="str">
        <f>IF(OR(O21="",O22="",P21="",P22=""),"WR16-5",IF(Q21&gt;Q22,N21,IF(Q21&lt;Q22,N22,IF(OR(R21="",R22="",R21=R22),"WR16-5",IF(R21&gt;R22,N21,N22)))))</f>
        <v>WR16-5</v>
      </c>
      <c r="W23" s="339"/>
      <c r="X23" s="339"/>
      <c r="Y23" s="340" t="str">
        <f t="shared" ref="Y23:Y24" si="12">IF(AND(W23="",X23=""),"",W23+X23)</f>
        <v/>
      </c>
      <c r="Z23" s="458"/>
      <c r="AA23" s="366"/>
      <c r="AB23" s="356"/>
      <c r="AC23" s="356"/>
      <c r="AD23" s="356"/>
      <c r="AE23" s="356"/>
      <c r="AF23" s="356"/>
      <c r="AG23" s="356"/>
      <c r="AH23" s="356"/>
      <c r="AI23" s="368"/>
      <c r="AJ23" s="356"/>
      <c r="AK23" s="356"/>
      <c r="AL23" s="356"/>
      <c r="AM23" s="356"/>
      <c r="AN23" s="356"/>
      <c r="AO23" s="356"/>
      <c r="AP23" s="356"/>
      <c r="AQ23" s="356"/>
      <c r="AR23" s="58"/>
    </row>
    <row r="24" spans="1:44" ht="18" customHeight="1" thickTop="1" thickBot="1">
      <c r="A24" s="69">
        <v>17</v>
      </c>
      <c r="B24" s="69" t="str">
        <f>IF($B$2="Real",Data!B24,IF(OR(SUM(Calcs!$B$2:$B$37)&gt;=36,$C$1=288),League!P18,"Clas."&amp;A24))</f>
        <v>Clas.17</v>
      </c>
      <c r="C24" s="78" t="s">
        <v>754</v>
      </c>
      <c r="D24" s="356"/>
      <c r="E24" s="342" t="str" cm="1">
        <f t="array" ref="E24">badge_ko</f>
        <v/>
      </c>
      <c r="F24" s="341" t="s">
        <v>754</v>
      </c>
      <c r="G24" s="339"/>
      <c r="H24" s="339"/>
      <c r="I24" s="340" t="str">
        <f t="shared" ref="I24:I25" si="13">IF(AND(G24="",H24=""),"",G24+H24)</f>
        <v/>
      </c>
      <c r="J24" s="458"/>
      <c r="K24" s="364"/>
      <c r="L24" s="374"/>
      <c r="M24" s="359"/>
      <c r="N24" s="356"/>
      <c r="O24" s="357" t="s">
        <v>242</v>
      </c>
      <c r="P24" s="357" t="s">
        <v>245</v>
      </c>
      <c r="Q24" s="358" t="s">
        <v>5</v>
      </c>
      <c r="R24" s="378" t="s">
        <v>781</v>
      </c>
      <c r="S24" s="368"/>
      <c r="T24" s="356"/>
      <c r="U24" s="342" t="str" cm="1">
        <f t="array" ref="U24">badge_ko</f>
        <v/>
      </c>
      <c r="V24" s="453" t="str">
        <f>IF(OR(O25="",O26="",P25="",P26=""),"WR16-6",IF(Q25&gt;Q26,N25,IF(Q25&lt;Q26,N26,IF(OR(R25="",R26="",R25=R26),"WR16-6",IF(R25&gt;R26,N25,N26)))))</f>
        <v>WR16-6</v>
      </c>
      <c r="W24" s="339"/>
      <c r="X24" s="339"/>
      <c r="Y24" s="340" t="str">
        <f t="shared" si="12"/>
        <v/>
      </c>
      <c r="Z24" s="457"/>
      <c r="AA24" s="367"/>
      <c r="AB24" s="356"/>
      <c r="AC24" s="356"/>
      <c r="AD24" s="356"/>
      <c r="AE24" s="356"/>
      <c r="AF24" s="356"/>
      <c r="AG24" s="356"/>
      <c r="AH24" s="356"/>
      <c r="AI24" s="368"/>
      <c r="AJ24" s="356"/>
      <c r="AK24" s="356"/>
      <c r="AL24" s="356"/>
      <c r="AM24" s="356"/>
      <c r="AN24" s="356"/>
      <c r="AO24" s="356"/>
      <c r="AP24" s="356"/>
      <c r="AQ24" s="356"/>
      <c r="AR24" s="58"/>
    </row>
    <row r="25" spans="1:44" ht="18" customHeight="1" thickTop="1" thickBot="1">
      <c r="A25" s="69">
        <v>18</v>
      </c>
      <c r="B25" s="69" t="str">
        <f>IF($B$2="Real",Data!B25,IF(OR(SUM(Calcs!$B$2:$B$37)&gt;=36,$C$1=288),League!P19,"Clas."&amp;A25))</f>
        <v>Clas.18</v>
      </c>
      <c r="C25" s="79" t="s">
        <v>760</v>
      </c>
      <c r="D25" s="356"/>
      <c r="E25" s="342" t="str" cm="1">
        <f t="array" ref="E25">badge_ko</f>
        <v/>
      </c>
      <c r="F25" s="341" t="s">
        <v>760</v>
      </c>
      <c r="G25" s="339"/>
      <c r="H25" s="339"/>
      <c r="I25" s="340" t="str">
        <f t="shared" si="13"/>
        <v/>
      </c>
      <c r="J25" s="457"/>
      <c r="K25" s="365"/>
      <c r="L25" s="372"/>
      <c r="M25" s="342" t="str" cm="1">
        <f t="array" ref="M25">badge_ko</f>
        <v/>
      </c>
      <c r="N25" s="453" t="str">
        <f>IF(OR(G24="",G25="",H24="",H25=""),F25&amp;"/"&amp;F24,IF(I24&gt;I25,F24,IF(I24&lt;I25,F25,IF(OR(J24="",J25="",J24=J25),F25&amp;"/"&amp;F24,IF(J24&gt;J25,F24,F25)))))</f>
        <v>14/13/20/19</v>
      </c>
      <c r="O25" s="339"/>
      <c r="P25" s="339"/>
      <c r="Q25" s="340" t="str">
        <f t="shared" ref="Q25:Q26" si="14">IF(AND(O25="",P25=""),"",O25+P25)</f>
        <v/>
      </c>
      <c r="R25" s="458"/>
      <c r="S25" s="370"/>
      <c r="T25" s="356"/>
      <c r="U25" s="363"/>
      <c r="V25" s="356"/>
      <c r="W25" s="356"/>
      <c r="X25" s="356"/>
      <c r="Y25" s="356"/>
      <c r="Z25" s="362"/>
      <c r="AA25" s="368"/>
      <c r="AB25" s="356"/>
      <c r="AC25" s="356"/>
      <c r="AD25" s="356"/>
      <c r="AE25" s="356"/>
      <c r="AF25" s="356"/>
      <c r="AG25" s="356"/>
      <c r="AH25" s="356"/>
      <c r="AI25" s="368"/>
      <c r="AJ25" s="356"/>
      <c r="AK25" s="356"/>
      <c r="AL25" s="356"/>
      <c r="AM25" s="356"/>
      <c r="AN25" s="356"/>
      <c r="AO25" s="356"/>
      <c r="AP25" s="356"/>
      <c r="AQ25" s="356"/>
      <c r="AR25" s="58"/>
    </row>
    <row r="26" spans="1:44" ht="18" customHeight="1" thickTop="1">
      <c r="A26" s="69">
        <v>19</v>
      </c>
      <c r="B26" s="69" t="str">
        <f>IF($B$2="Real",Data!B26,IF(OR(SUM(Calcs!$B$2:$B$37)&gt;=36,$C$1=288),League!P20,"Clas."&amp;A26))</f>
        <v>Clas.19</v>
      </c>
      <c r="C26" s="78"/>
      <c r="D26" s="356"/>
      <c r="E26" s="361"/>
      <c r="F26" s="356"/>
      <c r="G26" s="357"/>
      <c r="H26" s="357"/>
      <c r="I26" s="357"/>
      <c r="J26" s="355"/>
      <c r="K26" s="356"/>
      <c r="L26" s="373" t="s">
        <v>768</v>
      </c>
      <c r="M26" s="342" t="str" cm="1">
        <f t="array" ref="M26">badge_ko</f>
        <v/>
      </c>
      <c r="N26" s="341" t="s">
        <v>768</v>
      </c>
      <c r="O26" s="339"/>
      <c r="P26" s="339"/>
      <c r="Q26" s="340" t="str">
        <f t="shared" si="14"/>
        <v/>
      </c>
      <c r="R26" s="457"/>
      <c r="S26" s="356"/>
      <c r="T26" s="356"/>
      <c r="U26" s="363"/>
      <c r="V26" s="356"/>
      <c r="W26" s="356"/>
      <c r="X26" s="356"/>
      <c r="Y26" s="356"/>
      <c r="Z26" s="362"/>
      <c r="AA26" s="368"/>
      <c r="AB26" s="356"/>
      <c r="AC26" s="356"/>
      <c r="AD26" s="356"/>
      <c r="AE26" s="357" t="s">
        <v>242</v>
      </c>
      <c r="AF26" s="357" t="s">
        <v>245</v>
      </c>
      <c r="AG26" s="358" t="s">
        <v>5</v>
      </c>
      <c r="AH26" s="378" t="s">
        <v>781</v>
      </c>
      <c r="AI26" s="368"/>
      <c r="AJ26" s="356"/>
      <c r="AK26" s="356"/>
      <c r="AL26" s="356"/>
      <c r="AM26" s="356"/>
      <c r="AN26" s="356"/>
      <c r="AO26" s="356"/>
      <c r="AP26" s="356"/>
      <c r="AQ26" s="356"/>
      <c r="AR26" s="58"/>
    </row>
    <row r="27" spans="1:44" ht="18" customHeight="1" thickBot="1">
      <c r="A27" s="69">
        <v>20</v>
      </c>
      <c r="B27" s="69" t="str">
        <f>IF($B$2="Real",Data!B27,IF(OR(SUM(Calcs!$B$2:$B$37)&gt;=36,$C$1=288),League!P21,"Clas."&amp;A27))</f>
        <v>Clas.20</v>
      </c>
      <c r="C27" s="78"/>
      <c r="D27" s="356"/>
      <c r="E27" s="361"/>
      <c r="F27" s="356"/>
      <c r="G27" s="357" t="s">
        <v>242</v>
      </c>
      <c r="H27" s="357" t="s">
        <v>245</v>
      </c>
      <c r="I27" s="358" t="s">
        <v>5</v>
      </c>
      <c r="J27" s="378" t="s">
        <v>781</v>
      </c>
      <c r="K27" s="362"/>
      <c r="L27" s="374"/>
      <c r="M27" s="359"/>
      <c r="N27" s="356"/>
      <c r="O27" s="357"/>
      <c r="P27" s="357"/>
      <c r="Q27" s="357"/>
      <c r="R27" s="355"/>
      <c r="S27" s="356"/>
      <c r="T27" s="356"/>
      <c r="U27" s="363"/>
      <c r="V27" s="356"/>
      <c r="W27" s="356"/>
      <c r="X27" s="356"/>
      <c r="Y27" s="356"/>
      <c r="Z27" s="362"/>
      <c r="AA27" s="368"/>
      <c r="AB27" s="356"/>
      <c r="AC27" s="342" t="str" cm="1">
        <f t="array" ref="AC27">badge_ko</f>
        <v/>
      </c>
      <c r="AD27" s="453" t="str">
        <f>IF(OR(W23="",W24="",X23="",X24=""),"WQF-3",IF(Y23&gt;Y24,V23,IF(Y23&lt;Y24,V24,IF(OR(Z23="",Z24="",Z23=Z24),"WQF-3",IF(Z23&gt;Z24,V23,V24)))))</f>
        <v>WQF-3</v>
      </c>
      <c r="AE27" s="339"/>
      <c r="AF27" s="339"/>
      <c r="AG27" s="340" t="str">
        <f t="shared" ref="AG27:AG28" si="15">IF(AND(AE27="",AF27=""),"",AE27+AF27)</f>
        <v/>
      </c>
      <c r="AH27" s="458"/>
      <c r="AI27" s="370"/>
      <c r="AJ27" s="356"/>
      <c r="AK27" s="356"/>
      <c r="AL27" s="356"/>
      <c r="AM27" s="356"/>
      <c r="AN27" s="356"/>
      <c r="AO27" s="356"/>
      <c r="AP27" s="356"/>
      <c r="AQ27" s="356"/>
      <c r="AR27" s="58"/>
    </row>
    <row r="28" spans="1:44" ht="18" customHeight="1" thickTop="1" thickBot="1">
      <c r="A28" s="69">
        <v>21</v>
      </c>
      <c r="B28" s="69" t="str">
        <f>IF($B$2="Real",Data!B28,IF(OR(SUM(Calcs!$B$2:$B$37)&gt;=36,$C$1=288),League!P22,"Clas."&amp;A28))</f>
        <v>Clas.21</v>
      </c>
      <c r="C28" s="78" t="s">
        <v>761</v>
      </c>
      <c r="D28" s="356"/>
      <c r="E28" s="342" t="str" cm="1">
        <f t="array" ref="E28">badge_ko</f>
        <v/>
      </c>
      <c r="F28" s="341" t="s">
        <v>761</v>
      </c>
      <c r="G28" s="339"/>
      <c r="H28" s="339"/>
      <c r="I28" s="377" t="str">
        <f t="shared" ref="I28:I29" si="16">IF(AND(G28="",H28=""),"",G28+H28)</f>
        <v/>
      </c>
      <c r="J28" s="456"/>
      <c r="K28" s="364"/>
      <c r="L28" s="374"/>
      <c r="M28" s="359"/>
      <c r="N28" s="356"/>
      <c r="O28" s="357" t="s">
        <v>242</v>
      </c>
      <c r="P28" s="357" t="s">
        <v>245</v>
      </c>
      <c r="Q28" s="358" t="s">
        <v>5</v>
      </c>
      <c r="R28" s="378" t="s">
        <v>781</v>
      </c>
      <c r="S28" s="356"/>
      <c r="T28" s="356"/>
      <c r="U28" s="363"/>
      <c r="V28" s="356"/>
      <c r="W28" s="356"/>
      <c r="X28" s="356"/>
      <c r="Y28" s="356"/>
      <c r="Z28" s="362"/>
      <c r="AA28" s="368"/>
      <c r="AB28" s="371"/>
      <c r="AC28" s="342" t="str" cm="1">
        <f t="array" ref="AC28">badge_ko</f>
        <v/>
      </c>
      <c r="AD28" s="453" t="str">
        <f>IF(OR(W31="",W32="",X31="",X32=""),"WQF-4",IF(Y31&gt;Y32,V31,IF(Y31&lt;Y32,V32,IF(OR(Z31="",Z32="",Z31=Z32),"WQF-4",IF(Z31&gt;Z32,V31,V32)))))</f>
        <v>WQF-4</v>
      </c>
      <c r="AE28" s="339"/>
      <c r="AF28" s="339"/>
      <c r="AG28" s="340" t="str">
        <f t="shared" si="15"/>
        <v/>
      </c>
      <c r="AH28" s="457"/>
      <c r="AI28" s="356"/>
      <c r="AJ28" s="356"/>
      <c r="AK28" s="356"/>
      <c r="AL28" s="356"/>
      <c r="AM28" s="356"/>
      <c r="AN28" s="356"/>
      <c r="AO28" s="356"/>
      <c r="AP28" s="356"/>
      <c r="AQ28" s="356"/>
      <c r="AR28" s="58"/>
    </row>
    <row r="29" spans="1:44" ht="18" customHeight="1" thickTop="1" thickBot="1">
      <c r="A29" s="69">
        <v>22</v>
      </c>
      <c r="B29" s="69" t="str">
        <f>IF($B$2="Real",Data!B29,IF(OR(SUM(Calcs!$B$2:$B$37)&gt;=36,$C$1=288),League!P23,"Clas."&amp;A29))</f>
        <v>Clas.22</v>
      </c>
      <c r="C29" s="79" t="s">
        <v>750</v>
      </c>
      <c r="D29" s="356"/>
      <c r="E29" s="342" t="str" cm="1">
        <f t="array" ref="E29">badge_ko</f>
        <v/>
      </c>
      <c r="F29" s="341" t="s">
        <v>750</v>
      </c>
      <c r="G29" s="339"/>
      <c r="H29" s="339"/>
      <c r="I29" s="340" t="str">
        <f t="shared" si="16"/>
        <v/>
      </c>
      <c r="J29" s="457"/>
      <c r="K29" s="365"/>
      <c r="L29" s="372"/>
      <c r="M29" s="342" t="str" cm="1">
        <f t="array" ref="M29">badge_ko</f>
        <v/>
      </c>
      <c r="N29" s="453" t="str">
        <f>IF(OR(G28="",G29="",H28="",H29=""),F29&amp;"/"&amp;F28,IF(I28&gt;I29,F28,IF(I28&lt;I29,F29,IF(OR(J28="",J29="",J28=J29),F29&amp;"/"&amp;F28,IF(J28&gt;J29,F28,F29)))))</f>
        <v>10/9/24/23</v>
      </c>
      <c r="O29" s="339"/>
      <c r="P29" s="339"/>
      <c r="Q29" s="340" t="str">
        <f t="shared" ref="Q29:Q30" si="17">IF(AND(O29="",P29=""),"",O29+P29)</f>
        <v/>
      </c>
      <c r="R29" s="458"/>
      <c r="S29" s="366"/>
      <c r="T29" s="356"/>
      <c r="U29" s="363"/>
      <c r="V29" s="356"/>
      <c r="W29" s="356"/>
      <c r="X29" s="356"/>
      <c r="Y29" s="356"/>
      <c r="Z29" s="362"/>
      <c r="AA29" s="368"/>
      <c r="AB29" s="356"/>
      <c r="AC29" s="356"/>
      <c r="AD29" s="356"/>
      <c r="AE29" s="356"/>
      <c r="AF29" s="356"/>
      <c r="AG29" s="356"/>
      <c r="AH29" s="356"/>
      <c r="AI29" s="356"/>
      <c r="AJ29" s="356"/>
      <c r="AK29" s="356"/>
      <c r="AL29" s="356"/>
      <c r="AM29" s="356"/>
      <c r="AN29" s="356"/>
      <c r="AO29" s="356"/>
      <c r="AP29" s="356"/>
      <c r="AQ29" s="356"/>
      <c r="AR29" s="58"/>
    </row>
    <row r="30" spans="1:44" ht="18" customHeight="1" thickTop="1">
      <c r="A30" s="69">
        <v>23</v>
      </c>
      <c r="B30" s="69" t="str">
        <f>IF($B$2="Real",Data!B30,IF(OR(SUM(Calcs!$B$2:$B$37)&gt;=36,$C$1=288),League!P24,"Clas."&amp;A30))</f>
        <v>Clas.23</v>
      </c>
      <c r="C30" s="78"/>
      <c r="D30" s="356"/>
      <c r="E30" s="361"/>
      <c r="F30" s="356"/>
      <c r="G30" s="357"/>
      <c r="H30" s="357"/>
      <c r="I30" s="357"/>
      <c r="J30" s="355"/>
      <c r="K30" s="356"/>
      <c r="L30" s="373" t="s">
        <v>770</v>
      </c>
      <c r="M30" s="342" t="str" cm="1">
        <f t="array" ref="M30">badge_ko</f>
        <v/>
      </c>
      <c r="N30" s="341" t="s">
        <v>770</v>
      </c>
      <c r="O30" s="339"/>
      <c r="P30" s="339"/>
      <c r="Q30" s="340" t="str">
        <f t="shared" si="17"/>
        <v/>
      </c>
      <c r="R30" s="457"/>
      <c r="S30" s="367"/>
      <c r="T30" s="356"/>
      <c r="U30" s="363"/>
      <c r="V30" s="356"/>
      <c r="W30" s="357" t="s">
        <v>242</v>
      </c>
      <c r="X30" s="357" t="s">
        <v>245</v>
      </c>
      <c r="Y30" s="358" t="s">
        <v>5</v>
      </c>
      <c r="Z30" s="378" t="s">
        <v>781</v>
      </c>
      <c r="AA30" s="368"/>
      <c r="AB30" s="356"/>
      <c r="AC30" s="356"/>
      <c r="AD30" s="356"/>
      <c r="AE30" s="356"/>
      <c r="AF30" s="356"/>
      <c r="AG30" s="356"/>
      <c r="AH30" s="356"/>
      <c r="AI30" s="356"/>
      <c r="AJ30" s="356"/>
      <c r="AK30" s="356"/>
      <c r="AL30" s="356"/>
      <c r="AM30" s="356"/>
      <c r="AN30" s="356"/>
      <c r="AO30" s="356"/>
      <c r="AP30" s="356"/>
      <c r="AQ30" s="356"/>
      <c r="AR30" s="58"/>
    </row>
    <row r="31" spans="1:44" ht="18" customHeight="1" thickBot="1">
      <c r="A31" s="69">
        <v>24</v>
      </c>
      <c r="B31" s="69" t="str">
        <f>IF($B$2="Real",Data!B31,IF(OR(SUM(Calcs!$B$2:$B$37)&gt;=36,$C$1=288),League!P25,"Clas."&amp;A31))</f>
        <v>Clas.24</v>
      </c>
      <c r="C31" s="78"/>
      <c r="D31" s="356"/>
      <c r="E31" s="361"/>
      <c r="F31" s="356"/>
      <c r="G31" s="357" t="s">
        <v>242</v>
      </c>
      <c r="H31" s="357" t="s">
        <v>245</v>
      </c>
      <c r="I31" s="358" t="s">
        <v>5</v>
      </c>
      <c r="J31" s="378" t="s">
        <v>781</v>
      </c>
      <c r="K31" s="362"/>
      <c r="L31" s="374"/>
      <c r="M31" s="359"/>
      <c r="N31" s="356"/>
      <c r="O31" s="357"/>
      <c r="P31" s="357"/>
      <c r="Q31" s="357"/>
      <c r="R31" s="355"/>
      <c r="S31" s="368"/>
      <c r="T31" s="369"/>
      <c r="U31" s="342" t="str" cm="1">
        <f t="array" ref="U31">badge_ko</f>
        <v/>
      </c>
      <c r="V31" s="453" t="str">
        <f>IF(OR(O29="",O30="",P29="",P30=""),"WR16-7",IF(Q29&gt;Q30,N29,IF(Q29&lt;Q30,N30,IF(OR(R29="",R30="",R29=R30),"WR16-7",IF(R29&gt;R30,N29,N30)))))</f>
        <v>WR16-7</v>
      </c>
      <c r="W31" s="339"/>
      <c r="X31" s="339"/>
      <c r="Y31" s="340" t="str">
        <f t="shared" ref="Y31:Y32" si="18">IF(AND(W31="",X31=""),"",W31+X31)</f>
        <v/>
      </c>
      <c r="Z31" s="458"/>
      <c r="AA31" s="370"/>
      <c r="AB31" s="356"/>
      <c r="AC31" s="356"/>
      <c r="AD31" s="356"/>
      <c r="AE31" s="356"/>
      <c r="AF31" s="356"/>
      <c r="AG31" s="356"/>
      <c r="AH31" s="356"/>
      <c r="AI31" s="356"/>
      <c r="AJ31" s="356"/>
      <c r="AK31" s="356"/>
      <c r="AL31" s="356"/>
      <c r="AM31" s="356"/>
      <c r="AN31" s="356"/>
      <c r="AO31" s="356"/>
      <c r="AP31" s="356"/>
      <c r="AQ31" s="356"/>
      <c r="AR31" s="58"/>
    </row>
    <row r="32" spans="1:44" ht="18" customHeight="1" thickTop="1" thickBot="1">
      <c r="C32" s="78" t="s">
        <v>763</v>
      </c>
      <c r="D32" s="356"/>
      <c r="E32" s="342" t="str" cm="1">
        <f t="array" ref="E32">badge_ko</f>
        <v/>
      </c>
      <c r="F32" s="341" t="s">
        <v>763</v>
      </c>
      <c r="G32" s="339"/>
      <c r="H32" s="339"/>
      <c r="I32" s="340" t="str">
        <f t="shared" ref="I32:I33" si="19">IF(AND(G32="",H32=""),"",G32+H32)</f>
        <v/>
      </c>
      <c r="J32" s="458"/>
      <c r="K32" s="364"/>
      <c r="L32" s="374"/>
      <c r="M32" s="359"/>
      <c r="N32" s="356"/>
      <c r="O32" s="357" t="s">
        <v>242</v>
      </c>
      <c r="P32" s="357" t="s">
        <v>245</v>
      </c>
      <c r="Q32" s="358" t="s">
        <v>5</v>
      </c>
      <c r="R32" s="378" t="s">
        <v>781</v>
      </c>
      <c r="S32" s="368"/>
      <c r="T32" s="356"/>
      <c r="U32" s="342" t="str" cm="1">
        <f t="array" ref="U32">badge_ko</f>
        <v/>
      </c>
      <c r="V32" s="453" t="str">
        <f>IF(OR(O33="",O34="",P33="",P34=""),"WR16-8",IF(Q33&gt;Q34,N33,IF(Q33&lt;Q34,N34,IF(OR(R33="",R34="",R33=R34),"WR16-8",IF(R33&gt;R34,N33,N34)))))</f>
        <v>WR16-8</v>
      </c>
      <c r="W32" s="339"/>
      <c r="X32" s="339"/>
      <c r="Y32" s="340" t="str">
        <f t="shared" si="18"/>
        <v/>
      </c>
      <c r="Z32" s="457"/>
      <c r="AA32" s="356"/>
      <c r="AB32" s="356"/>
      <c r="AC32" s="356"/>
      <c r="AD32" s="356"/>
      <c r="AE32" s="356"/>
      <c r="AF32" s="356"/>
      <c r="AG32" s="356"/>
      <c r="AH32" s="356"/>
      <c r="AI32" s="356"/>
      <c r="AJ32" s="356"/>
      <c r="AK32" s="356"/>
      <c r="AL32" s="356"/>
      <c r="AM32" s="356"/>
      <c r="AN32" s="356"/>
      <c r="AO32" s="356"/>
      <c r="AP32" s="356"/>
      <c r="AQ32" s="356"/>
      <c r="AR32" s="58"/>
    </row>
    <row r="33" spans="3:44" ht="18" customHeight="1" thickTop="1" thickBot="1">
      <c r="C33" s="78" t="s">
        <v>762</v>
      </c>
      <c r="D33" s="356"/>
      <c r="E33" s="342" t="str" cm="1">
        <f t="array" ref="E33">badge_ko</f>
        <v/>
      </c>
      <c r="F33" s="341" t="s">
        <v>762</v>
      </c>
      <c r="G33" s="339"/>
      <c r="H33" s="339"/>
      <c r="I33" s="340" t="str">
        <f t="shared" si="19"/>
        <v/>
      </c>
      <c r="J33" s="457"/>
      <c r="K33" s="365"/>
      <c r="L33" s="372"/>
      <c r="M33" s="342" t="str" cm="1">
        <f t="array" ref="M33">badge_ko</f>
        <v/>
      </c>
      <c r="N33" s="453" t="str">
        <f>IF(OR(G32="",G33="",H32="",H33=""),F33&amp;"/"&amp;F32,IF(I32&gt;I33,F32,IF(I32&lt;I33,F33,IF(OR(J32="",J33="",J32=J33),F33&amp;"/"&amp;F32,IF(J32&gt;J33,F32,F33)))))</f>
        <v>16/15/18/17</v>
      </c>
      <c r="O33" s="339"/>
      <c r="P33" s="339"/>
      <c r="Q33" s="340" t="str">
        <f t="shared" ref="Q33:Q34" si="20">IF(AND(O33="",P33=""),"",O33+P33)</f>
        <v/>
      </c>
      <c r="R33" s="458"/>
      <c r="S33" s="370"/>
      <c r="T33" s="356"/>
      <c r="U33" s="356"/>
      <c r="V33" s="356"/>
      <c r="W33" s="356"/>
      <c r="X33" s="356"/>
      <c r="Y33" s="356"/>
      <c r="Z33" s="356"/>
      <c r="AA33" s="356"/>
      <c r="AB33" s="356"/>
      <c r="AC33" s="356"/>
      <c r="AD33" s="356"/>
      <c r="AE33" s="356"/>
      <c r="AF33" s="356"/>
      <c r="AG33" s="356"/>
      <c r="AH33" s="356"/>
      <c r="AI33" s="356"/>
      <c r="AJ33" s="356"/>
      <c r="AK33" s="356"/>
      <c r="AL33" s="356"/>
      <c r="AM33" s="356"/>
      <c r="AN33" s="356"/>
      <c r="AO33" s="356"/>
      <c r="AP33" s="356"/>
      <c r="AQ33" s="356"/>
      <c r="AR33" s="58"/>
    </row>
    <row r="34" spans="3:44" ht="18" customHeight="1" thickTop="1">
      <c r="C34" s="78"/>
      <c r="D34" s="360"/>
      <c r="E34" s="360"/>
      <c r="F34" s="356"/>
      <c r="G34" s="357"/>
      <c r="H34" s="357"/>
      <c r="I34" s="357"/>
      <c r="J34" s="357"/>
      <c r="K34" s="356"/>
      <c r="L34" s="373" t="s">
        <v>771</v>
      </c>
      <c r="M34" s="342" t="str" cm="1">
        <f t="array" ref="M34">badge_ko</f>
        <v/>
      </c>
      <c r="N34" s="341" t="s">
        <v>771</v>
      </c>
      <c r="O34" s="339"/>
      <c r="P34" s="339"/>
      <c r="Q34" s="340" t="str">
        <f t="shared" si="20"/>
        <v/>
      </c>
      <c r="R34" s="457"/>
      <c r="S34" s="356"/>
      <c r="T34" s="356"/>
      <c r="U34" s="356"/>
      <c r="V34" s="356"/>
      <c r="W34" s="356"/>
      <c r="X34" s="356"/>
      <c r="Y34" s="356"/>
      <c r="Z34" s="356"/>
      <c r="AA34" s="356"/>
      <c r="AB34" s="356"/>
      <c r="AC34" s="356"/>
      <c r="AD34" s="356"/>
      <c r="AE34" s="356"/>
      <c r="AF34" s="356"/>
      <c r="AG34" s="356"/>
      <c r="AH34" s="356"/>
      <c r="AI34" s="356"/>
      <c r="AJ34" s="356"/>
      <c r="AK34" s="356"/>
      <c r="AL34" s="356"/>
      <c r="AM34" s="356"/>
      <c r="AN34" s="356"/>
      <c r="AO34" s="356"/>
      <c r="AP34" s="356"/>
      <c r="AQ34" s="356"/>
      <c r="AR34" s="58"/>
    </row>
    <row r="35" spans="3:44" ht="16" customHeight="1">
      <c r="C35" s="78"/>
      <c r="D35" s="356"/>
      <c r="E35" s="356"/>
      <c r="F35" s="356"/>
      <c r="G35" s="357"/>
      <c r="H35" s="357"/>
      <c r="I35" s="357"/>
      <c r="J35" s="357"/>
      <c r="K35" s="356"/>
      <c r="L35" s="356"/>
      <c r="M35" s="356"/>
      <c r="N35" s="356"/>
      <c r="O35" s="357"/>
      <c r="P35" s="357"/>
      <c r="Q35" s="357"/>
      <c r="R35" s="357"/>
      <c r="S35" s="356"/>
      <c r="T35" s="356"/>
      <c r="U35" s="356"/>
      <c r="V35" s="356"/>
      <c r="W35" s="356"/>
      <c r="X35" s="356"/>
      <c r="Y35" s="356"/>
      <c r="Z35" s="356"/>
      <c r="AA35" s="356"/>
      <c r="AB35" s="356"/>
      <c r="AC35" s="356"/>
      <c r="AD35" s="356"/>
      <c r="AE35" s="356"/>
      <c r="AF35" s="356"/>
      <c r="AG35" s="356"/>
      <c r="AH35" s="356"/>
      <c r="AI35" s="356"/>
      <c r="AJ35" s="356"/>
      <c r="AK35" s="356"/>
      <c r="AL35" s="356"/>
      <c r="AM35" s="356"/>
      <c r="AN35" s="356"/>
      <c r="AO35" s="356"/>
      <c r="AP35" s="356"/>
      <c r="AQ35" s="356"/>
      <c r="AR35" s="58"/>
    </row>
    <row r="36" spans="3:44">
      <c r="C36" s="60"/>
      <c r="D36" s="60"/>
      <c r="E36" s="60"/>
      <c r="F36" s="58"/>
      <c r="G36" s="59"/>
      <c r="H36" s="59"/>
      <c r="I36" s="59"/>
      <c r="J36" s="59"/>
      <c r="K36" s="58"/>
      <c r="L36" s="58"/>
      <c r="M36" s="58"/>
      <c r="N36" s="58"/>
      <c r="O36" s="59"/>
      <c r="P36" s="59"/>
      <c r="Q36" s="59"/>
      <c r="R36" s="59"/>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row>
  </sheetData>
  <sheetProtection algorithmName="SHA-512" hashValue="Peem1bN1nydq5yWV2kZNjibrux9fnLTE/qD+7m96wcTpCwMFCKncZcwiah44oUjTp6rUkAL6u1PcInXA4BwXTw==" saltValue="bCqy5yVlIuK3rUN0SrEIuQ==" spinCount="100000" sheet="1" selectLockedCells="1"/>
  <mergeCells count="2">
    <mergeCell ref="AP19:AP20"/>
    <mergeCell ref="B3:B7"/>
  </mergeCells>
  <phoneticPr fontId="8" type="noConversion"/>
  <conditionalFormatting sqref="E4">
    <cfRule type="duplicateValues" dxfId="85" priority="196"/>
  </conditionalFormatting>
  <conditionalFormatting sqref="E5">
    <cfRule type="duplicateValues" dxfId="84" priority="195"/>
  </conditionalFormatting>
  <conditionalFormatting sqref="E8">
    <cfRule type="duplicateValues" dxfId="83" priority="56"/>
  </conditionalFormatting>
  <conditionalFormatting sqref="E9">
    <cfRule type="duplicateValues" dxfId="82" priority="55"/>
  </conditionalFormatting>
  <conditionalFormatting sqref="E12">
    <cfRule type="duplicateValues" dxfId="81" priority="54"/>
  </conditionalFormatting>
  <conditionalFormatting sqref="E13">
    <cfRule type="duplicateValues" dxfId="80" priority="53"/>
  </conditionalFormatting>
  <conditionalFormatting sqref="E16">
    <cfRule type="duplicateValues" dxfId="79" priority="52"/>
  </conditionalFormatting>
  <conditionalFormatting sqref="E17">
    <cfRule type="duplicateValues" dxfId="78" priority="51"/>
  </conditionalFormatting>
  <conditionalFormatting sqref="E20">
    <cfRule type="duplicateValues" dxfId="77" priority="50"/>
  </conditionalFormatting>
  <conditionalFormatting sqref="E21">
    <cfRule type="duplicateValues" dxfId="76" priority="49"/>
  </conditionalFormatting>
  <conditionalFormatting sqref="E24">
    <cfRule type="duplicateValues" dxfId="75" priority="48"/>
  </conditionalFormatting>
  <conditionalFormatting sqref="E25">
    <cfRule type="duplicateValues" dxfId="74" priority="47"/>
  </conditionalFormatting>
  <conditionalFormatting sqref="E28">
    <cfRule type="duplicateValues" dxfId="73" priority="46"/>
  </conditionalFormatting>
  <conditionalFormatting sqref="E29">
    <cfRule type="duplicateValues" dxfId="72" priority="45"/>
  </conditionalFormatting>
  <conditionalFormatting sqref="E32">
    <cfRule type="duplicateValues" dxfId="71" priority="44"/>
  </conditionalFormatting>
  <conditionalFormatting sqref="E33">
    <cfRule type="duplicateValues" dxfId="70" priority="43"/>
  </conditionalFormatting>
  <conditionalFormatting sqref="F4:F33">
    <cfRule type="duplicateValues" dxfId="69" priority="199"/>
  </conditionalFormatting>
  <conditionalFormatting sqref="J3">
    <cfRule type="expression" dxfId="68" priority="369">
      <formula>IF(AND(G4&lt;&gt;"",H4&lt;&gt;"",G5&lt;&gt;"",H5&lt;&gt;"",I4=I5),1,0)</formula>
    </cfRule>
  </conditionalFormatting>
  <conditionalFormatting sqref="J4 R5 Z7 J8 R9 AH11 J12 R13 Z15 J16 R17">
    <cfRule type="expression" dxfId="67" priority="318">
      <formula>IF(AND(G4&lt;&gt;"",H4&lt;&gt;"",G5&lt;&gt;"",H5&lt;&gt;"",I4=I5),1,0)</formula>
    </cfRule>
  </conditionalFormatting>
  <conditionalFormatting sqref="J5 R6 Z8 J9 R10 AH12 J13 R14 Z16 J17 R18">
    <cfRule type="expression" dxfId="66" priority="317">
      <formula>IF(AND(G4&lt;&gt;"",H4&lt;&gt;"",G5&lt;&gt;"",H5&lt;&gt;"",I4=I5),1,0)</formula>
    </cfRule>
  </conditionalFormatting>
  <conditionalFormatting sqref="J7">
    <cfRule type="expression" dxfId="65" priority="133">
      <formula>IF(AND(G8&lt;&gt;"",H8&lt;&gt;"",G9&lt;&gt;"",H9&lt;&gt;"",I8=I9),1,0)</formula>
    </cfRule>
  </conditionalFormatting>
  <conditionalFormatting sqref="J11">
    <cfRule type="expression" dxfId="64" priority="132">
      <formula>IF(AND(G12&lt;&gt;"",H12&lt;&gt;"",G13&lt;&gt;"",H13&lt;&gt;"",I12=I13),1,0)</formula>
    </cfRule>
  </conditionalFormatting>
  <conditionalFormatting sqref="J15">
    <cfRule type="expression" dxfId="63" priority="131">
      <formula>IF(AND(G16&lt;&gt;"",H16&lt;&gt;"",G17&lt;&gt;"",H17&lt;&gt;"",I16=I17),1,0)</formula>
    </cfRule>
  </conditionalFormatting>
  <conditionalFormatting sqref="J20 R21 Z23 J24 R25 AH27 J28 R29 Z31 J32 R33">
    <cfRule type="expression" dxfId="62" priority="60" stopIfTrue="1">
      <formula>IF(AND(G20&lt;&gt;"",H20&lt;&gt;"",G21&lt;&gt;"",H21&lt;&gt;"",I20=I21),1,0)</formula>
    </cfRule>
  </conditionalFormatting>
  <conditionalFormatting sqref="J21 R22 Z24 J25 R26 AH28 J29 R30 Z32 J33 R34">
    <cfRule type="expression" dxfId="61" priority="59">
      <formula>IF(AND(G20&lt;&gt;"",H20&lt;&gt;"",G21&lt;&gt;"",H21&lt;&gt;"",I20=I21),1,0)</formula>
    </cfRule>
  </conditionalFormatting>
  <conditionalFormatting sqref="M5">
    <cfRule type="duplicateValues" dxfId="60" priority="41"/>
  </conditionalFormatting>
  <conditionalFormatting sqref="M6">
    <cfRule type="duplicateValues" dxfId="59" priority="40"/>
  </conditionalFormatting>
  <conditionalFormatting sqref="M9">
    <cfRule type="duplicateValues" dxfId="58" priority="38"/>
  </conditionalFormatting>
  <conditionalFormatting sqref="M10">
    <cfRule type="duplicateValues" dxfId="57" priority="37"/>
  </conditionalFormatting>
  <conditionalFormatting sqref="M13">
    <cfRule type="duplicateValues" dxfId="56" priority="35"/>
  </conditionalFormatting>
  <conditionalFormatting sqref="M14">
    <cfRule type="duplicateValues" dxfId="55" priority="34"/>
  </conditionalFormatting>
  <conditionalFormatting sqref="M17">
    <cfRule type="duplicateValues" dxfId="54" priority="32"/>
  </conditionalFormatting>
  <conditionalFormatting sqref="M18">
    <cfRule type="duplicateValues" dxfId="53" priority="31"/>
  </conditionalFormatting>
  <conditionalFormatting sqref="M21">
    <cfRule type="duplicateValues" dxfId="52" priority="29"/>
  </conditionalFormatting>
  <conditionalFormatting sqref="M22">
    <cfRule type="duplicateValues" dxfId="51" priority="28"/>
  </conditionalFormatting>
  <conditionalFormatting sqref="M25">
    <cfRule type="duplicateValues" dxfId="50" priority="26"/>
  </conditionalFormatting>
  <conditionalFormatting sqref="M26">
    <cfRule type="duplicateValues" dxfId="49" priority="25"/>
  </conditionalFormatting>
  <conditionalFormatting sqref="M29">
    <cfRule type="duplicateValues" dxfId="48" priority="23"/>
  </conditionalFormatting>
  <conditionalFormatting sqref="M30">
    <cfRule type="duplicateValues" dxfId="47" priority="22"/>
  </conditionalFormatting>
  <conditionalFormatting sqref="M33">
    <cfRule type="duplicateValues" dxfId="46" priority="20"/>
  </conditionalFormatting>
  <conditionalFormatting sqref="M34">
    <cfRule type="duplicateValues" dxfId="45" priority="19"/>
  </conditionalFormatting>
  <conditionalFormatting sqref="N1:N4 N7:N8 N11:N12 N15:N16 N19:N20 N23:N24 N27:N28 N31:N32 N35:N1048576">
    <cfRule type="duplicateValues" dxfId="44" priority="152"/>
  </conditionalFormatting>
  <conditionalFormatting sqref="N5:N6">
    <cfRule type="duplicateValues" dxfId="43" priority="42"/>
  </conditionalFormatting>
  <conditionalFormatting sqref="N9:N10">
    <cfRule type="duplicateValues" dxfId="42" priority="39"/>
  </conditionalFormatting>
  <conditionalFormatting sqref="N13:N14">
    <cfRule type="duplicateValues" dxfId="41" priority="36"/>
  </conditionalFormatting>
  <conditionalFormatting sqref="N17:N18">
    <cfRule type="duplicateValues" dxfId="40" priority="33"/>
  </conditionalFormatting>
  <conditionalFormatting sqref="N21:N22">
    <cfRule type="duplicateValues" dxfId="39" priority="30"/>
  </conditionalFormatting>
  <conditionalFormatting sqref="N25:N26">
    <cfRule type="duplicateValues" dxfId="38" priority="27"/>
  </conditionalFormatting>
  <conditionalFormatting sqref="N29:N30">
    <cfRule type="duplicateValues" dxfId="37" priority="24"/>
  </conditionalFormatting>
  <conditionalFormatting sqref="N33:N34">
    <cfRule type="duplicateValues" dxfId="36" priority="21"/>
  </conditionalFormatting>
  <conditionalFormatting sqref="R4">
    <cfRule type="expression" dxfId="35" priority="127">
      <formula>IF(AND(O5&lt;&gt;"",P5&lt;&gt;"",O6&lt;&gt;"",P6&lt;&gt;"",Q5=Q6),1,0)</formula>
    </cfRule>
  </conditionalFormatting>
  <conditionalFormatting sqref="R8">
    <cfRule type="expression" dxfId="34" priority="128">
      <formula>IF(AND(O9&lt;&gt;"",P9&lt;&gt;"",O10&lt;&gt;"",P10&lt;&gt;"",Q9=Q10),1,0)</formula>
    </cfRule>
  </conditionalFormatting>
  <conditionalFormatting sqref="R12">
    <cfRule type="expression" dxfId="33" priority="129">
      <formula>IF(AND(O13&lt;&gt;"",P13&lt;&gt;"",O14&lt;&gt;"",P14&lt;&gt;"",Q13=Q14),1,0)</formula>
    </cfRule>
  </conditionalFormatting>
  <conditionalFormatting sqref="R16">
    <cfRule type="expression" dxfId="32" priority="130">
      <formula>IF(AND(O17&lt;&gt;"",P17&lt;&gt;"",O18&lt;&gt;"",P18&lt;&gt;"",Q17=Q18),1,0)</formula>
    </cfRule>
  </conditionalFormatting>
  <conditionalFormatting sqref="U7">
    <cfRule type="duplicateValues" dxfId="31" priority="8"/>
  </conditionalFormatting>
  <conditionalFormatting sqref="U8">
    <cfRule type="duplicateValues" dxfId="30" priority="7"/>
  </conditionalFormatting>
  <conditionalFormatting sqref="U15">
    <cfRule type="duplicateValues" dxfId="29" priority="11"/>
  </conditionalFormatting>
  <conditionalFormatting sqref="U16">
    <cfRule type="duplicateValues" dxfId="28" priority="10"/>
  </conditionalFormatting>
  <conditionalFormatting sqref="U23">
    <cfRule type="duplicateValues" dxfId="27" priority="14"/>
  </conditionalFormatting>
  <conditionalFormatting sqref="U24">
    <cfRule type="duplicateValues" dxfId="26" priority="13"/>
  </conditionalFormatting>
  <conditionalFormatting sqref="U31">
    <cfRule type="duplicateValues" dxfId="25" priority="17"/>
  </conditionalFormatting>
  <conditionalFormatting sqref="U32">
    <cfRule type="duplicateValues" dxfId="24" priority="16"/>
  </conditionalFormatting>
  <conditionalFormatting sqref="V7:V8">
    <cfRule type="duplicateValues" dxfId="23" priority="9"/>
  </conditionalFormatting>
  <conditionalFormatting sqref="V15:V16">
    <cfRule type="duplicateValues" dxfId="22" priority="12"/>
  </conditionalFormatting>
  <conditionalFormatting sqref="V23:V24">
    <cfRule type="duplicateValues" dxfId="21" priority="15"/>
  </conditionalFormatting>
  <conditionalFormatting sqref="V31:V32">
    <cfRule type="duplicateValues" dxfId="20" priority="18"/>
  </conditionalFormatting>
  <conditionalFormatting sqref="Z6 AH10 Z14 J19 R20 Z22 J23 R24 AH26 J27 R28 Z30 J31 R32">
    <cfRule type="expression" dxfId="19" priority="228">
      <formula>IF(AND(G7&lt;&gt;"",H7&lt;&gt;"",G8&lt;&gt;"",H8&lt;&gt;"",I7=I8),1,0)</formula>
    </cfRule>
  </conditionalFormatting>
  <conditionalFormatting sqref="AC11">
    <cfRule type="duplicateValues" dxfId="18" priority="5"/>
  </conditionalFormatting>
  <conditionalFormatting sqref="AC12">
    <cfRule type="duplicateValues" dxfId="17" priority="4"/>
  </conditionalFormatting>
  <conditionalFormatting sqref="AC27">
    <cfRule type="duplicateValues" dxfId="16" priority="2"/>
  </conditionalFormatting>
  <conditionalFormatting sqref="AC28">
    <cfRule type="duplicateValues" dxfId="15" priority="1"/>
  </conditionalFormatting>
  <conditionalFormatting sqref="AD11:AD12">
    <cfRule type="duplicateValues" dxfId="14" priority="6"/>
  </conditionalFormatting>
  <conditionalFormatting sqref="AD27:AD28">
    <cfRule type="duplicateValues" dxfId="13" priority="3"/>
  </conditionalFormatting>
  <conditionalFormatting sqref="AK19">
    <cfRule type="duplicateValues" dxfId="12" priority="115"/>
  </conditionalFormatting>
  <conditionalFormatting sqref="AK20">
    <cfRule type="duplicateValues" dxfId="11" priority="57"/>
  </conditionalFormatting>
  <conditionalFormatting sqref="AL19">
    <cfRule type="duplicateValues" dxfId="10" priority="116"/>
  </conditionalFormatting>
  <conditionalFormatting sqref="AL20">
    <cfRule type="duplicateValues" dxfId="9" priority="58"/>
  </conditionalFormatting>
  <conditionalFormatting sqref="AN18">
    <cfRule type="expression" dxfId="8" priority="368">
      <formula>IF(AND(AM19&lt;&gt;"",AM20&lt;&gt;"",$AM$19=$AM$20),1,0)</formula>
    </cfRule>
  </conditionalFormatting>
  <conditionalFormatting sqref="AN19">
    <cfRule type="expression" dxfId="7" priority="366" stopIfTrue="1">
      <formula>IF(AND(AM19&lt;&gt;"",AM20&lt;&gt;"",$AM$19=$AM$20),1,0)</formula>
    </cfRule>
  </conditionalFormatting>
  <conditionalFormatting sqref="AN20">
    <cfRule type="expression" dxfId="6" priority="367">
      <formula>IF(AND(AM19&lt;&gt;"",AM20&lt;&gt;"",$AM$19=$AM$20),1,0)</formula>
    </cfRule>
  </conditionalFormatting>
  <dataValidations count="2">
    <dataValidation type="whole" allowBlank="1" showInputMessage="1" showErrorMessage="1" errorTitle="Introduce a number" error="0-100" sqref="AM19:AN20 AH11:AH12 AH27:AH28 AE27:AF28 AE11:AF12 Z7:Z8 W7:X8 W15:X16 Z15:Z16 Z23:Z24 W23:X24 W31:X32 Z31:Z32 R5:R6 R9:R10 R13:R14 R17:R18 R21:R22 R25:R26 R29:R30 R33:R34 O33:P34 O29:P30 O25:P26 O21:P22 O17:P18 O13:P14 O9:P10 O5:P6 J4:J5 J8:J9 J12:J13 J16:J17 J20:J21 J24:J25 J28:J29 J32:J33 G32:H33 G28:H29 G24:H25 G20:H21 G16:H17 G12:H13 G8:H9 G4:H5" xr:uid="{394AAF90-2990-D54B-906B-C05818D67B62}">
      <formula1>0</formula1>
      <formula2>100</formula2>
    </dataValidation>
    <dataValidation type="list" allowBlank="1" showInputMessage="1" showErrorMessage="1" sqref="B2" xr:uid="{77B9D610-CAFE-BD4D-A607-780D42C33948}">
      <formula1>"Real,User"</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3">
        <x14:dataValidation type="list" allowBlank="1" showInputMessage="1" showErrorMessage="1" xr:uid="{6B1D69F6-D924-0345-BF63-94587AE534A7}">
          <x14:formula1>
            <xm:f>IF(OR(SUM(Calcs!$B$2:$B$37)=288,$C$1=288),$B$24:$B$25,C32)</xm:f>
          </x14:formula1>
          <xm:sqref>F32</xm:sqref>
        </x14:dataValidation>
        <x14:dataValidation type="list" allowBlank="1" showInputMessage="1" showErrorMessage="1" xr:uid="{F034531D-6648-2C4F-9716-9562C8DA10EC}">
          <x14:formula1>
            <xm:f>IF(OR(SUM(Calcs!$B$2:$B$37)=288,$C$1=288),$B$22:$B$23,C17)</xm:f>
          </x14:formula1>
          <xm:sqref>F33 F17</xm:sqref>
        </x14:dataValidation>
        <x14:dataValidation type="list" allowBlank="1" showInputMessage="1" showErrorMessage="1" xr:uid="{3D294853-24A4-3A46-B7A7-AEF7337DED3F}">
          <x14:formula1>
            <xm:f>IF(OR(SUM(Calcs!$B$2:$B$37)=288,$C$1=288),$B$30:$B$31,C12)</xm:f>
          </x14:formula1>
          <xm:sqref>F28 F12</xm:sqref>
        </x14:dataValidation>
        <x14:dataValidation type="list" allowBlank="1" showInputMessage="1" showErrorMessage="1" xr:uid="{AE92E534-02E9-5741-9043-BA4E03554C97}">
          <x14:formula1>
            <xm:f>IF(OR(SUM(Calcs!$B$2:$B$37)=288,$C$1=288),$B$16:$B$17,C13)</xm:f>
          </x14:formula1>
          <xm:sqref>F29 F13</xm:sqref>
        </x14:dataValidation>
        <x14:dataValidation type="list" allowBlank="1" showInputMessage="1" showErrorMessage="1" xr:uid="{EB495B86-AE38-E248-9C6D-C2667E92E651}">
          <x14:formula1>
            <xm:f>IF(OR(SUM(Calcs!$B$2:$B$37)=288,$C$1=288),$B$26:$B$27,C8)</xm:f>
          </x14:formula1>
          <xm:sqref>F24 F8</xm:sqref>
        </x14:dataValidation>
        <x14:dataValidation type="list" allowBlank="1" showInputMessage="1" showErrorMessage="1" xr:uid="{93D2B2EB-24A9-EB4F-9DA5-C5D96F7A3EC5}">
          <x14:formula1>
            <xm:f>IF(OR(SUM(Calcs!$B$2:$B$37)=288,$C$1=288),$B$20:$B$21,C9)</xm:f>
          </x14:formula1>
          <xm:sqref>F25 F9</xm:sqref>
        </x14:dataValidation>
        <x14:dataValidation type="list" allowBlank="1" showInputMessage="1" showErrorMessage="1" xr:uid="{3BD385A5-BF04-7540-B360-F37BDABA9FA9}">
          <x14:formula1>
            <xm:f>IF(OR(SUM(Calcs!$B$2:$B$37)=288,$C$1=288),$B$28:$B$29,C4)</xm:f>
          </x14:formula1>
          <xm:sqref>F20 F4</xm:sqref>
        </x14:dataValidation>
        <x14:dataValidation type="list" allowBlank="1" showInputMessage="1" showErrorMessage="1" xr:uid="{3E22B851-A935-F74F-9774-B406469338C3}">
          <x14:formula1>
            <xm:f>IF(OR(SUM(Calcs!$B$2:$B$37)=288,$C$1=288),$B$18:$B$19,C5)</xm:f>
          </x14:formula1>
          <xm:sqref>F21 F5</xm:sqref>
        </x14:dataValidation>
        <x14:dataValidation type="list" allowBlank="1" showInputMessage="1" showErrorMessage="1" xr:uid="{7623C04A-3597-294C-A9E6-0F4C44B2DC56}">
          <x14:formula1>
            <xm:f>IF(OR(SUM(Calcs!$B$2:$B$37)=288,$C$1=288),$B$12:$B$13,L6)</xm:f>
          </x14:formula1>
          <xm:sqref>N22 N6</xm:sqref>
        </x14:dataValidation>
        <x14:dataValidation type="list" allowBlank="1" showInputMessage="1" showErrorMessage="1" xr:uid="{5528A7C8-3B7A-7F43-9423-9A19544C29EE}">
          <x14:formula1>
            <xm:f>IF(OR(SUM(Calcs!$B$2:$B$37)=288,$C$1=288),$B$14:$B$15,L14)</xm:f>
          </x14:formula1>
          <xm:sqref>N30 N14</xm:sqref>
        </x14:dataValidation>
        <x14:dataValidation type="list" allowBlank="1" showInputMessage="1" showErrorMessage="1" xr:uid="{84E1737C-5FC2-704A-8005-8AD3730A3EF3}">
          <x14:formula1>
            <xm:f>IF(OR(SUM(Calcs!$B$2:$B$37)=288,$C$1=288),$B$10:$B$11,L10)</xm:f>
          </x14:formula1>
          <xm:sqref>N26 N10</xm:sqref>
        </x14:dataValidation>
        <x14:dataValidation type="list" allowBlank="1" showInputMessage="1" showErrorMessage="1" xr:uid="{A45434ED-795D-6446-B85E-1A5905CF02F6}">
          <x14:formula1>
            <xm:f>IF(OR(SUM(Calcs!$B$2:$B$37)=288,$C$1=288),$B$8:$B$9,L18)</xm:f>
          </x14:formula1>
          <xm:sqref>N18 N34</xm:sqref>
        </x14:dataValidation>
        <x14:dataValidation type="list" allowBlank="1" showInputMessage="1" showErrorMessage="1" xr:uid="{E1A8769C-540D-B04E-A862-D2B2FEFF29EE}">
          <x14:formula1>
            <xm:f>IF(OR(SUM(Calcs!$B$2:$B$37)=288,$C$1=288),$B$24:$B$25,C16)</xm:f>
          </x14:formula1>
          <xm:sqref>F16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3ADEF-2AC4-6349-8434-C710AC049EE0}">
  <sheetPr codeName="Hoja5"/>
  <dimension ref="A1:AB49"/>
  <sheetViews>
    <sheetView showGridLines="0" topLeftCell="A6" zoomScale="99" workbookViewId="0">
      <selection activeCell="C6" sqref="C6:C41"/>
    </sheetView>
  </sheetViews>
  <sheetFormatPr baseColWidth="10" defaultColWidth="10.83203125" defaultRowHeight="15"/>
  <cols>
    <col min="1" max="1" width="12.33203125" style="73" customWidth="1"/>
    <col min="2" max="2" width="22.1640625" style="73" customWidth="1"/>
    <col min="3" max="3" width="30.1640625" style="73" bestFit="1" customWidth="1"/>
    <col min="4" max="4" width="2.83203125" style="73" customWidth="1"/>
    <col min="5" max="8" width="10.83203125" style="73"/>
    <col min="9" max="9" width="2.83203125" style="73" customWidth="1"/>
    <col min="10" max="10" width="10.83203125" style="73"/>
    <col min="11" max="11" width="2.83203125" style="323" customWidth="1"/>
    <col min="12" max="28" width="10.83203125" style="323"/>
    <col min="29" max="16384" width="10.83203125" style="73"/>
  </cols>
  <sheetData>
    <row r="1" spans="1:10">
      <c r="A1" s="134"/>
      <c r="B1" s="137" t="str">
        <f>+Idiomas!D76</f>
        <v>Para el administrador de la porra</v>
      </c>
      <c r="C1" s="135"/>
      <c r="D1" s="134"/>
      <c r="E1" s="134"/>
      <c r="F1" s="134"/>
      <c r="G1" s="134"/>
      <c r="H1" s="134"/>
      <c r="I1" s="134"/>
      <c r="J1" s="134"/>
    </row>
    <row r="2" spans="1:10" ht="24">
      <c r="A2" s="134"/>
      <c r="B2" s="136"/>
      <c r="C2" s="136"/>
      <c r="D2" s="136"/>
      <c r="E2" s="134"/>
      <c r="F2" s="134"/>
      <c r="G2" s="134"/>
      <c r="H2" s="134"/>
      <c r="I2" s="134"/>
      <c r="J2" s="134"/>
    </row>
    <row r="3" spans="1:10" ht="24">
      <c r="A3" s="134"/>
      <c r="B3" s="521" t="str">
        <f>+Idiomas!D79</f>
        <v>¡No tocar nada, se rellena solo!</v>
      </c>
      <c r="C3" s="521"/>
      <c r="D3" s="521"/>
      <c r="E3" s="257"/>
      <c r="F3" s="257"/>
      <c r="G3" s="257"/>
      <c r="H3" s="257"/>
      <c r="I3" s="257"/>
      <c r="J3" s="257"/>
    </row>
    <row r="4" spans="1:10" ht="25" customHeight="1">
      <c r="A4" s="134"/>
      <c r="B4" s="136"/>
      <c r="C4" s="136"/>
      <c r="D4" s="136"/>
      <c r="E4" s="134"/>
      <c r="F4" s="134"/>
      <c r="G4" s="134"/>
      <c r="H4" s="134"/>
      <c r="I4" s="134"/>
      <c r="J4" s="134"/>
    </row>
    <row r="5" spans="1:10" ht="16" thickBot="1">
      <c r="C5" s="144" t="str">
        <f>IF(ISBLANK(Home!C13),"",Home!C13)</f>
        <v>Nombre</v>
      </c>
      <c r="E5" s="295"/>
      <c r="F5" s="295"/>
      <c r="G5" s="295"/>
      <c r="H5" s="295"/>
      <c r="I5" s="295"/>
      <c r="J5" s="295"/>
    </row>
    <row r="6" spans="1:10" ht="15" customHeight="1">
      <c r="A6" s="296"/>
      <c r="B6" s="297" t="str">
        <f>Predictor!B2</f>
        <v>Campeón</v>
      </c>
      <c r="C6" s="459" t="str">
        <f>IF(ISBLANK(Predictor!C2),"",IFERROR(IFERROR(INDEX(Idiomas!$D$313:$D$348,MATCH(Predictor!C2,Idiomas!$G$313:$G$348,0)),INDEX(Idiomas!$D$313:$D$348,MATCH(Predictor!C2,Idiomas!$H$313:$H$348,0))),""))</f>
        <v/>
      </c>
      <c r="D6" s="298"/>
      <c r="E6" s="520" t="str">
        <f>+Idiomas!D92</f>
        <v>·Copiar de la C6 a la C41 y pegarlo en el administrador donde el Predictor</v>
      </c>
      <c r="F6" s="520"/>
      <c r="G6" s="520"/>
      <c r="H6" s="520"/>
      <c r="I6" s="520"/>
      <c r="J6" s="520"/>
    </row>
    <row r="7" spans="1:10" ht="15" customHeight="1">
      <c r="A7" s="299"/>
      <c r="B7" s="300" t="str">
        <f>Predictor!B3</f>
        <v>Final</v>
      </c>
      <c r="C7" s="460" t="str">
        <f>IF(ISBLANK(Predictor!C3),"",IFERROR(IFERROR(INDEX(Idiomas!$D$313:$D$348,MATCH(Predictor!C3,Idiomas!$G$313:$G$348,0)),INDEX(Idiomas!$D$313:$D$348,MATCH(Predictor!C3,Idiomas!$H$313:$H$348,0))),""))</f>
        <v/>
      </c>
      <c r="D7" s="298"/>
      <c r="E7" s="520"/>
      <c r="F7" s="520"/>
      <c r="G7" s="520"/>
      <c r="H7" s="520"/>
      <c r="I7" s="520"/>
      <c r="J7" s="520"/>
    </row>
    <row r="8" spans="1:10" ht="15" customHeight="1">
      <c r="A8" s="301"/>
      <c r="B8" s="302" t="str">
        <f>Predictor!B4</f>
        <v>Semifinales</v>
      </c>
      <c r="C8" s="460" t="str">
        <f>IF(ISBLANK(Predictor!C4),"",IFERROR(IFERROR(INDEX(Idiomas!$D$313:$D$348,MATCH(Predictor!C4,Idiomas!$G$313:$G$348,0)),INDEX(Idiomas!$D$313:$D$348,MATCH(Predictor!C4,Idiomas!$H$313:$H$348,0))),""))</f>
        <v/>
      </c>
      <c r="D8" s="298"/>
      <c r="E8" s="263"/>
      <c r="F8" s="263"/>
      <c r="G8" s="263"/>
      <c r="H8" s="263"/>
      <c r="I8" s="263"/>
      <c r="J8" s="263"/>
    </row>
    <row r="9" spans="1:10" ht="15" customHeight="1">
      <c r="A9" s="301"/>
      <c r="B9" s="302" t="str">
        <f>Predictor!B5</f>
        <v>Semifinales</v>
      </c>
      <c r="C9" s="460" t="str">
        <f>IF(ISBLANK(Predictor!C5),"",IFERROR(IFERROR(INDEX(Idiomas!$D$313:$D$348,MATCH(Predictor!C5,Idiomas!$G$313:$G$348,0)),INDEX(Idiomas!$D$313:$D$348,MATCH(Predictor!C5,Idiomas!$H$313:$H$348,0))),""))</f>
        <v/>
      </c>
      <c r="D9" s="298"/>
      <c r="E9" s="263"/>
      <c r="F9" s="263"/>
      <c r="G9" s="263"/>
      <c r="H9" s="263"/>
      <c r="I9" s="263"/>
      <c r="J9" s="263"/>
    </row>
    <row r="10" spans="1:10" ht="15" customHeight="1">
      <c r="A10" s="303"/>
      <c r="B10" s="304" t="str">
        <f>Predictor!B6</f>
        <v>Cuartos de final</v>
      </c>
      <c r="C10" s="460" t="str">
        <f>IF(ISBLANK(Predictor!C6),"",IFERROR(IFERROR(INDEX(Idiomas!$D$313:$D$348,MATCH(Predictor!C6,Idiomas!$G$313:$G$348,0)),INDEX(Idiomas!$D$313:$D$348,MATCH(Predictor!C6,Idiomas!$H$313:$H$348,0))),""))</f>
        <v/>
      </c>
      <c r="D10" s="298"/>
      <c r="E10" s="263"/>
      <c r="F10" s="263"/>
      <c r="G10" s="263"/>
      <c r="H10" s="263"/>
      <c r="I10" s="263"/>
      <c r="J10" s="263"/>
    </row>
    <row r="11" spans="1:10" ht="15" customHeight="1">
      <c r="A11" s="303"/>
      <c r="B11" s="304" t="str">
        <f>Predictor!B7</f>
        <v>Cuartos de final</v>
      </c>
      <c r="C11" s="460" t="str">
        <f>IF(ISBLANK(Predictor!C7),"",IFERROR(IFERROR(INDEX(Idiomas!$D$313:$D$348,MATCH(Predictor!C7,Idiomas!$G$313:$G$348,0)),INDEX(Idiomas!$D$313:$D$348,MATCH(Predictor!C7,Idiomas!$H$313:$H$348,0))),""))</f>
        <v/>
      </c>
      <c r="D11" s="298"/>
      <c r="E11" s="263"/>
      <c r="F11" s="263"/>
      <c r="G11" s="263"/>
      <c r="H11" s="263"/>
      <c r="I11" s="263"/>
      <c r="J11" s="263"/>
    </row>
    <row r="12" spans="1:10" ht="15" customHeight="1">
      <c r="A12" s="303"/>
      <c r="B12" s="304" t="str">
        <f>Predictor!B8</f>
        <v>Cuartos de final</v>
      </c>
      <c r="C12" s="460" t="str">
        <f>IF(ISBLANK(Predictor!C8),"",IFERROR(IFERROR(INDEX(Idiomas!$D$313:$D$348,MATCH(Predictor!C8,Idiomas!$G$313:$G$348,0)),INDEX(Idiomas!$D$313:$D$348,MATCH(Predictor!C8,Idiomas!$H$313:$H$348,0))),""))</f>
        <v/>
      </c>
      <c r="D12" s="298"/>
      <c r="E12" s="263"/>
      <c r="F12" s="263"/>
      <c r="G12" s="263"/>
      <c r="H12" s="263"/>
      <c r="I12" s="263"/>
      <c r="J12" s="263"/>
    </row>
    <row r="13" spans="1:10" ht="15" customHeight="1">
      <c r="A13" s="303"/>
      <c r="B13" s="304" t="str">
        <f>Predictor!B9</f>
        <v>Cuartos de final</v>
      </c>
      <c r="C13" s="460" t="str">
        <f>IF(ISBLANK(Predictor!C9),"",IFERROR(IFERROR(INDEX(Idiomas!$D$313:$D$348,MATCH(Predictor!C9,Idiomas!$G$313:$G$348,0)),INDEX(Idiomas!$D$313:$D$348,MATCH(Predictor!C9,Idiomas!$H$313:$H$348,0))),""))</f>
        <v/>
      </c>
      <c r="D13" s="298"/>
      <c r="E13" s="263"/>
      <c r="F13" s="263"/>
      <c r="G13" s="263"/>
      <c r="H13" s="263"/>
      <c r="I13" s="263"/>
      <c r="J13" s="263"/>
    </row>
    <row r="14" spans="1:10" ht="15" customHeight="1">
      <c r="A14" s="305"/>
      <c r="B14" s="306" t="str">
        <f>Predictor!B10</f>
        <v>Octavos de final</v>
      </c>
      <c r="C14" s="460" t="str">
        <f>IF(ISBLANK(Predictor!C10),"",IFERROR(IFERROR(INDEX(Idiomas!$D$313:$D$348,MATCH(Predictor!C10,Idiomas!$G$313:$G$348,0)),INDEX(Idiomas!$D$313:$D$348,MATCH(Predictor!C10,Idiomas!$H$313:$H$348,0))),""))</f>
        <v/>
      </c>
      <c r="D14" s="298"/>
      <c r="E14" s="263"/>
      <c r="F14" s="263"/>
      <c r="G14" s="263"/>
      <c r="H14" s="263"/>
      <c r="I14" s="263"/>
      <c r="J14" s="263"/>
    </row>
    <row r="15" spans="1:10" ht="15" customHeight="1">
      <c r="A15" s="305"/>
      <c r="B15" s="306" t="str">
        <f>Predictor!B11</f>
        <v>Octavos de final</v>
      </c>
      <c r="C15" s="460" t="str">
        <f>IF(ISBLANK(Predictor!C11),"",IFERROR(IFERROR(INDEX(Idiomas!$D$313:$D$348,MATCH(Predictor!C11,Idiomas!$G$313:$G$348,0)),INDEX(Idiomas!$D$313:$D$348,MATCH(Predictor!C11,Idiomas!$H$313:$H$348,0))),""))</f>
        <v/>
      </c>
      <c r="D15" s="298"/>
      <c r="E15" s="263"/>
      <c r="F15" s="263"/>
      <c r="G15" s="263"/>
      <c r="H15" s="263"/>
      <c r="I15" s="263"/>
      <c r="J15" s="263"/>
    </row>
    <row r="16" spans="1:10" ht="15" customHeight="1">
      <c r="A16" s="305"/>
      <c r="B16" s="306" t="str">
        <f>Predictor!B12</f>
        <v>Octavos de final</v>
      </c>
      <c r="C16" s="460" t="str">
        <f>IF(ISBLANK(Predictor!C12),"",IFERROR(IFERROR(INDEX(Idiomas!$D$313:$D$348,MATCH(Predictor!C12,Idiomas!$G$313:$G$348,0)),INDEX(Idiomas!$D$313:$D$348,MATCH(Predictor!C12,Idiomas!$H$313:$H$348,0))),""))</f>
        <v/>
      </c>
      <c r="D16" s="298"/>
      <c r="E16" s="263"/>
      <c r="F16" s="263"/>
      <c r="G16" s="263"/>
      <c r="H16" s="263"/>
      <c r="I16" s="263"/>
      <c r="J16" s="263"/>
    </row>
    <row r="17" spans="1:10" ht="15" customHeight="1">
      <c r="A17" s="305"/>
      <c r="B17" s="306" t="str">
        <f>Predictor!B13</f>
        <v>Octavos de final</v>
      </c>
      <c r="C17" s="460" t="str">
        <f>IF(ISBLANK(Predictor!C13),"",IFERROR(IFERROR(INDEX(Idiomas!$D$313:$D$348,MATCH(Predictor!C13,Idiomas!$G$313:$G$348,0)),INDEX(Idiomas!$D$313:$D$348,MATCH(Predictor!C13,Idiomas!$H$313:$H$348,0))),""))</f>
        <v/>
      </c>
      <c r="D17" s="298"/>
      <c r="E17" s="263"/>
      <c r="F17" s="263"/>
      <c r="G17" s="263"/>
      <c r="H17" s="263"/>
      <c r="I17" s="263"/>
      <c r="J17" s="263"/>
    </row>
    <row r="18" spans="1:10" ht="15" customHeight="1">
      <c r="A18" s="305"/>
      <c r="B18" s="306" t="str">
        <f>Predictor!B14</f>
        <v>Octavos de final</v>
      </c>
      <c r="C18" s="460" t="str">
        <f>IF(ISBLANK(Predictor!C14),"",IFERROR(IFERROR(INDEX(Idiomas!$D$313:$D$348,MATCH(Predictor!C14,Idiomas!$G$313:$G$348,0)),INDEX(Idiomas!$D$313:$D$348,MATCH(Predictor!C14,Idiomas!$H$313:$H$348,0))),""))</f>
        <v/>
      </c>
      <c r="D18" s="298"/>
      <c r="E18" s="263"/>
      <c r="F18" s="263"/>
      <c r="G18" s="263"/>
      <c r="H18" s="263"/>
      <c r="I18" s="263"/>
      <c r="J18" s="263"/>
    </row>
    <row r="19" spans="1:10" ht="15" customHeight="1">
      <c r="A19" s="305"/>
      <c r="B19" s="306" t="str">
        <f>Predictor!B15</f>
        <v>Octavos de final</v>
      </c>
      <c r="C19" s="460" t="str">
        <f>IF(ISBLANK(Predictor!C15),"",IFERROR(IFERROR(INDEX(Idiomas!$D$313:$D$348,MATCH(Predictor!C15,Idiomas!$G$313:$G$348,0)),INDEX(Idiomas!$D$313:$D$348,MATCH(Predictor!C15,Idiomas!$H$313:$H$348,0))),""))</f>
        <v/>
      </c>
      <c r="D19" s="298"/>
      <c r="E19" s="263"/>
      <c r="F19" s="263"/>
      <c r="G19" s="263"/>
      <c r="H19" s="263"/>
      <c r="I19" s="263"/>
      <c r="J19" s="263"/>
    </row>
    <row r="20" spans="1:10" ht="15" customHeight="1">
      <c r="A20" s="305"/>
      <c r="B20" s="306" t="str">
        <f>Predictor!B16</f>
        <v>Octavos de final</v>
      </c>
      <c r="C20" s="460" t="str">
        <f>IF(ISBLANK(Predictor!C16),"",IFERROR(IFERROR(INDEX(Idiomas!$D$313:$D$348,MATCH(Predictor!C16,Idiomas!$G$313:$G$348,0)),INDEX(Idiomas!$D$313:$D$348,MATCH(Predictor!C16,Idiomas!$H$313:$H$348,0))),""))</f>
        <v/>
      </c>
      <c r="D20" s="298"/>
      <c r="E20" s="263"/>
      <c r="F20" s="263"/>
      <c r="G20" s="263"/>
      <c r="H20" s="263"/>
      <c r="I20" s="263"/>
      <c r="J20" s="263"/>
    </row>
    <row r="21" spans="1:10" ht="15" customHeight="1">
      <c r="A21" s="305"/>
      <c r="B21" s="306" t="str">
        <f>Predictor!B17</f>
        <v>Octavos de final</v>
      </c>
      <c r="C21" s="460" t="str">
        <f>IF(ISBLANK(Predictor!C17),"",IFERROR(IFERROR(INDEX(Idiomas!$D$313:$D$348,MATCH(Predictor!C17,Idiomas!$G$313:$G$348,0)),INDEX(Idiomas!$D$313:$D$348,MATCH(Predictor!C17,Idiomas!$H$313:$H$348,0))),""))</f>
        <v/>
      </c>
      <c r="D21" s="298"/>
      <c r="E21" s="263"/>
      <c r="F21" s="263"/>
      <c r="G21" s="263"/>
      <c r="H21" s="263"/>
      <c r="I21" s="263"/>
      <c r="J21" s="263"/>
    </row>
    <row r="22" spans="1:10" ht="15" customHeight="1">
      <c r="A22" s="307"/>
      <c r="B22" s="308" t="str">
        <f>Predictor!B18</f>
        <v>Playoffs</v>
      </c>
      <c r="C22" s="460" t="str">
        <f>IF(ISBLANK(Predictor!C18),"",IFERROR(IFERROR(INDEX(Idiomas!$D$313:$D$348,MATCH(Predictor!C18,Idiomas!$G$313:$G$348,0)),INDEX(Idiomas!$D$313:$D$348,MATCH(Predictor!C18,Idiomas!$H$313:$H$348,0))),""))</f>
        <v/>
      </c>
      <c r="D22" s="298"/>
      <c r="E22" s="263"/>
      <c r="F22" s="263"/>
      <c r="G22" s="263"/>
      <c r="H22" s="263"/>
      <c r="I22" s="263"/>
      <c r="J22" s="263"/>
    </row>
    <row r="23" spans="1:10" ht="15" customHeight="1">
      <c r="A23" s="307"/>
      <c r="B23" s="308" t="str">
        <f>Predictor!B19</f>
        <v>Playoffs</v>
      </c>
      <c r="C23" s="460" t="str">
        <f>IF(ISBLANK(Predictor!C19),"",IFERROR(IFERROR(INDEX(Idiomas!$D$313:$D$348,MATCH(Predictor!C19,Idiomas!$G$313:$G$348,0)),INDEX(Idiomas!$D$313:$D$348,MATCH(Predictor!C19,Idiomas!$H$313:$H$348,0))),""))</f>
        <v/>
      </c>
      <c r="D23" s="298"/>
      <c r="E23" s="263"/>
      <c r="F23" s="263"/>
      <c r="G23" s="263"/>
      <c r="H23" s="263"/>
      <c r="I23" s="263"/>
      <c r="J23" s="263"/>
    </row>
    <row r="24" spans="1:10" ht="15" customHeight="1">
      <c r="A24" s="307"/>
      <c r="B24" s="308" t="str">
        <f>Predictor!B20</f>
        <v>Playoffs</v>
      </c>
      <c r="C24" s="460" t="str">
        <f>IF(ISBLANK(Predictor!C20),"",IFERROR(IFERROR(INDEX(Idiomas!$D$313:$D$348,MATCH(Predictor!C20,Idiomas!$G$313:$G$348,0)),INDEX(Idiomas!$D$313:$D$348,MATCH(Predictor!C20,Idiomas!$H$313:$H$348,0))),""))</f>
        <v/>
      </c>
      <c r="D24" s="298"/>
      <c r="E24" s="263"/>
      <c r="F24" s="263"/>
      <c r="G24" s="263"/>
      <c r="H24" s="263"/>
      <c r="I24" s="263"/>
      <c r="J24" s="263"/>
    </row>
    <row r="25" spans="1:10" ht="15" customHeight="1">
      <c r="A25" s="307"/>
      <c r="B25" s="308" t="str">
        <f>Predictor!B21</f>
        <v>Playoffs</v>
      </c>
      <c r="C25" s="460" t="str">
        <f>IF(ISBLANK(Predictor!C21),"",IFERROR(IFERROR(INDEX(Idiomas!$D$313:$D$348,MATCH(Predictor!C21,Idiomas!$G$313:$G$348,0)),INDEX(Idiomas!$D$313:$D$348,MATCH(Predictor!C21,Idiomas!$H$313:$H$348,0))),""))</f>
        <v/>
      </c>
      <c r="D25" s="298"/>
      <c r="E25" s="263"/>
      <c r="F25" s="263"/>
      <c r="G25" s="263"/>
      <c r="H25" s="263"/>
      <c r="I25" s="263"/>
      <c r="J25" s="263"/>
    </row>
    <row r="26" spans="1:10" ht="15" customHeight="1">
      <c r="A26" s="307"/>
      <c r="B26" s="308" t="str">
        <f>Predictor!B22</f>
        <v>Playoffs</v>
      </c>
      <c r="C26" s="460" t="str">
        <f>IF(ISBLANK(Predictor!C22),"",IFERROR(IFERROR(INDEX(Idiomas!$D$313:$D$348,MATCH(Predictor!C22,Idiomas!$G$313:$G$348,0)),INDEX(Idiomas!$D$313:$D$348,MATCH(Predictor!C22,Idiomas!$H$313:$H$348,0))),""))</f>
        <v/>
      </c>
      <c r="D26" s="298"/>
      <c r="E26" s="263"/>
      <c r="F26" s="263"/>
      <c r="G26" s="263"/>
      <c r="H26" s="263"/>
      <c r="I26" s="263"/>
      <c r="J26" s="263"/>
    </row>
    <row r="27" spans="1:10" ht="15" customHeight="1">
      <c r="A27" s="307"/>
      <c r="B27" s="308" t="str">
        <f>Predictor!B23</f>
        <v>Playoffs</v>
      </c>
      <c r="C27" s="460" t="str">
        <f>IF(ISBLANK(Predictor!C23),"",IFERROR(IFERROR(INDEX(Idiomas!$D$313:$D$348,MATCH(Predictor!C23,Idiomas!$G$313:$G$348,0)),INDEX(Idiomas!$D$313:$D$348,MATCH(Predictor!C23,Idiomas!$H$313:$H$348,0))),""))</f>
        <v/>
      </c>
      <c r="D27" s="298"/>
      <c r="E27" s="263"/>
      <c r="F27" s="263"/>
      <c r="G27" s="263"/>
      <c r="H27" s="263"/>
      <c r="I27" s="263"/>
      <c r="J27" s="263"/>
    </row>
    <row r="28" spans="1:10" ht="15" customHeight="1">
      <c r="A28" s="307"/>
      <c r="B28" s="308" t="str">
        <f>Predictor!B24</f>
        <v>Playoffs</v>
      </c>
      <c r="C28" s="460" t="str">
        <f>IF(ISBLANK(Predictor!C24),"",IFERROR(IFERROR(INDEX(Idiomas!$D$313:$D$348,MATCH(Predictor!C24,Idiomas!$G$313:$G$348,0)),INDEX(Idiomas!$D$313:$D$348,MATCH(Predictor!C24,Idiomas!$H$313:$H$348,0))),""))</f>
        <v/>
      </c>
      <c r="D28" s="298"/>
      <c r="E28" s="263"/>
      <c r="F28" s="263"/>
      <c r="G28" s="263"/>
      <c r="H28" s="263"/>
      <c r="I28" s="263"/>
      <c r="J28" s="263"/>
    </row>
    <row r="29" spans="1:10" ht="15" customHeight="1">
      <c r="A29" s="307"/>
      <c r="B29" s="308" t="str">
        <f>Predictor!B25</f>
        <v>Playoffs</v>
      </c>
      <c r="C29" s="460" t="str">
        <f>IF(ISBLANK(Predictor!C25),"",IFERROR(IFERROR(INDEX(Idiomas!$D$313:$D$348,MATCH(Predictor!C25,Idiomas!$G$313:$G$348,0)),INDEX(Idiomas!$D$313:$D$348,MATCH(Predictor!C25,Idiomas!$H$313:$H$348,0))),""))</f>
        <v/>
      </c>
      <c r="D29" s="298"/>
      <c r="E29" s="263"/>
      <c r="F29" s="263"/>
      <c r="G29" s="263"/>
      <c r="H29" s="263"/>
      <c r="I29" s="263"/>
      <c r="J29" s="263"/>
    </row>
    <row r="30" spans="1:10" ht="15" customHeight="1">
      <c r="A30" s="309"/>
      <c r="B30" s="310" t="str">
        <f>Predictor!B26</f>
        <v>Fase de Liga</v>
      </c>
      <c r="C30" s="460" t="str">
        <f>IF(ISBLANK(Predictor!C26),"",IFERROR(IFERROR(INDEX(Idiomas!$D$313:$D$348,MATCH(Predictor!C26,Idiomas!$G$313:$G$348,0)),INDEX(Idiomas!$D$313:$D$348,MATCH(Predictor!C26,Idiomas!$H$313:$H$348,0))),""))</f>
        <v/>
      </c>
      <c r="D30" s="298"/>
      <c r="E30" s="263"/>
      <c r="F30" s="263"/>
      <c r="G30" s="263"/>
      <c r="H30" s="263"/>
      <c r="I30" s="263"/>
      <c r="J30" s="263"/>
    </row>
    <row r="31" spans="1:10" ht="15" customHeight="1">
      <c r="A31" s="309"/>
      <c r="B31" s="310" t="str">
        <f>Predictor!B27</f>
        <v>Fase de Liga</v>
      </c>
      <c r="C31" s="460" t="str">
        <f>IF(ISBLANK(Predictor!C27),"",IFERROR(IFERROR(INDEX(Idiomas!$D$313:$D$348,MATCH(Predictor!C27,Idiomas!$G$313:$G$348,0)),INDEX(Idiomas!$D$313:$D$348,MATCH(Predictor!C27,Idiomas!$H$313:$H$348,0))),""))</f>
        <v/>
      </c>
      <c r="D31" s="298"/>
      <c r="E31" s="263"/>
      <c r="F31" s="263"/>
      <c r="G31" s="263"/>
      <c r="H31" s="263"/>
      <c r="I31" s="263"/>
      <c r="J31" s="263"/>
    </row>
    <row r="32" spans="1:10" ht="15" customHeight="1">
      <c r="A32" s="309"/>
      <c r="B32" s="310" t="str">
        <f>Predictor!B28</f>
        <v>Fase de Liga</v>
      </c>
      <c r="C32" s="460" t="str">
        <f>IF(ISBLANK(Predictor!C28),"",IFERROR(IFERROR(INDEX(Idiomas!$D$313:$D$348,MATCH(Predictor!C28,Idiomas!$G$313:$G$348,0)),INDEX(Idiomas!$D$313:$D$348,MATCH(Predictor!C28,Idiomas!$H$313:$H$348,0))),""))</f>
        <v/>
      </c>
      <c r="D32" s="298"/>
      <c r="E32" s="263"/>
      <c r="F32" s="263"/>
      <c r="G32" s="263"/>
      <c r="H32" s="263"/>
      <c r="I32" s="263"/>
      <c r="J32" s="263"/>
    </row>
    <row r="33" spans="1:10" ht="15" customHeight="1">
      <c r="A33" s="309"/>
      <c r="B33" s="310" t="str">
        <f>Predictor!B29</f>
        <v>Fase de Liga</v>
      </c>
      <c r="C33" s="460" t="str">
        <f>IF(ISBLANK(Predictor!C29),"",IFERROR(IFERROR(INDEX(Idiomas!$D$313:$D$348,MATCH(Predictor!C29,Idiomas!$G$313:$G$348,0)),INDEX(Idiomas!$D$313:$D$348,MATCH(Predictor!C29,Idiomas!$H$313:$H$348,0))),""))</f>
        <v/>
      </c>
      <c r="D33" s="298"/>
      <c r="E33" s="263"/>
      <c r="F33" s="263"/>
      <c r="G33" s="263"/>
      <c r="H33" s="263"/>
      <c r="I33" s="263"/>
      <c r="J33" s="263"/>
    </row>
    <row r="34" spans="1:10" ht="15" customHeight="1">
      <c r="A34" s="309"/>
      <c r="B34" s="310" t="str">
        <f>Predictor!B30</f>
        <v>Fase de Liga</v>
      </c>
      <c r="C34" s="460" t="str">
        <f>IF(ISBLANK(Predictor!C30),"",IFERROR(IFERROR(INDEX(Idiomas!$D$313:$D$348,MATCH(Predictor!C30,Idiomas!$G$313:$G$348,0)),INDEX(Idiomas!$D$313:$D$348,MATCH(Predictor!C30,Idiomas!$H$313:$H$348,0))),""))</f>
        <v/>
      </c>
      <c r="D34" s="298"/>
      <c r="E34" s="263"/>
      <c r="F34" s="263"/>
      <c r="G34" s="263"/>
      <c r="H34" s="263"/>
      <c r="I34" s="263"/>
      <c r="J34" s="263"/>
    </row>
    <row r="35" spans="1:10" ht="15" customHeight="1">
      <c r="A35" s="309"/>
      <c r="B35" s="310" t="str">
        <f>Predictor!B31</f>
        <v>Fase de Liga</v>
      </c>
      <c r="C35" s="460" t="str">
        <f>IF(ISBLANK(Predictor!C31),"",IFERROR(IFERROR(INDEX(Idiomas!$D$313:$D$348,MATCH(Predictor!C31,Idiomas!$G$313:$G$348,0)),INDEX(Idiomas!$D$313:$D$348,MATCH(Predictor!C31,Idiomas!$H$313:$H$348,0))),""))</f>
        <v/>
      </c>
      <c r="D35" s="298"/>
      <c r="E35" s="263"/>
      <c r="F35" s="263"/>
      <c r="G35" s="263"/>
      <c r="H35" s="263"/>
      <c r="I35" s="263"/>
      <c r="J35" s="263"/>
    </row>
    <row r="36" spans="1:10" ht="15" customHeight="1">
      <c r="A36" s="309"/>
      <c r="B36" s="310" t="str">
        <f>Predictor!B32</f>
        <v>Fase de Liga</v>
      </c>
      <c r="C36" s="460" t="str">
        <f>IF(ISBLANK(Predictor!C32),"",IFERROR(IFERROR(INDEX(Idiomas!$D$313:$D$348,MATCH(Predictor!C32,Idiomas!$G$313:$G$348,0)),INDEX(Idiomas!$D$313:$D$348,MATCH(Predictor!C32,Idiomas!$H$313:$H$348,0))),""))</f>
        <v/>
      </c>
      <c r="D36" s="298"/>
      <c r="E36" s="263"/>
      <c r="F36" s="263"/>
      <c r="G36" s="263"/>
      <c r="H36" s="263"/>
      <c r="I36" s="263"/>
      <c r="J36" s="263"/>
    </row>
    <row r="37" spans="1:10" ht="15" customHeight="1">
      <c r="A37" s="309"/>
      <c r="B37" s="310" t="str">
        <f>Predictor!B33</f>
        <v>Fase de Liga</v>
      </c>
      <c r="C37" s="460" t="str">
        <f>IF(ISBLANK(Predictor!C33),"",IFERROR(IFERROR(INDEX(Idiomas!$D$313:$D$348,MATCH(Predictor!C33,Idiomas!$G$313:$G$348,0)),INDEX(Idiomas!$D$313:$D$348,MATCH(Predictor!C33,Idiomas!$H$313:$H$348,0))),""))</f>
        <v/>
      </c>
      <c r="D37" s="298"/>
      <c r="E37" s="263"/>
      <c r="F37" s="263"/>
      <c r="G37" s="263"/>
      <c r="H37" s="263"/>
      <c r="I37" s="263"/>
      <c r="J37" s="263"/>
    </row>
    <row r="38" spans="1:10" ht="15" customHeight="1">
      <c r="A38" s="309"/>
      <c r="B38" s="310" t="str">
        <f>Predictor!B34</f>
        <v>Fase de Liga</v>
      </c>
      <c r="C38" s="460" t="str">
        <f>IF(ISBLANK(Predictor!C34),"",IFERROR(IFERROR(INDEX(Idiomas!$D$313:$D$348,MATCH(Predictor!C34,Idiomas!$G$313:$G$348,0)),INDEX(Idiomas!$D$313:$D$348,MATCH(Predictor!C34,Idiomas!$H$313:$H$348,0))),""))</f>
        <v/>
      </c>
      <c r="D38" s="298"/>
      <c r="E38" s="263"/>
      <c r="F38" s="263"/>
      <c r="G38" s="263"/>
      <c r="H38" s="263"/>
      <c r="I38" s="263"/>
      <c r="J38" s="263"/>
    </row>
    <row r="39" spans="1:10" ht="15" customHeight="1">
      <c r="A39" s="309"/>
      <c r="B39" s="310" t="str">
        <f>Predictor!B35</f>
        <v>Fase de Liga</v>
      </c>
      <c r="C39" s="460" t="str">
        <f>IF(ISBLANK(Predictor!C35),"",IFERROR(IFERROR(INDEX(Idiomas!$D$313:$D$348,MATCH(Predictor!C35,Idiomas!$G$313:$G$348,0)),INDEX(Idiomas!$D$313:$D$348,MATCH(Predictor!C35,Idiomas!$H$313:$H$348,0))),""))</f>
        <v/>
      </c>
      <c r="D39" s="298"/>
      <c r="E39" s="263"/>
      <c r="F39" s="263"/>
      <c r="G39" s="263"/>
      <c r="H39" s="263"/>
      <c r="I39" s="263"/>
      <c r="J39" s="263"/>
    </row>
    <row r="40" spans="1:10" ht="15" customHeight="1">
      <c r="A40" s="309"/>
      <c r="B40" s="310" t="str">
        <f>Predictor!B36</f>
        <v>Fase de Liga</v>
      </c>
      <c r="C40" s="460" t="str">
        <f>IF(ISBLANK(Predictor!C36),"",IFERROR(IFERROR(INDEX(Idiomas!$D$313:$D$348,MATCH(Predictor!C36,Idiomas!$G$313:$G$348,0)),INDEX(Idiomas!$D$313:$D$348,MATCH(Predictor!C36,Idiomas!$H$313:$H$348,0))),""))</f>
        <v/>
      </c>
      <c r="D40" s="298"/>
      <c r="E40" s="263"/>
      <c r="F40" s="263"/>
      <c r="G40" s="263"/>
      <c r="H40" s="263"/>
      <c r="I40" s="263"/>
      <c r="J40" s="263"/>
    </row>
    <row r="41" spans="1:10" ht="16" customHeight="1" thickBot="1">
      <c r="A41" s="311"/>
      <c r="B41" s="312" t="str">
        <f>Predictor!B37</f>
        <v>Fase de Liga</v>
      </c>
      <c r="C41" s="461" t="str">
        <f>IF(ISBLANK(Predictor!C37),"",IFERROR(IFERROR(INDEX(Idiomas!$D$313:$D$348,MATCH(Predictor!C37,Idiomas!$G$313:$G$348,0)),INDEX(Idiomas!$D$313:$D$348,MATCH(Predictor!C37,Idiomas!$H$313:$H$348,0))),""))</f>
        <v/>
      </c>
      <c r="D41" s="298"/>
      <c r="E41" s="263"/>
      <c r="F41" s="263"/>
      <c r="G41" s="263"/>
      <c r="H41" s="263"/>
      <c r="I41" s="263"/>
      <c r="J41" s="263"/>
    </row>
    <row r="42" spans="1:10" ht="15" customHeight="1"/>
    <row r="43" spans="1:10" ht="15" customHeight="1"/>
    <row r="44" spans="1:10" ht="15" customHeight="1"/>
    <row r="45" spans="1:10" ht="15" customHeight="1"/>
    <row r="46" spans="1:10" ht="15" customHeight="1"/>
    <row r="47" spans="1:10" ht="15" customHeight="1"/>
    <row r="48" spans="1:10" ht="15" customHeight="1"/>
    <row r="49" ht="15" customHeight="1"/>
  </sheetData>
  <sheetProtection algorithmName="SHA-512" hashValue="LOk8wboviD+c2MpC+0IE1Rtck4PV0Jy+zmk6a4lCTiGfGe/dques162jCJg2Xh03J24EEc0L8l2QmwE4VM+dXA==" saltValue="36MlUz+Yl2NxLLoqPwRRbg==" spinCount="100000" sheet="1" objects="1" scenarios="1"/>
  <mergeCells count="2">
    <mergeCell ref="E6:J7"/>
    <mergeCell ref="B3:D3"/>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B6A7-70E1-B34A-9A4A-98C9AE873525}">
  <sheetPr codeName="Hoja6"/>
  <dimension ref="A1:K226"/>
  <sheetViews>
    <sheetView showGridLines="0" zoomScale="96" workbookViewId="0">
      <selection activeCell="C6" sqref="C6:C216"/>
    </sheetView>
  </sheetViews>
  <sheetFormatPr baseColWidth="10" defaultColWidth="10.83203125" defaultRowHeight="15"/>
  <cols>
    <col min="1" max="1" width="7.5" style="73" customWidth="1"/>
    <col min="2" max="2" width="44.5" style="73" bestFit="1" customWidth="1"/>
    <col min="3" max="3" width="17.33203125" style="73" customWidth="1"/>
    <col min="4" max="8" width="10.83203125" style="73"/>
    <col min="9" max="9" width="2.83203125" style="73" customWidth="1"/>
    <col min="10" max="10" width="10.83203125" style="73"/>
    <col min="11" max="11" width="2.83203125" style="73" customWidth="1"/>
    <col min="12" max="16384" width="10.83203125" style="73"/>
  </cols>
  <sheetData>
    <row r="1" spans="1:11">
      <c r="A1" s="134"/>
      <c r="B1" s="137" t="str">
        <f>+Idiomas!D76</f>
        <v>Para el administrador de la porra</v>
      </c>
      <c r="C1" s="135"/>
      <c r="D1" s="134"/>
      <c r="E1" s="134"/>
      <c r="F1" s="134"/>
      <c r="G1" s="134"/>
      <c r="H1" s="134"/>
      <c r="I1" s="134"/>
      <c r="J1" s="134"/>
      <c r="K1" s="134"/>
    </row>
    <row r="2" spans="1:11" ht="16" customHeight="1">
      <c r="A2" s="134"/>
      <c r="B2" s="136"/>
      <c r="C2" s="136"/>
      <c r="D2" s="136"/>
      <c r="E2" s="134"/>
      <c r="F2" s="134"/>
      <c r="G2" s="134"/>
      <c r="H2" s="134"/>
      <c r="I2" s="134"/>
      <c r="J2" s="134"/>
      <c r="K2" s="134"/>
    </row>
    <row r="3" spans="1:11" ht="25" customHeight="1">
      <c r="A3" s="134"/>
      <c r="B3" s="521" t="str">
        <f>+Idiomas!D79</f>
        <v>¡No tocar nada, se rellena solo!</v>
      </c>
      <c r="C3" s="521"/>
      <c r="D3" s="521"/>
      <c r="E3" s="257"/>
      <c r="F3" s="257"/>
      <c r="G3" s="257"/>
      <c r="H3" s="257"/>
      <c r="I3" s="257"/>
      <c r="J3" s="257"/>
      <c r="K3" s="134"/>
    </row>
    <row r="4" spans="1:11" ht="15" customHeight="1">
      <c r="A4" s="134"/>
      <c r="B4" s="136"/>
      <c r="C4" s="136"/>
      <c r="D4" s="136"/>
      <c r="E4" s="134"/>
      <c r="F4" s="134"/>
      <c r="G4" s="134"/>
      <c r="H4" s="134"/>
      <c r="I4" s="134"/>
      <c r="J4" s="134"/>
      <c r="K4" s="134"/>
    </row>
    <row r="5" spans="1:11" ht="15" customHeight="1">
      <c r="A5" s="258"/>
      <c r="B5" s="138"/>
      <c r="C5" s="138"/>
      <c r="D5" s="138"/>
      <c r="E5" s="522" t="str">
        <f>+Idiomas!D82</f>
        <v>·Si haceis toda la fase de grupos de golpe, en vez de jornada a jornada selecciona de la C7 a la C217 y pega valores en la plantilla de Administrador</v>
      </c>
      <c r="F5" s="522"/>
      <c r="G5" s="522"/>
      <c r="H5" s="522"/>
      <c r="I5" s="522"/>
      <c r="J5" s="522"/>
    </row>
    <row r="6" spans="1:11" s="259" customFormat="1" ht="25" thickBot="1">
      <c r="B6" s="139" t="str">
        <f>+Idiomas!D109</f>
        <v>FASE DE LIGA</v>
      </c>
      <c r="C6" s="285" t="str">
        <f>IF(ISBLANK(Home!C13),"",Home!C13)</f>
        <v>Nombre</v>
      </c>
      <c r="D6" s="138"/>
      <c r="E6" s="522"/>
      <c r="F6" s="522"/>
      <c r="G6" s="522"/>
      <c r="H6" s="522"/>
      <c r="I6" s="522"/>
      <c r="J6" s="522"/>
      <c r="K6" s="73"/>
    </row>
    <row r="7" spans="1:11" ht="15" customHeight="1">
      <c r="A7" s="260">
        <v>1</v>
      </c>
      <c r="B7" s="261" t="str">
        <f>CONCATENATE(League!D2,"-",League!K2)</f>
        <v>AEK-LASK</v>
      </c>
      <c r="C7" s="286" t="str">
        <f>CONCATENATE(IF(League!G2&gt;League!H2,1,IF(League!G2&lt;League!H2,2,IF(AND(League!G2=League!H2,League!G2&lt;&gt;"",League!H2&lt;&gt;""),"X",0))),"|",League!G2,"-",League!H2)</f>
        <v>0|-</v>
      </c>
      <c r="D7" s="524" t="str">
        <f>+Idiomas!D101</f>
        <v>J1</v>
      </c>
      <c r="E7" s="525" t="str">
        <f>+Idiomas!D84</f>
        <v>·Si haceis jornada a jornada, para la primera jornada selecciona de la C6 a la C24 y pega valores en la plantilla de administrador</v>
      </c>
      <c r="F7" s="526"/>
      <c r="G7" s="526"/>
      <c r="H7" s="526"/>
      <c r="I7" s="262"/>
      <c r="J7" s="263"/>
      <c r="K7" s="264"/>
    </row>
    <row r="8" spans="1:11" ht="15" customHeight="1">
      <c r="A8" s="265">
        <v>1</v>
      </c>
      <c r="B8" s="266" t="str">
        <f>CONCATENATE(League!D3,"-",League!K3)</f>
        <v>Brugge-Aston Villa</v>
      </c>
      <c r="C8" s="286" t="str">
        <f>CONCATENATE(IF(League!G3&gt;League!H3,1,IF(League!G3&lt;League!H3,2,IF(AND(League!G3=League!H3,League!G3&lt;&gt;"",League!H3&lt;&gt;""),"X",0))),"|",League!G3,"-",League!H3)</f>
        <v>0|-</v>
      </c>
      <c r="D8" s="524"/>
      <c r="E8" s="526"/>
      <c r="F8" s="526"/>
      <c r="G8" s="526"/>
      <c r="H8" s="526"/>
      <c r="I8" s="262"/>
      <c r="J8" s="263"/>
      <c r="K8" s="264"/>
    </row>
    <row r="9" spans="1:11" ht="15" customHeight="1">
      <c r="A9" s="267">
        <v>1</v>
      </c>
      <c r="B9" s="268" t="str">
        <f>CONCATENATE(League!D4,"-",League!K4)</f>
        <v>Borussia Dortmund-Villarreal</v>
      </c>
      <c r="C9" s="286" t="str">
        <f>CONCATENATE(IF(League!G4&gt;League!H4,1,IF(League!G4&lt;League!H4,2,IF(AND(League!G4=League!H4,League!G4&lt;&gt;"",League!H4&lt;&gt;""),"X",0))),"|",League!G4,"-",League!H4)</f>
        <v>0|-</v>
      </c>
      <c r="D9" s="524"/>
      <c r="E9" s="526"/>
      <c r="F9" s="526"/>
      <c r="G9" s="526"/>
      <c r="H9" s="526"/>
      <c r="I9" s="262"/>
      <c r="J9" s="263"/>
      <c r="K9" s="264"/>
    </row>
    <row r="10" spans="1:11" ht="15" customHeight="1">
      <c r="A10" s="265">
        <v>1</v>
      </c>
      <c r="B10" s="266" t="str">
        <f>CONCATENATE(League!D5,"-",League!K5)</f>
        <v>Porto-Manchester City</v>
      </c>
      <c r="C10" s="286" t="str">
        <f>CONCATENATE(IF(League!G5&gt;League!H5,1,IF(League!G5&lt;League!H5,2,IF(AND(League!G5=League!H5,League!G5&lt;&gt;"",League!H5&lt;&gt;""),"X",0))),"|",League!G5,"-",League!H5)</f>
        <v>0|-</v>
      </c>
      <c r="D10" s="524"/>
      <c r="E10" s="526"/>
      <c r="F10" s="526"/>
      <c r="G10" s="526"/>
      <c r="H10" s="526"/>
      <c r="I10" s="262"/>
      <c r="J10" s="263"/>
      <c r="K10" s="264"/>
    </row>
    <row r="11" spans="1:11" ht="15" customHeight="1">
      <c r="A11" s="267">
        <v>1</v>
      </c>
      <c r="B11" s="268" t="str">
        <f>CONCATENATE(League!D6,"-",League!K6)</f>
        <v>Lille-Betis</v>
      </c>
      <c r="C11" s="286" t="str">
        <f>CONCATENATE(IF(League!G6&gt;League!H6,1,IF(League!G6&lt;League!H6,2,IF(AND(League!G6=League!H6,League!G6&lt;&gt;"",League!H6&lt;&gt;""),"X",0))),"|",League!G6,"-",League!H6)</f>
        <v>0|-</v>
      </c>
      <c r="D11" s="524"/>
      <c r="E11" s="263"/>
      <c r="F11" s="263"/>
      <c r="G11" s="263"/>
      <c r="H11" s="263"/>
      <c r="I11" s="262"/>
      <c r="J11" s="263"/>
      <c r="K11" s="264"/>
    </row>
    <row r="12" spans="1:11" ht="15" customHeight="1">
      <c r="A12" s="265">
        <v>1</v>
      </c>
      <c r="B12" s="266" t="str">
        <f>CONCATENATE(League!D7,"-",League!K7)</f>
        <v>Real Madrid-Inter Milan</v>
      </c>
      <c r="C12" s="286" t="str">
        <f>CONCATENATE(IF(League!G7&gt;League!H7,1,IF(League!G7&lt;League!H7,2,IF(AND(League!G7=League!H7,League!G7&lt;&gt;"",League!H7&lt;&gt;""),"X",0))),"|",League!G7,"-",League!H7)</f>
        <v>0|-</v>
      </c>
      <c r="D12" s="524"/>
      <c r="E12" s="263"/>
      <c r="F12" s="263"/>
      <c r="G12" s="263"/>
      <c r="H12" s="263"/>
      <c r="I12" s="262"/>
      <c r="J12" s="263"/>
      <c r="K12" s="264"/>
    </row>
    <row r="13" spans="1:11" ht="15" customHeight="1">
      <c r="A13" s="267">
        <v>1</v>
      </c>
      <c r="B13" s="268" t="str">
        <f>CONCATENATE(League!D8,"-",League!K8)</f>
        <v>Barcelona-Feyenoord</v>
      </c>
      <c r="C13" s="286" t="str">
        <f>CONCATENATE(IF(League!G8&gt;League!H8,1,IF(League!G8&lt;League!H8,2,IF(AND(League!G8=League!H8,League!G8&lt;&gt;"",League!H8&lt;&gt;""),"X",0))),"|",League!G8,"-",League!H8)</f>
        <v>0|-</v>
      </c>
      <c r="D13" s="524"/>
      <c r="E13" s="263"/>
      <c r="F13" s="263"/>
      <c r="G13" s="263"/>
      <c r="H13" s="263"/>
      <c r="I13" s="262"/>
      <c r="J13" s="263"/>
      <c r="K13" s="264"/>
    </row>
    <row r="14" spans="1:11" ht="15" customHeight="1">
      <c r="A14" s="265">
        <v>1</v>
      </c>
      <c r="B14" s="266" t="str">
        <f>CONCATENATE(League!D9,"-",League!K9)</f>
        <v>Stuttgart-Viking</v>
      </c>
      <c r="C14" s="286" t="str">
        <f>CONCATENATE(IF(League!G9&gt;League!H9,1,IF(League!G9&lt;League!H9,2,IF(AND(League!G9=League!H9,League!G9&lt;&gt;"",League!H9&lt;&gt;""),"X",0))),"|",League!G9,"-",League!H9)</f>
        <v>0|-</v>
      </c>
      <c r="D14" s="524"/>
      <c r="E14" s="263"/>
      <c r="F14" s="263"/>
      <c r="G14" s="263"/>
      <c r="H14" s="263"/>
      <c r="I14" s="262"/>
      <c r="J14" s="263"/>
      <c r="K14" s="264"/>
    </row>
    <row r="15" spans="1:11" ht="15" customHeight="1">
      <c r="A15" s="267">
        <v>1</v>
      </c>
      <c r="B15" s="268" t="str">
        <f>CONCATENATE(League!D10,"-",League!K10)</f>
        <v>Liverpool-Atlético Madrid</v>
      </c>
      <c r="C15" s="286" t="str">
        <f>CONCATENATE(IF(League!G10&gt;League!H10,1,IF(League!G10&lt;League!H10,2,IF(AND(League!G10=League!H10,League!G10&lt;&gt;"",League!H10&lt;&gt;""),"X",0))),"|",League!G10,"-",League!H10)</f>
        <v>0|-</v>
      </c>
      <c r="D15" s="524"/>
      <c r="E15" s="263"/>
      <c r="F15" s="263"/>
      <c r="G15" s="263"/>
      <c r="H15" s="263"/>
      <c r="I15" s="262"/>
      <c r="J15" s="263"/>
      <c r="K15" s="264"/>
    </row>
    <row r="16" spans="1:11" ht="15" customHeight="1">
      <c r="A16" s="265">
        <v>1</v>
      </c>
      <c r="B16" s="266" t="str">
        <f>CONCATENATE(League!D11,"-",League!K11)</f>
        <v>PSG-Slovan Bratislava </v>
      </c>
      <c r="C16" s="286" t="str">
        <f>CONCATENATE(IF(League!G11&gt;League!H11,1,IF(League!G11&lt;League!H11,2,IF(AND(League!G11=League!H11,League!G11&lt;&gt;"",League!H11&lt;&gt;""),"X",0))),"|",League!G11,"-",League!H11)</f>
        <v>0|-</v>
      </c>
      <c r="D16" s="524"/>
      <c r="E16" s="263"/>
      <c r="F16" s="263"/>
      <c r="G16" s="263"/>
      <c r="H16" s="263"/>
      <c r="I16" s="262"/>
      <c r="J16" s="263"/>
      <c r="K16" s="264"/>
    </row>
    <row r="17" spans="1:11" ht="15" customHeight="1">
      <c r="A17" s="267">
        <v>1</v>
      </c>
      <c r="B17" s="268" t="str">
        <f>CONCATENATE(League!D12,"-",League!K12)</f>
        <v>Sporting Portugal-Galatasaray</v>
      </c>
      <c r="C17" s="286" t="str">
        <f>CONCATENATE(IF(League!G12&gt;League!H12,1,IF(League!G12&lt;League!H12,2,IF(AND(League!G12=League!H12,League!G12&lt;&gt;"",League!H12&lt;&gt;""),"X",0))),"|",League!G12,"-",League!H12)</f>
        <v>0|-</v>
      </c>
      <c r="D17" s="524"/>
      <c r="E17" s="263"/>
      <c r="F17" s="263"/>
      <c r="G17" s="263"/>
      <c r="H17" s="263"/>
      <c r="I17" s="262"/>
      <c r="J17" s="263"/>
      <c r="K17" s="264"/>
    </row>
    <row r="18" spans="1:11" ht="15" customHeight="1">
      <c r="A18" s="265">
        <v>1</v>
      </c>
      <c r="B18" s="266" t="str">
        <f>CONCATENATE(League!D13,"-",League!K13)</f>
        <v>Napoli-Arsenal</v>
      </c>
      <c r="C18" s="286" t="str">
        <f>CONCATENATE(IF(League!G13&gt;League!H13,1,IF(League!G13&lt;League!H13,2,IF(AND(League!G13=League!H13,League!G13&lt;&gt;"",League!H13&lt;&gt;""),"X",0))),"|",League!G13,"-",League!H13)</f>
        <v>0|-</v>
      </c>
      <c r="D18" s="524"/>
      <c r="E18" s="263"/>
      <c r="F18" s="263"/>
      <c r="G18" s="263"/>
      <c r="H18" s="263"/>
      <c r="I18" s="262"/>
      <c r="J18" s="263"/>
      <c r="K18" s="264"/>
    </row>
    <row r="19" spans="1:11" ht="15" customHeight="1">
      <c r="A19" s="267">
        <v>1</v>
      </c>
      <c r="B19" s="268" t="str">
        <f>CONCATENATE(League!D14,"-",League!K14)</f>
        <v>Fenerbahçe -Roma</v>
      </c>
      <c r="C19" s="286" t="str">
        <f>CONCATENATE(IF(League!G14&gt;League!H14,1,IF(League!G14&lt;League!H14,2,IF(AND(League!G14=League!H14,League!G14&lt;&gt;"",League!H14&lt;&gt;""),"X",0))),"|",League!G14,"-",League!H14)</f>
        <v>0|-</v>
      </c>
      <c r="D19" s="524"/>
      <c r="E19" s="263"/>
      <c r="F19" s="263"/>
      <c r="G19" s="263"/>
      <c r="H19" s="263"/>
      <c r="I19" s="262"/>
      <c r="J19" s="263"/>
      <c r="K19" s="264"/>
    </row>
    <row r="20" spans="1:11" ht="15" customHeight="1">
      <c r="A20" s="265">
        <v>1</v>
      </c>
      <c r="B20" s="266" t="str">
        <f>CONCATENATE(League!D15,"-",League!K15)</f>
        <v>PSV Eindhoven-Shakhtar Donetsk</v>
      </c>
      <c r="C20" s="286" t="str">
        <f>CONCATENATE(IF(League!G15&gt;League!H15,1,IF(League!G15&lt;League!H15,2,IF(AND(League!G15=League!H15,League!G15&lt;&gt;"",League!H15&lt;&gt;""),"X",0))),"|",League!G15,"-",League!H15)</f>
        <v>0|-</v>
      </c>
      <c r="D20" s="524"/>
      <c r="E20" s="263"/>
      <c r="F20" s="263"/>
      <c r="G20" s="263"/>
      <c r="H20" s="263"/>
      <c r="I20" s="262"/>
      <c r="J20" s="263"/>
      <c r="K20" s="264"/>
    </row>
    <row r="21" spans="1:11" ht="15" customHeight="1">
      <c r="A21" s="267">
        <v>1</v>
      </c>
      <c r="B21" s="268" t="str">
        <f>CONCATENATE(League!D16,"-",League!K16)</f>
        <v>Como-Leipzig</v>
      </c>
      <c r="C21" s="286" t="str">
        <f>CONCATENATE(IF(League!G16&gt;League!H16,1,IF(League!G16&lt;League!H16,2,IF(AND(League!G16=League!H16,League!G16&lt;&gt;"",League!H16&lt;&gt;""),"X",0))),"|",League!G16,"-",League!H16)</f>
        <v>0|-</v>
      </c>
      <c r="D21" s="524"/>
      <c r="E21" s="263"/>
      <c r="F21" s="263"/>
      <c r="G21" s="263"/>
      <c r="H21" s="263"/>
      <c r="I21" s="262"/>
      <c r="J21" s="263"/>
      <c r="K21" s="264"/>
    </row>
    <row r="22" spans="1:11" ht="15" customHeight="1">
      <c r="A22" s="265">
        <v>1</v>
      </c>
      <c r="B22" s="266" t="str">
        <f>CONCATENATE(League!D17,"-",League!K17)</f>
        <v>Bayern München-Bodø/Glimt</v>
      </c>
      <c r="C22" s="286" t="str">
        <f>CONCATENATE(IF(League!G17&gt;League!H17,1,IF(League!G17&lt;League!H17,2,IF(AND(League!G17=League!H17,League!G17&lt;&gt;"",League!H17&lt;&gt;""),"X",0))),"|",League!G17,"-",League!H17)</f>
        <v>0|-</v>
      </c>
      <c r="D22" s="524"/>
      <c r="E22" s="263"/>
      <c r="F22" s="263"/>
      <c r="G22" s="263"/>
      <c r="H22" s="263"/>
      <c r="I22" s="262"/>
      <c r="J22" s="263"/>
      <c r="K22" s="264"/>
    </row>
    <row r="23" spans="1:11" ht="15" customHeight="1">
      <c r="A23" s="267">
        <v>1</v>
      </c>
      <c r="B23" s="268" t="str">
        <f>CONCATENATE(League!D18,"-",League!K18)</f>
        <v>Manchester United-Sabah</v>
      </c>
      <c r="C23" s="286" t="str">
        <f>CONCATENATE(IF(League!G18&gt;League!H18,1,IF(League!G18&lt;League!H18,2,IF(AND(League!G18=League!H18,League!G18&lt;&gt;"",League!H18&lt;&gt;""),"X",0))),"|",League!G18,"-",League!H18)</f>
        <v>0|-</v>
      </c>
      <c r="D23" s="524"/>
      <c r="E23" s="263"/>
      <c r="F23" s="263"/>
      <c r="G23" s="263"/>
      <c r="H23" s="263"/>
      <c r="I23" s="262"/>
      <c r="J23" s="263"/>
      <c r="K23" s="264"/>
    </row>
    <row r="24" spans="1:11" ht="15" customHeight="1" thickBot="1">
      <c r="A24" s="269">
        <v>1</v>
      </c>
      <c r="B24" s="270" t="str">
        <f>CONCATENATE(League!D19,"-",League!K19)</f>
        <v>Slavia Praha-Lens</v>
      </c>
      <c r="C24" s="287" t="str">
        <f>CONCATENATE(IF(League!G19&gt;League!H19,1,IF(League!G19&lt;League!H19,2,IF(AND(League!G19=League!H19,League!G19&lt;&gt;"",League!H19&lt;&gt;""),"X",0))),"|",League!G19,"-",League!H19)</f>
        <v>0|-</v>
      </c>
      <c r="D24" s="524"/>
      <c r="E24" s="263"/>
      <c r="F24" s="263"/>
      <c r="G24" s="263"/>
      <c r="H24" s="263"/>
      <c r="I24" s="262"/>
      <c r="J24" s="263"/>
      <c r="K24" s="264"/>
    </row>
    <row r="25" spans="1:11" ht="15" customHeight="1">
      <c r="A25" s="271">
        <v>2</v>
      </c>
      <c r="B25" s="272" t="str">
        <f>CONCATENATE(League!D20,"-",League!K20)</f>
        <v>Lens-Sporting Portugal</v>
      </c>
      <c r="C25" s="286" t="str">
        <f>CONCATENATE(IF(League!G20&gt;League!H20,1,IF(League!G20&lt;League!H20,2,IF(AND(League!G20=League!H20,League!G20&lt;&gt;"",League!H20&lt;&gt;""),"X",0))),"|",League!G20,"-",League!H20)</f>
        <v>0|-</v>
      </c>
      <c r="D25" s="523" t="str">
        <f>+Idiomas!D102</f>
        <v>J2</v>
      </c>
      <c r="E25" s="527" t="str">
        <f>+Idiomas!D85</f>
        <v>·Para la 2ª jornada selecciona de la C25 a la C42 y pega valores en la plantilla de administrador</v>
      </c>
      <c r="F25" s="528"/>
      <c r="G25" s="528"/>
      <c r="H25" s="528"/>
      <c r="I25" s="273"/>
      <c r="J25" s="263"/>
      <c r="K25" s="264"/>
    </row>
    <row r="26" spans="1:11" ht="15" customHeight="1">
      <c r="A26" s="274">
        <v>2</v>
      </c>
      <c r="B26" s="275" t="str">
        <f>CONCATENATE(League!D21,"-",League!K21)</f>
        <v>Sabah-Slavia Praha</v>
      </c>
      <c r="C26" s="286" t="str">
        <f>CONCATENATE(IF(League!G21&gt;League!H21,1,IF(League!G21&lt;League!H21,2,IF(AND(League!G21=League!H21,League!G21&lt;&gt;"",League!H21&lt;&gt;""),"X",0))),"|",League!G21,"-",League!H21)</f>
        <v>0|-</v>
      </c>
      <c r="D26" s="523"/>
      <c r="E26" s="528"/>
      <c r="F26" s="528"/>
      <c r="G26" s="528"/>
      <c r="H26" s="528"/>
      <c r="I26" s="273"/>
      <c r="J26" s="263"/>
      <c r="K26" s="264"/>
    </row>
    <row r="27" spans="1:11" ht="15" customHeight="1">
      <c r="A27" s="274">
        <v>2</v>
      </c>
      <c r="B27" s="275" t="str">
        <f>CONCATENATE(League!D22,"-",League!K22)</f>
        <v>Arsenal-Lille</v>
      </c>
      <c r="C27" s="286" t="str">
        <f>CONCATENATE(IF(League!G22&gt;League!H22,1,IF(League!G22&lt;League!H22,2,IF(AND(League!G22=League!H22,League!G22&lt;&gt;"",League!H22&lt;&gt;""),"X",0))),"|",League!G22,"-",League!H22)</f>
        <v>0|-</v>
      </c>
      <c r="D27" s="523"/>
      <c r="E27" s="528"/>
      <c r="F27" s="528"/>
      <c r="G27" s="528"/>
      <c r="H27" s="528"/>
      <c r="I27" s="273"/>
      <c r="J27" s="263"/>
      <c r="K27" s="264"/>
    </row>
    <row r="28" spans="1:11" ht="15" customHeight="1">
      <c r="A28" s="274">
        <v>2</v>
      </c>
      <c r="B28" s="275" t="str">
        <f>CONCATENATE(League!D23,"-",League!K23)</f>
        <v>Atlético Madrid-Manchester United</v>
      </c>
      <c r="C28" s="286" t="str">
        <f>CONCATENATE(IF(League!G23&gt;League!H23,1,IF(League!G23&lt;League!H23,2,IF(AND(League!G23=League!H23,League!G23&lt;&gt;"",League!H23&lt;&gt;""),"X",0))),"|",League!G23,"-",League!H23)</f>
        <v>0|-</v>
      </c>
      <c r="D28" s="523"/>
      <c r="E28" s="528"/>
      <c r="F28" s="528"/>
      <c r="G28" s="528"/>
      <c r="H28" s="528"/>
      <c r="I28" s="273"/>
      <c r="J28" s="263"/>
      <c r="K28" s="264"/>
    </row>
    <row r="29" spans="1:11" ht="15" customHeight="1">
      <c r="A29" s="274">
        <v>2</v>
      </c>
      <c r="B29" s="275" t="str">
        <f>CONCATENATE(League!D24,"-",League!K24)</f>
        <v>Inter Milan-Brugge</v>
      </c>
      <c r="C29" s="286" t="str">
        <f>CONCATENATE(IF(League!G24&gt;League!H24,1,IF(League!G24&lt;League!H24,2,IF(AND(League!G24=League!H24,League!G24&lt;&gt;"",League!H24&lt;&gt;""),"X",0))),"|",League!G24,"-",League!H24)</f>
        <v>0|-</v>
      </c>
      <c r="D29" s="523"/>
      <c r="E29" s="263"/>
      <c r="F29" s="263"/>
      <c r="G29" s="263"/>
      <c r="H29" s="263"/>
      <c r="I29" s="273"/>
      <c r="J29" s="263"/>
      <c r="K29" s="264"/>
    </row>
    <row r="30" spans="1:11" ht="15" customHeight="1">
      <c r="A30" s="274">
        <v>2</v>
      </c>
      <c r="B30" s="275" t="str">
        <f>CONCATENATE(League!D25,"-",League!K25)</f>
        <v>Galatasaray-Barcelona</v>
      </c>
      <c r="C30" s="286" t="str">
        <f>CONCATENATE(IF(League!G25&gt;League!H25,1,IF(League!G25&lt;League!H25,2,IF(AND(League!G25=League!H25,League!G25&lt;&gt;"",League!H25&lt;&gt;""),"X",0))),"|",League!G25,"-",League!H25)</f>
        <v>0|-</v>
      </c>
      <c r="D30" s="523"/>
      <c r="E30" s="263"/>
      <c r="F30" s="263"/>
      <c r="G30" s="263"/>
      <c r="H30" s="263"/>
      <c r="I30" s="273"/>
      <c r="J30" s="263"/>
      <c r="K30" s="264"/>
    </row>
    <row r="31" spans="1:11" ht="15" customHeight="1">
      <c r="A31" s="274">
        <v>2</v>
      </c>
      <c r="B31" s="275" t="str">
        <f>CONCATENATE(League!D26,"-",League!K26)</f>
        <v>Leipzig-PSV Eindhoven</v>
      </c>
      <c r="C31" s="286" t="str">
        <f>CONCATENATE(IF(League!G26&gt;League!H26,1,IF(League!G26&lt;League!H26,2,IF(AND(League!G26=League!H26,League!G26&lt;&gt;"",League!H26&lt;&gt;""),"X",0))),"|",League!G26,"-",League!H26)</f>
        <v>0|-</v>
      </c>
      <c r="D31" s="523"/>
      <c r="E31" s="263"/>
      <c r="F31" s="263"/>
      <c r="G31" s="263"/>
      <c r="H31" s="263"/>
      <c r="I31" s="273"/>
      <c r="J31" s="263"/>
      <c r="K31" s="264"/>
    </row>
    <row r="32" spans="1:11" ht="15" customHeight="1">
      <c r="A32" s="274">
        <v>2</v>
      </c>
      <c r="B32" s="275" t="str">
        <f>CONCATENATE(League!D27,"-",League!K27)</f>
        <v>Viking-Bayern München</v>
      </c>
      <c r="C32" s="286" t="str">
        <f>CONCATENATE(IF(League!G27&gt;League!H27,1,IF(League!G27&lt;League!H27,2,IF(AND(League!G27=League!H27,League!G27&lt;&gt;"",League!H27&lt;&gt;""),"X",0))),"|",League!G27,"-",League!H27)</f>
        <v>0|-</v>
      </c>
      <c r="D32" s="523"/>
      <c r="E32" s="263"/>
      <c r="F32" s="263"/>
      <c r="G32" s="263"/>
      <c r="H32" s="263"/>
      <c r="I32" s="273"/>
      <c r="J32" s="263"/>
      <c r="K32" s="264"/>
    </row>
    <row r="33" spans="1:11" ht="15" customHeight="1">
      <c r="A33" s="274">
        <v>2</v>
      </c>
      <c r="B33" s="275" t="str">
        <f>CONCATENATE(League!D28,"-",League!K28)</f>
        <v>Villarreal-Napoli</v>
      </c>
      <c r="C33" s="286" t="str">
        <f>CONCATENATE(IF(League!G28&gt;League!H28,1,IF(League!G28&lt;League!H28,2,IF(AND(League!G28=League!H28,League!G28&lt;&gt;"",League!H28&lt;&gt;""),"X",0))),"|",League!G28,"-",League!H28)</f>
        <v>0|-</v>
      </c>
      <c r="D33" s="523"/>
      <c r="E33" s="263"/>
      <c r="F33" s="263"/>
      <c r="G33" s="263"/>
      <c r="H33" s="263"/>
      <c r="I33" s="273"/>
      <c r="J33" s="263"/>
      <c r="K33" s="264"/>
    </row>
    <row r="34" spans="1:11" ht="15" customHeight="1">
      <c r="A34" s="274">
        <v>2</v>
      </c>
      <c r="B34" s="275" t="str">
        <f>CONCATENATE(League!D29,"-",League!K29)</f>
        <v>Feyenoord-Como</v>
      </c>
      <c r="C34" s="286" t="str">
        <f>CONCATENATE(IF(League!G29&gt;League!H29,1,IF(League!G29&lt;League!H29,2,IF(AND(League!G29=League!H29,League!G29&lt;&gt;"",League!H29&lt;&gt;""),"X",0))),"|",League!G29,"-",League!H29)</f>
        <v>0|-</v>
      </c>
      <c r="D34" s="523"/>
      <c r="E34" s="263"/>
      <c r="F34" s="263"/>
      <c r="G34" s="263"/>
      <c r="H34" s="263"/>
      <c r="I34" s="273"/>
      <c r="J34" s="263"/>
      <c r="K34" s="264"/>
    </row>
    <row r="35" spans="1:11" ht="15" customHeight="1">
      <c r="A35" s="274">
        <v>2</v>
      </c>
      <c r="B35" s="275" t="str">
        <f>CONCATENATE(League!D30,"-",League!K30)</f>
        <v>LASK-Liverpool</v>
      </c>
      <c r="C35" s="286" t="str">
        <f>CONCATENATE(IF(League!G30&gt;League!H30,1,IF(League!G30&lt;League!H30,2,IF(AND(League!G30=League!H30,League!G30&lt;&gt;"",League!H30&lt;&gt;""),"X",0))),"|",League!G30,"-",League!H30)</f>
        <v>0|-</v>
      </c>
      <c r="D35" s="523"/>
      <c r="E35" s="263"/>
      <c r="F35" s="263"/>
      <c r="G35" s="263"/>
      <c r="H35" s="263"/>
      <c r="I35" s="273"/>
      <c r="J35" s="263"/>
      <c r="K35" s="264"/>
    </row>
    <row r="36" spans="1:11" ht="15" customHeight="1">
      <c r="A36" s="274">
        <v>2</v>
      </c>
      <c r="B36" s="275" t="str">
        <f>CONCATENATE(League!D31,"-",League!K31)</f>
        <v>Roma-Real Madrid</v>
      </c>
      <c r="C36" s="286" t="str">
        <f>CONCATENATE(IF(League!G31&gt;League!H31,1,IF(League!G31&lt;League!H31,2,IF(AND(League!G31=League!H31,League!G31&lt;&gt;"",League!H31&lt;&gt;""),"X",0))),"|",League!G31,"-",League!H31)</f>
        <v>0|-</v>
      </c>
      <c r="D36" s="523"/>
      <c r="E36" s="263"/>
      <c r="F36" s="263"/>
      <c r="G36" s="263"/>
      <c r="H36" s="263"/>
      <c r="I36" s="273"/>
      <c r="J36" s="263"/>
      <c r="K36" s="264"/>
    </row>
    <row r="37" spans="1:11" ht="15" customHeight="1">
      <c r="A37" s="274">
        <v>2</v>
      </c>
      <c r="B37" s="275" t="str">
        <f>CONCATENATE(League!D32,"-",League!K32)</f>
        <v>Aston Villa-Fenerbahçe </v>
      </c>
      <c r="C37" s="286" t="str">
        <f>CONCATENATE(IF(League!G32&gt;League!H32,1,IF(League!G32&lt;League!H32,2,IF(AND(League!G32=League!H32,League!G32&lt;&gt;"",League!H32&lt;&gt;""),"X",0))),"|",League!G32,"-",League!H32)</f>
        <v>0|-</v>
      </c>
      <c r="D37" s="523"/>
      <c r="E37" s="263"/>
      <c r="F37" s="263"/>
      <c r="G37" s="263"/>
      <c r="H37" s="263"/>
      <c r="I37" s="273"/>
      <c r="J37" s="263"/>
      <c r="K37" s="264"/>
    </row>
    <row r="38" spans="1:11" ht="15" customHeight="1">
      <c r="A38" s="274">
        <v>2</v>
      </c>
      <c r="B38" s="275" t="str">
        <f>CONCATENATE(League!D33,"-",League!K33)</f>
        <v>Shakhtar Donetsk-AEK</v>
      </c>
      <c r="C38" s="286" t="str">
        <f>CONCATENATE(IF(League!G33&gt;League!H33,1,IF(League!G33&lt;League!H33,2,IF(AND(League!G33=League!H33,League!G33&lt;&gt;"",League!H33&lt;&gt;""),"X",0))),"|",League!G33,"-",League!H33)</f>
        <v>0|-</v>
      </c>
      <c r="D38" s="523"/>
      <c r="E38" s="263"/>
      <c r="F38" s="263"/>
      <c r="G38" s="263"/>
      <c r="H38" s="263"/>
      <c r="I38" s="273"/>
      <c r="J38" s="263"/>
      <c r="K38" s="264"/>
    </row>
    <row r="39" spans="1:11" ht="15" customHeight="1">
      <c r="A39" s="274">
        <v>2</v>
      </c>
      <c r="B39" s="275" t="str">
        <f>CONCATENATE(League!D34,"-",League!K34)</f>
        <v>Bodø/Glimt-Borussia Dortmund</v>
      </c>
      <c r="C39" s="286" t="str">
        <f>CONCATENATE(IF(League!G34&gt;League!H34,1,IF(League!G34&lt;League!H34,2,IF(AND(League!G34=League!H34,League!G34&lt;&gt;"",League!H34&lt;&gt;""),"X",0))),"|",League!G34,"-",League!H34)</f>
        <v>0|-</v>
      </c>
      <c r="D39" s="523"/>
      <c r="E39" s="263"/>
      <c r="F39" s="263"/>
      <c r="G39" s="263"/>
      <c r="H39" s="263"/>
      <c r="I39" s="273"/>
      <c r="J39" s="263"/>
      <c r="K39" s="264"/>
    </row>
    <row r="40" spans="1:11" ht="15" customHeight="1">
      <c r="A40" s="274">
        <v>2</v>
      </c>
      <c r="B40" s="275" t="str">
        <f>CONCATENATE(League!D35,"-",League!K35)</f>
        <v>Manchester City-PSG</v>
      </c>
      <c r="C40" s="286" t="str">
        <f>CONCATENATE(IF(League!G35&gt;League!H35,1,IF(League!G35&lt;League!H35,2,IF(AND(League!G35=League!H35,League!G35&lt;&gt;"",League!H35&lt;&gt;""),"X",0))),"|",League!G35,"-",League!H35)</f>
        <v>0|-</v>
      </c>
      <c r="D40" s="523"/>
      <c r="E40" s="263"/>
      <c r="F40" s="263"/>
      <c r="G40" s="263"/>
      <c r="H40" s="263"/>
      <c r="I40" s="273"/>
      <c r="J40" s="263"/>
      <c r="K40" s="264"/>
    </row>
    <row r="41" spans="1:11" ht="15" customHeight="1">
      <c r="A41" s="274">
        <v>2</v>
      </c>
      <c r="B41" s="275" t="str">
        <f>CONCATENATE(League!D36,"-",League!K36)</f>
        <v>Betis-Porto</v>
      </c>
      <c r="C41" s="286" t="str">
        <f>CONCATENATE(IF(League!G36&gt;League!H36,1,IF(League!G36&lt;League!H36,2,IF(AND(League!G36=League!H36,League!G36&lt;&gt;"",League!H36&lt;&gt;""),"X",0))),"|",League!G36,"-",League!H36)</f>
        <v>0|-</v>
      </c>
      <c r="D41" s="523"/>
      <c r="E41" s="263"/>
      <c r="F41" s="263"/>
      <c r="G41" s="263"/>
      <c r="H41" s="263"/>
      <c r="I41" s="273"/>
      <c r="J41" s="263"/>
      <c r="K41" s="264"/>
    </row>
    <row r="42" spans="1:11" ht="16" customHeight="1" thickBot="1">
      <c r="A42" s="276">
        <v>2</v>
      </c>
      <c r="B42" s="277" t="str">
        <f>CONCATENATE(League!D37,"-",League!K37)</f>
        <v>Slovan Bratislava -Stuttgart</v>
      </c>
      <c r="C42" s="287" t="str">
        <f>CONCATENATE(IF(League!G37&gt;League!H37,1,IF(League!G37&lt;League!H37,2,IF(AND(League!G37=League!H37,League!G37&lt;&gt;"",League!H37&lt;&gt;""),"X",0))),"|",League!G37,"-",League!H37)</f>
        <v>0|-</v>
      </c>
      <c r="D42" s="523"/>
      <c r="E42" s="263"/>
      <c r="F42" s="263"/>
      <c r="G42" s="263"/>
      <c r="H42" s="263"/>
      <c r="I42" s="273"/>
      <c r="J42" s="263"/>
      <c r="K42" s="264"/>
    </row>
    <row r="43" spans="1:11" ht="15" customHeight="1">
      <c r="A43" s="265">
        <v>3</v>
      </c>
      <c r="B43" s="266" t="str">
        <f>CONCATENATE(League!D38,"-",League!K38)</f>
        <v>Fenerbahçe -Slavia Praha</v>
      </c>
      <c r="C43" s="286" t="str">
        <f>CONCATENATE(IF(League!G38&gt;League!H38,1,IF(League!G38&lt;League!H38,2,IF(AND(League!G38=League!H38,League!G38&lt;&gt;"",League!H38&lt;&gt;""),"X",0))),"|",League!G38,"-",League!H38)</f>
        <v>0|-</v>
      </c>
      <c r="D43" s="524" t="str">
        <f>+Idiomas!D103</f>
        <v>J3</v>
      </c>
      <c r="E43" s="525" t="str">
        <f>+Idiomas!D86</f>
        <v>·Para la 3ª jornada selecciona de la C43 a la C60 y pega valores en la plantilla de administrador</v>
      </c>
      <c r="F43" s="526"/>
      <c r="G43" s="526"/>
      <c r="H43" s="526"/>
      <c r="I43" s="278"/>
      <c r="J43" s="263"/>
      <c r="K43" s="264"/>
    </row>
    <row r="44" spans="1:11" ht="15" customHeight="1">
      <c r="A44" s="265">
        <v>3</v>
      </c>
      <c r="B44" s="266" t="str">
        <f>CONCATENATE(League!D39,"-",League!K39)</f>
        <v>Sabah-Borussia Dortmund</v>
      </c>
      <c r="C44" s="286" t="str">
        <f>CONCATENATE(IF(League!G39&gt;League!H39,1,IF(League!G39&lt;League!H39,2,IF(AND(League!G39=League!H39,League!G39&lt;&gt;"",League!H39&lt;&gt;""),"X",0))),"|",League!G39,"-",League!H39)</f>
        <v>0|-</v>
      </c>
      <c r="D44" s="524"/>
      <c r="E44" s="526"/>
      <c r="F44" s="526"/>
      <c r="G44" s="526"/>
      <c r="H44" s="526"/>
      <c r="I44" s="278"/>
      <c r="J44" s="263"/>
      <c r="K44" s="264"/>
    </row>
    <row r="45" spans="1:11" ht="15" customHeight="1">
      <c r="A45" s="267">
        <v>3</v>
      </c>
      <c r="B45" s="268" t="str">
        <f>CONCATENATE(League!D40,"-",League!K40)</f>
        <v>Roma-Slovan Bratislava </v>
      </c>
      <c r="C45" s="286" t="str">
        <f>CONCATENATE(IF(League!G40&gt;League!H40,1,IF(League!G40&lt;League!H40,2,IF(AND(League!G40=League!H40,League!G40&lt;&gt;"",League!H40&lt;&gt;""),"X",0))),"|",League!G40,"-",League!H40)</f>
        <v>0|-</v>
      </c>
      <c r="D45" s="524"/>
      <c r="E45" s="526"/>
      <c r="F45" s="526"/>
      <c r="G45" s="526"/>
      <c r="H45" s="526"/>
      <c r="I45" s="278"/>
      <c r="J45" s="263"/>
      <c r="K45" s="264"/>
    </row>
    <row r="46" spans="1:11" ht="15" customHeight="1">
      <c r="A46" s="265">
        <v>3</v>
      </c>
      <c r="B46" s="266" t="str">
        <f>CONCATENATE(League!D41,"-",League!K41)</f>
        <v>Porto-PSV Eindhoven</v>
      </c>
      <c r="C46" s="286" t="str">
        <f>CONCATENATE(IF(League!G41&gt;League!H41,1,IF(League!G41&lt;League!H41,2,IF(AND(League!G41=League!H41,League!G41&lt;&gt;"",League!H41&lt;&gt;""),"X",0))),"|",League!G41,"-",League!H41)</f>
        <v>0|-</v>
      </c>
      <c r="D46" s="524"/>
      <c r="E46" s="526"/>
      <c r="F46" s="526"/>
      <c r="G46" s="526"/>
      <c r="H46" s="526"/>
      <c r="I46" s="278"/>
      <c r="J46" s="263"/>
      <c r="K46" s="264"/>
    </row>
    <row r="47" spans="1:11" ht="15" customHeight="1">
      <c r="A47" s="267">
        <v>3</v>
      </c>
      <c r="B47" s="268" t="str">
        <f>CONCATENATE(League!D42,"-",League!K42)</f>
        <v>Liverpool-Villarreal</v>
      </c>
      <c r="C47" s="286" t="str">
        <f>CONCATENATE(IF(League!G42&gt;League!H42,1,IF(League!G42&lt;League!H42,2,IF(AND(League!G42=League!H42,League!G42&lt;&gt;"",League!H42&lt;&gt;""),"X",0))),"|",League!G42,"-",League!H42)</f>
        <v>0|-</v>
      </c>
      <c r="D47" s="524"/>
      <c r="E47" s="263"/>
      <c r="F47" s="263"/>
      <c r="G47" s="263"/>
      <c r="H47" s="263"/>
      <c r="I47" s="278"/>
      <c r="J47" s="263"/>
      <c r="K47" s="264"/>
    </row>
    <row r="48" spans="1:11" ht="15" customHeight="1">
      <c r="A48" s="265">
        <v>3</v>
      </c>
      <c r="B48" s="266" t="str">
        <f>CONCATENATE(League!D43,"-",League!K43)</f>
        <v>Manchester City-AEK</v>
      </c>
      <c r="C48" s="286" t="str">
        <f>CONCATENATE(IF(League!G43&gt;League!H43,1,IF(League!G43&lt;League!H43,2,IF(AND(League!G43=League!H43,League!G43&lt;&gt;"",League!H43&lt;&gt;""),"X",0))),"|",League!G43,"-",League!H43)</f>
        <v>0|-</v>
      </c>
      <c r="D48" s="524"/>
      <c r="E48" s="263"/>
      <c r="F48" s="263"/>
      <c r="G48" s="263"/>
      <c r="H48" s="263"/>
      <c r="I48" s="278"/>
      <c r="J48" s="263"/>
      <c r="K48" s="264"/>
    </row>
    <row r="49" spans="1:11" ht="15" customHeight="1">
      <c r="A49" s="267">
        <v>3</v>
      </c>
      <c r="B49" s="268" t="str">
        <f>CONCATENATE(League!D44,"-",League!K44)</f>
        <v>PSG-Barcelona</v>
      </c>
      <c r="C49" s="286" t="str">
        <f>CONCATENATE(IF(League!G44&gt;League!H44,1,IF(League!G44&lt;League!H44,2,IF(AND(League!G44=League!H44,League!G44&lt;&gt;"",League!H44&lt;&gt;""),"X",0))),"|",League!G44,"-",League!H44)</f>
        <v>0|-</v>
      </c>
      <c r="D49" s="524"/>
      <c r="E49" s="263"/>
      <c r="F49" s="263"/>
      <c r="G49" s="263"/>
      <c r="H49" s="263"/>
      <c r="I49" s="278"/>
      <c r="J49" s="263"/>
      <c r="K49" s="264"/>
    </row>
    <row r="50" spans="1:11" ht="15" customHeight="1">
      <c r="A50" s="265">
        <v>3</v>
      </c>
      <c r="B50" s="266" t="str">
        <f>CONCATENATE(League!D45,"-",League!K45)</f>
        <v>Napoli-Bodø/Glimt</v>
      </c>
      <c r="C50" s="286" t="str">
        <f>CONCATENATE(IF(League!G45&gt;League!H45,1,IF(League!G45&lt;League!H45,2,IF(AND(League!G45=League!H45,League!G45&lt;&gt;"",League!H45&lt;&gt;""),"X",0))),"|",League!G45,"-",League!H45)</f>
        <v>0|-</v>
      </c>
      <c r="D50" s="524"/>
      <c r="E50" s="263"/>
      <c r="F50" s="263"/>
      <c r="G50" s="263"/>
      <c r="H50" s="263"/>
      <c r="I50" s="278"/>
      <c r="J50" s="263"/>
      <c r="K50" s="264"/>
    </row>
    <row r="51" spans="1:11" ht="15" customHeight="1">
      <c r="A51" s="267">
        <v>3</v>
      </c>
      <c r="B51" s="268" t="str">
        <f>CONCATENATE(League!D46,"-",League!K46)</f>
        <v>Stuttgart-Atlético Madrid</v>
      </c>
      <c r="C51" s="286" t="str">
        <f>CONCATENATE(IF(League!G46&gt;League!H46,1,IF(League!G46&lt;League!H46,2,IF(AND(League!G46=League!H46,League!G46&lt;&gt;"",League!H46&lt;&gt;""),"X",0))),"|",League!G46,"-",League!H46)</f>
        <v>0|-</v>
      </c>
      <c r="D51" s="524"/>
      <c r="E51" s="263"/>
      <c r="F51" s="263"/>
      <c r="G51" s="263"/>
      <c r="H51" s="263"/>
      <c r="I51" s="278"/>
      <c r="J51" s="263"/>
      <c r="K51" s="264"/>
    </row>
    <row r="52" spans="1:11" ht="15" customHeight="1">
      <c r="A52" s="265">
        <v>3</v>
      </c>
      <c r="B52" s="266" t="str">
        <f>CONCATENATE(League!D47,"-",League!K47)</f>
        <v>Como-Manchester United</v>
      </c>
      <c r="C52" s="286" t="str">
        <f>CONCATENATE(IF(League!G47&gt;League!H47,1,IF(League!G47&lt;League!H47,2,IF(AND(League!G47=League!H47,League!G47&lt;&gt;"",League!H47&lt;&gt;""),"X",0))),"|",League!G47,"-",League!H47)</f>
        <v>0|-</v>
      </c>
      <c r="D52" s="524"/>
      <c r="E52" s="263"/>
      <c r="F52" s="263"/>
      <c r="G52" s="263"/>
      <c r="H52" s="263"/>
      <c r="I52" s="278"/>
      <c r="J52" s="263"/>
      <c r="K52" s="264"/>
    </row>
    <row r="53" spans="1:11" ht="15" customHeight="1">
      <c r="A53" s="267">
        <v>3</v>
      </c>
      <c r="B53" s="268" t="str">
        <f>CONCATENATE(League!D48,"-",League!K48)</f>
        <v>Lille-Galatasaray</v>
      </c>
      <c r="C53" s="286" t="str">
        <f>CONCATENATE(IF(League!G48&gt;League!H48,1,IF(League!G48&lt;League!H48,2,IF(AND(League!G48=League!H48,League!G48&lt;&gt;"",League!H48&lt;&gt;""),"X",0))),"|",League!G48,"-",League!H48)</f>
        <v>0|-</v>
      </c>
      <c r="D53" s="524"/>
      <c r="E53" s="263"/>
      <c r="F53" s="263"/>
      <c r="G53" s="263"/>
      <c r="H53" s="263"/>
      <c r="I53" s="278"/>
      <c r="J53" s="263"/>
      <c r="K53" s="264"/>
    </row>
    <row r="54" spans="1:11" ht="15" customHeight="1">
      <c r="A54" s="265">
        <v>3</v>
      </c>
      <c r="B54" s="266" t="str">
        <f>CONCATENATE(League!D49,"-",League!K49)</f>
        <v>Aston Villa-Viking</v>
      </c>
      <c r="C54" s="286" t="str">
        <f>CONCATENATE(IF(League!G49&gt;League!H49,1,IF(League!G49&lt;League!H49,2,IF(AND(League!G49=League!H49,League!G49&lt;&gt;"",League!H49&lt;&gt;""),"X",0))),"|",League!G49,"-",League!H49)</f>
        <v>0|-</v>
      </c>
      <c r="D54" s="524"/>
      <c r="E54" s="263"/>
      <c r="F54" s="263"/>
      <c r="G54" s="263"/>
      <c r="H54" s="263"/>
      <c r="I54" s="278"/>
      <c r="J54" s="263"/>
      <c r="K54" s="264"/>
    </row>
    <row r="55" spans="1:11" ht="15" customHeight="1">
      <c r="A55" s="267">
        <v>3</v>
      </c>
      <c r="B55" s="268" t="str">
        <f>CONCATENATE(League!D50,"-",League!K50)</f>
        <v>Brugge-Lens</v>
      </c>
      <c r="C55" s="286" t="str">
        <f>CONCATENATE(IF(League!G50&gt;League!H50,1,IF(League!G50&lt;League!H50,2,IF(AND(League!G50=League!H50,League!G50&lt;&gt;"",League!H50&lt;&gt;""),"X",0))),"|",League!G50,"-",League!H50)</f>
        <v>0|-</v>
      </c>
      <c r="D55" s="524"/>
      <c r="E55" s="263"/>
      <c r="F55" s="263"/>
      <c r="G55" s="263"/>
      <c r="H55" s="263"/>
      <c r="I55" s="278"/>
      <c r="J55" s="263"/>
      <c r="K55" s="264"/>
    </row>
    <row r="56" spans="1:11" ht="15" customHeight="1">
      <c r="A56" s="265">
        <v>3</v>
      </c>
      <c r="B56" s="266" t="str">
        <f>CONCATENATE(League!D51,"-",League!K51)</f>
        <v>Bayern München-Arsenal</v>
      </c>
      <c r="C56" s="286" t="str">
        <f>CONCATENATE(IF(League!G51&gt;League!H51,1,IF(League!G51&lt;League!H51,2,IF(AND(League!G51=League!H51,League!G51&lt;&gt;"",League!H51&lt;&gt;""),"X",0))),"|",League!G51,"-",League!H51)</f>
        <v>0|-</v>
      </c>
      <c r="D56" s="524"/>
      <c r="E56" s="263"/>
      <c r="F56" s="263"/>
      <c r="G56" s="263"/>
      <c r="H56" s="263"/>
      <c r="I56" s="278"/>
      <c r="J56" s="263"/>
      <c r="K56" s="264"/>
    </row>
    <row r="57" spans="1:11" ht="15" customHeight="1">
      <c r="A57" s="267">
        <v>3</v>
      </c>
      <c r="B57" s="268" t="str">
        <f>CONCATENATE(League!D52,"-",League!K52)</f>
        <v>Inter Milan-Shakhtar Donetsk</v>
      </c>
      <c r="C57" s="286" t="str">
        <f>CONCATENATE(IF(League!G52&gt;League!H52,1,IF(League!G52&lt;League!H52,2,IF(AND(League!G52=League!H52,League!G52&lt;&gt;"",League!H52&lt;&gt;""),"X",0))),"|",League!G52,"-",League!H52)</f>
        <v>0|-</v>
      </c>
      <c r="D57" s="524"/>
      <c r="E57" s="263"/>
      <c r="F57" s="263"/>
      <c r="G57" s="263"/>
      <c r="H57" s="263"/>
      <c r="I57" s="278"/>
      <c r="J57" s="263"/>
      <c r="K57" s="264"/>
    </row>
    <row r="58" spans="1:11" ht="15" customHeight="1">
      <c r="A58" s="265">
        <v>3</v>
      </c>
      <c r="B58" s="266" t="str">
        <f>CONCATENATE(League!D53,"-",League!K53)</f>
        <v>Real Madrid-Leipzig</v>
      </c>
      <c r="C58" s="286" t="str">
        <f>CONCATENATE(IF(League!G53&gt;League!H53,1,IF(League!G53&lt;League!H53,2,IF(AND(League!G53=League!H53,League!G53&lt;&gt;"",League!H53&lt;&gt;""),"X",0))),"|",League!G53,"-",League!H53)</f>
        <v>0|-</v>
      </c>
      <c r="D58" s="524"/>
      <c r="E58" s="263"/>
      <c r="F58" s="263"/>
      <c r="G58" s="263"/>
      <c r="H58" s="263"/>
      <c r="I58" s="278"/>
      <c r="J58" s="263"/>
      <c r="K58" s="264"/>
    </row>
    <row r="59" spans="1:11" ht="15" customHeight="1">
      <c r="A59" s="267">
        <v>3</v>
      </c>
      <c r="B59" s="268" t="str">
        <f>CONCATENATE(League!D54,"-",League!K54)</f>
        <v>Betis-Feyenoord</v>
      </c>
      <c r="C59" s="286" t="str">
        <f>CONCATENATE(IF(League!G54&gt;League!H54,1,IF(League!G54&lt;League!H54,2,IF(AND(League!G54=League!H54,League!G54&lt;&gt;"",League!H54&lt;&gt;""),"X",0))),"|",League!G54,"-",League!H54)</f>
        <v>0|-</v>
      </c>
      <c r="D59" s="524"/>
      <c r="E59" s="263"/>
      <c r="F59" s="263"/>
      <c r="G59" s="263"/>
      <c r="H59" s="263"/>
      <c r="I59" s="278"/>
      <c r="J59" s="263"/>
      <c r="K59" s="264"/>
    </row>
    <row r="60" spans="1:11" ht="15" customHeight="1" thickBot="1">
      <c r="A60" s="279">
        <v>3</v>
      </c>
      <c r="B60" s="280" t="str">
        <f>CONCATENATE(League!D55,"-",League!K55)</f>
        <v>Sporting Portugal-LASK</v>
      </c>
      <c r="C60" s="288" t="str">
        <f>CONCATENATE(IF(League!G55&gt;League!H55,1,IF(League!G55&lt;League!H55,2,IF(AND(League!G55=League!H55,League!G55&lt;&gt;"",League!H55&lt;&gt;""),"X",0))),"|",League!G55,"-",League!H55)</f>
        <v>0|-</v>
      </c>
      <c r="D60" s="524"/>
      <c r="E60" s="263"/>
      <c r="F60" s="263"/>
      <c r="G60" s="263"/>
      <c r="H60" s="263"/>
      <c r="I60" s="278"/>
      <c r="J60" s="263"/>
      <c r="K60" s="264"/>
    </row>
    <row r="61" spans="1:11" ht="15" customHeight="1">
      <c r="A61" s="271">
        <v>4</v>
      </c>
      <c r="B61" s="272" t="str">
        <f>CONCATENATE(League!D56,"-",League!K56)</f>
        <v>Shakhtar Donetsk-Sporting Portugal</v>
      </c>
      <c r="C61" s="286" t="str">
        <f>CONCATENATE(IF(League!G56&gt;League!H56,1,IF(League!G56&lt;League!H56,2,IF(AND(League!G56=League!H56,League!G56&lt;&gt;"",League!H56&lt;&gt;""),"X",0))),"|",League!G56,"-",League!H56)</f>
        <v>0|-</v>
      </c>
      <c r="D61" s="523" t="str">
        <f>+Idiomas!D104</f>
        <v>J4</v>
      </c>
      <c r="E61" s="529" t="str">
        <f>+Idiomas!D87</f>
        <v>·Para la 4ª jornada selecciona de la C61 a la C78 y pega valores en la plantilla de administrador</v>
      </c>
      <c r="F61" s="530"/>
      <c r="G61" s="530"/>
      <c r="H61" s="530"/>
      <c r="I61" s="273"/>
      <c r="J61" s="263"/>
      <c r="K61" s="264"/>
    </row>
    <row r="62" spans="1:11" ht="15" customHeight="1">
      <c r="A62" s="274">
        <v>4</v>
      </c>
      <c r="B62" s="275" t="str">
        <f>CONCATENATE(League!D57,"-",League!K57)</f>
        <v>Galatasaray-Stuttgart</v>
      </c>
      <c r="C62" s="286" t="str">
        <f>CONCATENATE(IF(League!G57&gt;League!H57,1,IF(League!G57&lt;League!H57,2,IF(AND(League!G57=League!H57,League!G57&lt;&gt;"",League!H57&lt;&gt;""),"X",0))),"|",League!G57,"-",League!H57)</f>
        <v>0|-</v>
      </c>
      <c r="D62" s="523"/>
      <c r="E62" s="530"/>
      <c r="F62" s="530"/>
      <c r="G62" s="530"/>
      <c r="H62" s="530"/>
      <c r="I62" s="273"/>
      <c r="J62" s="263"/>
      <c r="K62" s="264"/>
    </row>
    <row r="63" spans="1:11" ht="15" customHeight="1">
      <c r="A63" s="274">
        <v>4</v>
      </c>
      <c r="B63" s="275" t="str">
        <f>CONCATENATE(League!D58,"-",League!K58)</f>
        <v>Atlético Madrid-Bayern München</v>
      </c>
      <c r="C63" s="286" t="str">
        <f>CONCATENATE(IF(League!G58&gt;League!H58,1,IF(League!G58&lt;League!H58,2,IF(AND(League!G58=League!H58,League!G58&lt;&gt;"",League!H58&lt;&gt;""),"X",0))),"|",League!G58,"-",League!H58)</f>
        <v>0|-</v>
      </c>
      <c r="D63" s="523"/>
      <c r="E63" s="530"/>
      <c r="F63" s="530"/>
      <c r="G63" s="530"/>
      <c r="H63" s="530"/>
      <c r="I63" s="273"/>
      <c r="J63" s="263"/>
      <c r="K63" s="264"/>
    </row>
    <row r="64" spans="1:11" ht="15" customHeight="1">
      <c r="A64" s="274">
        <v>4</v>
      </c>
      <c r="B64" s="275" t="str">
        <f>CONCATENATE(League!D59,"-",League!K59)</f>
        <v>Barcelona-Aston Villa</v>
      </c>
      <c r="C64" s="286" t="str">
        <f>CONCATENATE(IF(League!G59&gt;League!H59,1,IF(League!G59&lt;League!H59,2,IF(AND(League!G59=League!H59,League!G59&lt;&gt;"",League!H59&lt;&gt;""),"X",0))),"|",League!G59,"-",League!H59)</f>
        <v>0|-</v>
      </c>
      <c r="D64" s="523"/>
      <c r="E64" s="530"/>
      <c r="F64" s="530"/>
      <c r="G64" s="530"/>
      <c r="H64" s="530"/>
      <c r="I64" s="273"/>
      <c r="J64" s="263"/>
      <c r="K64" s="264"/>
    </row>
    <row r="65" spans="1:11" ht="15" customHeight="1">
      <c r="A65" s="274">
        <v>4</v>
      </c>
      <c r="B65" s="275" t="str">
        <f>CONCATENATE(League!D60,"-",League!K60)</f>
        <v>Feyenoord-Inter Milan</v>
      </c>
      <c r="C65" s="286" t="str">
        <f>CONCATENATE(IF(League!G60&gt;League!H60,1,IF(League!G60&lt;League!H60,2,IF(AND(League!G60=League!H60,League!G60&lt;&gt;"",League!H60&lt;&gt;""),"X",0))),"|",League!G60,"-",League!H60)</f>
        <v>0|-</v>
      </c>
      <c r="D65" s="523"/>
      <c r="E65" s="263"/>
      <c r="F65" s="263"/>
      <c r="G65" s="263"/>
      <c r="H65" s="263"/>
      <c r="I65" s="273"/>
      <c r="J65" s="263"/>
      <c r="K65" s="264"/>
    </row>
    <row r="66" spans="1:11" ht="15" customHeight="1">
      <c r="A66" s="274">
        <v>4</v>
      </c>
      <c r="B66" s="275" t="str">
        <f>CONCATENATE(League!D61,"-",League!K61)</f>
        <v>Bodø/Glimt-Lille</v>
      </c>
      <c r="C66" s="286" t="str">
        <f>CONCATENATE(IF(League!G61&gt;League!H61,1,IF(League!G61&lt;League!H61,2,IF(AND(League!G61=League!H61,League!G61&lt;&gt;"",League!H61&lt;&gt;""),"X",0))),"|",League!G61,"-",League!H61)</f>
        <v>0|-</v>
      </c>
      <c r="D66" s="523"/>
      <c r="E66" s="263"/>
      <c r="F66" s="263"/>
      <c r="G66" s="263"/>
      <c r="H66" s="263"/>
      <c r="I66" s="273"/>
      <c r="J66" s="263"/>
      <c r="K66" s="264"/>
    </row>
    <row r="67" spans="1:11" ht="15" customHeight="1">
      <c r="A67" s="274">
        <v>4</v>
      </c>
      <c r="B67" s="275" t="str">
        <f>CONCATENATE(League!D62,"-",League!K62)</f>
        <v>LASK-Slovan Bratislava </v>
      </c>
      <c r="C67" s="286" t="str">
        <f>CONCATENATE(IF(League!G62&gt;League!H62,1,IF(League!G62&lt;League!H62,2,IF(AND(League!G62=League!H62,League!G62&lt;&gt;"",League!H62&lt;&gt;""),"X",0))),"|",League!G62,"-",League!H62)</f>
        <v>0|-</v>
      </c>
      <c r="D67" s="523"/>
      <c r="E67" s="263"/>
      <c r="F67" s="263"/>
      <c r="G67" s="263"/>
      <c r="H67" s="263"/>
      <c r="I67" s="273"/>
      <c r="J67" s="263"/>
      <c r="K67" s="264"/>
    </row>
    <row r="68" spans="1:11" ht="15" customHeight="1">
      <c r="A68" s="274">
        <v>4</v>
      </c>
      <c r="B68" s="275" t="str">
        <f>CONCATENATE(League!D63,"-",League!K63)</f>
        <v>Manchester United-Roma</v>
      </c>
      <c r="C68" s="286" t="str">
        <f>CONCATENATE(IF(League!G63&gt;League!H63,1,IF(League!G63&lt;League!H63,2,IF(AND(League!G63=League!H63,League!G63&lt;&gt;"",League!H63&lt;&gt;""),"X",0))),"|",League!G63,"-",League!H63)</f>
        <v>0|-</v>
      </c>
      <c r="D68" s="523"/>
      <c r="E68" s="263"/>
      <c r="F68" s="263"/>
      <c r="G68" s="263"/>
      <c r="H68" s="263"/>
      <c r="I68" s="273"/>
      <c r="J68" s="263"/>
      <c r="K68" s="264"/>
    </row>
    <row r="69" spans="1:11" ht="15" customHeight="1">
      <c r="A69" s="274">
        <v>4</v>
      </c>
      <c r="B69" s="275" t="str">
        <f>CONCATENATE(League!D64,"-",League!K64)</f>
        <v>Villarreal-PSG</v>
      </c>
      <c r="C69" s="286" t="str">
        <f>CONCATENATE(IF(League!G64&gt;League!H64,1,IF(League!G64&lt;League!H64,2,IF(AND(League!G64=League!H64,League!G64&lt;&gt;"",League!H64&lt;&gt;""),"X",0))),"|",League!G64,"-",League!H64)</f>
        <v>0|-</v>
      </c>
      <c r="D69" s="523"/>
      <c r="E69" s="263"/>
      <c r="F69" s="263"/>
      <c r="G69" s="263"/>
      <c r="H69" s="263"/>
      <c r="I69" s="273"/>
      <c r="J69" s="263"/>
      <c r="K69" s="264"/>
    </row>
    <row r="70" spans="1:11" ht="15" customHeight="1">
      <c r="A70" s="274">
        <v>4</v>
      </c>
      <c r="B70" s="275" t="str">
        <f>CONCATENATE(League!D65,"-",League!K65)</f>
        <v>AEK-Real Madrid</v>
      </c>
      <c r="C70" s="286" t="str">
        <f>CONCATENATE(IF(League!G65&gt;League!H65,1,IF(League!G65&lt;League!H65,2,IF(AND(League!G65=League!H65,League!G65&lt;&gt;"",League!H65&lt;&gt;""),"X",0))),"|",League!G65,"-",League!H65)</f>
        <v>0|-</v>
      </c>
      <c r="D70" s="523"/>
      <c r="E70" s="263"/>
      <c r="F70" s="263"/>
      <c r="G70" s="263"/>
      <c r="H70" s="263"/>
      <c r="I70" s="273"/>
      <c r="J70" s="263"/>
      <c r="K70" s="264"/>
    </row>
    <row r="71" spans="1:11" ht="15" customHeight="1">
      <c r="A71" s="274">
        <v>4</v>
      </c>
      <c r="B71" s="275" t="str">
        <f>CONCATENATE(League!D66,"-",League!K66)</f>
        <v>Fenerbahçe -Liverpool</v>
      </c>
      <c r="C71" s="286" t="str">
        <f>CONCATENATE(IF(League!G66&gt;League!H66,1,IF(League!G66&lt;League!H66,2,IF(AND(League!G66=League!H66,League!G66&lt;&gt;"",League!H66&lt;&gt;""),"X",0))),"|",League!G66,"-",League!H66)</f>
        <v>0|-</v>
      </c>
      <c r="D71" s="523"/>
      <c r="E71" s="263"/>
      <c r="F71" s="263"/>
      <c r="G71" s="263"/>
      <c r="H71" s="263"/>
      <c r="I71" s="273"/>
      <c r="J71" s="263"/>
      <c r="K71" s="264"/>
    </row>
    <row r="72" spans="1:11" ht="15" customHeight="1">
      <c r="A72" s="274">
        <v>4</v>
      </c>
      <c r="B72" s="275" t="str">
        <f>CONCATENATE(League!D67,"-",League!K67)</f>
        <v>Borussia Dortmund-Betis</v>
      </c>
      <c r="C72" s="286" t="str">
        <f>CONCATENATE(IF(League!G67&gt;League!H67,1,IF(League!G67&lt;League!H67,2,IF(AND(League!G67=League!H67,League!G67&lt;&gt;"",League!H67&lt;&gt;""),"X",0))),"|",League!G67,"-",League!H67)</f>
        <v>0|-</v>
      </c>
      <c r="D72" s="523"/>
      <c r="E72" s="263"/>
      <c r="F72" s="263"/>
      <c r="G72" s="263"/>
      <c r="H72" s="263"/>
      <c r="I72" s="273"/>
      <c r="J72" s="263"/>
      <c r="K72" s="264"/>
    </row>
    <row r="73" spans="1:11" ht="15" customHeight="1">
      <c r="A73" s="274">
        <v>4</v>
      </c>
      <c r="B73" s="275" t="str">
        <f>CONCATENATE(League!D68,"-",League!K68)</f>
        <v>Porto-Napoli</v>
      </c>
      <c r="C73" s="286" t="str">
        <f>CONCATENATE(IF(League!G68&gt;League!H68,1,IF(League!G68&lt;League!H68,2,IF(AND(League!G68=League!H68,League!G68&lt;&gt;"",League!H68&lt;&gt;""),"X",0))),"|",League!G68,"-",League!H68)</f>
        <v>0|-</v>
      </c>
      <c r="D73" s="523"/>
      <c r="E73" s="263"/>
      <c r="F73" s="263"/>
      <c r="G73" s="263"/>
      <c r="H73" s="263"/>
      <c r="I73" s="273"/>
      <c r="J73" s="263"/>
      <c r="K73" s="264"/>
    </row>
    <row r="74" spans="1:11" ht="15" customHeight="1">
      <c r="A74" s="274">
        <v>4</v>
      </c>
      <c r="B74" s="275" t="str">
        <f>CONCATENATE(League!D69,"-",League!K69)</f>
        <v>PSV Eindhoven-Brugge</v>
      </c>
      <c r="C74" s="286" t="str">
        <f>CONCATENATE(IF(League!G69&gt;League!H69,1,IF(League!G69&lt;League!H69,2,IF(AND(League!G69=League!H69,League!G69&lt;&gt;"",League!H69&lt;&gt;""),"X",0))),"|",League!G69,"-",League!H69)</f>
        <v>0|-</v>
      </c>
      <c r="D74" s="523"/>
      <c r="E74" s="263"/>
      <c r="F74" s="263"/>
      <c r="G74" s="263"/>
      <c r="H74" s="263"/>
      <c r="I74" s="273"/>
      <c r="J74" s="263"/>
      <c r="K74" s="264"/>
    </row>
    <row r="75" spans="1:11" ht="15" customHeight="1">
      <c r="A75" s="274">
        <v>4</v>
      </c>
      <c r="B75" s="275" t="str">
        <f>CONCATENATE(League!D70,"-",League!K70)</f>
        <v>Leipzig-Manchester City</v>
      </c>
      <c r="C75" s="286" t="str">
        <f>CONCATENATE(IF(League!G70&gt;League!H70,1,IF(League!G70&lt;League!H70,2,IF(AND(League!G70=League!H70,League!G70&lt;&gt;"",League!H70&lt;&gt;""),"X",0))),"|",League!G70,"-",League!H70)</f>
        <v>0|-</v>
      </c>
      <c r="D75" s="523"/>
      <c r="E75" s="263"/>
      <c r="F75" s="263"/>
      <c r="G75" s="263"/>
      <c r="H75" s="263"/>
      <c r="I75" s="273"/>
      <c r="J75" s="263"/>
      <c r="K75" s="264"/>
    </row>
    <row r="76" spans="1:11" ht="15" customHeight="1">
      <c r="A76" s="274">
        <v>4</v>
      </c>
      <c r="B76" s="275" t="str">
        <f>CONCATENATE(League!D71,"-",League!K71)</f>
        <v>Lens-Como</v>
      </c>
      <c r="C76" s="286" t="str">
        <f>CONCATENATE(IF(League!G71&gt;League!H71,1,IF(League!G71&lt;League!H71,2,IF(AND(League!G71=League!H71,League!G71&lt;&gt;"",League!H71&lt;&gt;""),"X",0))),"|",League!G71,"-",League!H71)</f>
        <v>0|-</v>
      </c>
      <c r="D76" s="523"/>
      <c r="E76" s="263"/>
      <c r="F76" s="263"/>
      <c r="G76" s="263"/>
      <c r="H76" s="263"/>
      <c r="I76" s="273"/>
      <c r="J76" s="263"/>
      <c r="K76" s="264"/>
    </row>
    <row r="77" spans="1:11" ht="15" customHeight="1">
      <c r="A77" s="274">
        <v>4</v>
      </c>
      <c r="B77" s="275" t="str">
        <f>CONCATENATE(League!D72,"-",League!K72)</f>
        <v>Slavia Praha-Arsenal</v>
      </c>
      <c r="C77" s="286" t="str">
        <f>CONCATENATE(IF(League!G72&gt;League!H72,1,IF(League!G72&lt;League!H72,2,IF(AND(League!G72=League!H72,League!G72&lt;&gt;"",League!H72&lt;&gt;""),"X",0))),"|",League!G72,"-",League!H72)</f>
        <v>0|-</v>
      </c>
      <c r="D77" s="523"/>
      <c r="E77" s="263"/>
      <c r="F77" s="263"/>
      <c r="G77" s="263"/>
      <c r="H77" s="263"/>
      <c r="I77" s="273"/>
      <c r="J77" s="263"/>
      <c r="K77" s="264"/>
    </row>
    <row r="78" spans="1:11" ht="16" customHeight="1" thickBot="1">
      <c r="A78" s="276">
        <v>4</v>
      </c>
      <c r="B78" s="277" t="str">
        <f>CONCATENATE(League!D73,"-",League!K73)</f>
        <v>Viking-Sabah</v>
      </c>
      <c r="C78" s="287" t="str">
        <f>CONCATENATE(IF(League!G73&gt;League!H73,1,IF(League!G73&lt;League!H73,2,IF(AND(League!G73=League!H73,League!G73&lt;&gt;"",League!H73&lt;&gt;""),"X",0))),"|",League!G73,"-",League!H73)</f>
        <v>0|-</v>
      </c>
      <c r="D78" s="523"/>
      <c r="E78" s="263"/>
      <c r="F78" s="263"/>
      <c r="G78" s="263"/>
      <c r="H78" s="263"/>
      <c r="I78" s="273"/>
      <c r="J78" s="263"/>
      <c r="K78" s="264"/>
    </row>
    <row r="79" spans="1:11" ht="15" customHeight="1">
      <c r="A79" s="265">
        <v>5</v>
      </c>
      <c r="B79" s="266" t="str">
        <f>CONCATENATE(League!D74,"-",League!K74)</f>
        <v>Bodø/Glimt-LASK</v>
      </c>
      <c r="C79" s="286" t="str">
        <f>CONCATENATE(IF(League!G74&gt;League!H74,1,IF(League!G74&lt;League!H74,2,IF(AND(League!G74=League!H74,League!G74&lt;&gt;"",League!H74&lt;&gt;""),"X",0))),"|",League!G74,"-",League!H74)</f>
        <v>0|-</v>
      </c>
      <c r="D79" s="524" t="str">
        <f>+Idiomas!D105</f>
        <v>J5</v>
      </c>
      <c r="E79" s="525" t="str">
        <f>+Idiomas!D88</f>
        <v>·Para la 5ª jornada selecciona de la C79 a la C96 y pega valores en la plantilla de administrador</v>
      </c>
      <c r="F79" s="526"/>
      <c r="G79" s="526"/>
      <c r="H79" s="526"/>
      <c r="I79" s="278"/>
      <c r="J79" s="263"/>
      <c r="K79" s="264"/>
    </row>
    <row r="80" spans="1:11" ht="15" customHeight="1">
      <c r="A80" s="265">
        <v>5</v>
      </c>
      <c r="B80" s="266" t="str">
        <f>CONCATENATE(League!D75,"-",League!K75)</f>
        <v>Galatasaray-Aston Villa</v>
      </c>
      <c r="C80" s="286" t="str">
        <f>CONCATENATE(IF(League!G75&gt;League!H75,1,IF(League!G75&lt;League!H75,2,IF(AND(League!G75=League!H75,League!G75&lt;&gt;"",League!H75&lt;&gt;""),"X",0))),"|",League!G75,"-",League!H75)</f>
        <v>0|-</v>
      </c>
      <c r="D80" s="524"/>
      <c r="E80" s="526"/>
      <c r="F80" s="526"/>
      <c r="G80" s="526"/>
      <c r="H80" s="526"/>
      <c r="I80" s="278"/>
      <c r="J80" s="263"/>
      <c r="K80" s="264"/>
    </row>
    <row r="81" spans="1:11" ht="15" customHeight="1">
      <c r="A81" s="267">
        <v>5</v>
      </c>
      <c r="B81" s="268" t="str">
        <f>CONCATENATE(League!D76,"-",League!K76)</f>
        <v>Arsenal-Borussia Dortmund</v>
      </c>
      <c r="C81" s="286" t="str">
        <f>CONCATENATE(IF(League!G76&gt;League!H76,1,IF(League!G76&lt;League!H76,2,IF(AND(League!G76=League!H76,League!G76&lt;&gt;"",League!H76&lt;&gt;""),"X",0))),"|",League!G76,"-",League!H76)</f>
        <v>0|-</v>
      </c>
      <c r="D81" s="524"/>
      <c r="E81" s="526"/>
      <c r="F81" s="526"/>
      <c r="G81" s="526"/>
      <c r="H81" s="526"/>
      <c r="I81" s="278"/>
      <c r="J81" s="263"/>
      <c r="K81" s="264"/>
    </row>
    <row r="82" spans="1:11" ht="15" customHeight="1">
      <c r="A82" s="265">
        <v>5</v>
      </c>
      <c r="B82" s="266" t="str">
        <f>CONCATENATE(League!D77,"-",League!K77)</f>
        <v>Como-AEK</v>
      </c>
      <c r="C82" s="286" t="str">
        <f>CONCATENATE(IF(League!G77&gt;League!H77,1,IF(League!G77&lt;League!H77,2,IF(AND(League!G77=League!H77,League!G77&lt;&gt;"",League!H77&lt;&gt;""),"X",0))),"|",League!G77,"-",League!H77)</f>
        <v>0|-</v>
      </c>
      <c r="D82" s="524"/>
      <c r="E82" s="526"/>
      <c r="F82" s="526"/>
      <c r="G82" s="526"/>
      <c r="H82" s="526"/>
      <c r="I82" s="278"/>
      <c r="J82" s="263"/>
      <c r="K82" s="264"/>
    </row>
    <row r="83" spans="1:11" ht="15" customHeight="1">
      <c r="A83" s="267">
        <v>5</v>
      </c>
      <c r="B83" s="268" t="str">
        <f>CONCATENATE(League!D78,"-",League!K78)</f>
        <v>Feyenoord-Porto</v>
      </c>
      <c r="C83" s="286" t="str">
        <f>CONCATENATE(IF(League!G78&gt;League!H78,1,IF(League!G78&lt;League!H78,2,IF(AND(League!G78=League!H78,League!G78&lt;&gt;"",League!H78&lt;&gt;""),"X",0))),"|",League!G78,"-",League!H78)</f>
        <v>0|-</v>
      </c>
      <c r="D83" s="524"/>
      <c r="E83" s="263"/>
      <c r="F83" s="263"/>
      <c r="G83" s="263"/>
      <c r="H83" s="263"/>
      <c r="I83" s="278"/>
      <c r="J83" s="263"/>
      <c r="K83" s="264"/>
    </row>
    <row r="84" spans="1:11" ht="15" customHeight="1">
      <c r="A84" s="265">
        <v>5</v>
      </c>
      <c r="B84" s="266" t="str">
        <f>CONCATENATE(League!D79,"-",League!K79)</f>
        <v>Manchester City-Napoli</v>
      </c>
      <c r="C84" s="286" t="str">
        <f>CONCATENATE(IF(League!G79&gt;League!H79,1,IF(League!G79&lt;League!H79,2,IF(AND(League!G79=League!H79,League!G79&lt;&gt;"",League!H79&lt;&gt;""),"X",0))),"|",League!G79,"-",League!H79)</f>
        <v>0|-</v>
      </c>
      <c r="D84" s="524"/>
      <c r="E84" s="263"/>
      <c r="F84" s="263"/>
      <c r="G84" s="263"/>
      <c r="H84" s="263"/>
      <c r="I84" s="278"/>
      <c r="J84" s="263"/>
      <c r="K84" s="264"/>
    </row>
    <row r="85" spans="1:11" ht="15" customHeight="1">
      <c r="A85" s="267">
        <v>5</v>
      </c>
      <c r="B85" s="268" t="str">
        <f>CONCATENATE(League!D80,"-",League!K80)</f>
        <v>Leipzig-Lens</v>
      </c>
      <c r="C85" s="286" t="str">
        <f>CONCATENATE(IF(League!G80&gt;League!H80,1,IF(League!G80&lt;League!H80,2,IF(AND(League!G80=League!H80,League!G80&lt;&gt;"",League!H80&lt;&gt;""),"X",0))),"|",League!G80,"-",League!H80)</f>
        <v>0|-</v>
      </c>
      <c r="D85" s="524"/>
      <c r="E85" s="263"/>
      <c r="F85" s="263"/>
      <c r="G85" s="263"/>
      <c r="H85" s="263"/>
      <c r="I85" s="278"/>
      <c r="J85" s="263"/>
      <c r="K85" s="264"/>
    </row>
    <row r="86" spans="1:11" ht="15" customHeight="1">
      <c r="A86" s="265">
        <v>5</v>
      </c>
      <c r="B86" s="266" t="str">
        <f>CONCATENATE(League!D81,"-",League!K81)</f>
        <v>Real Madrid-PSV Eindhoven</v>
      </c>
      <c r="C86" s="286" t="str">
        <f>CONCATENATE(IF(League!G81&gt;League!H81,1,IF(League!G81&lt;League!H81,2,IF(AND(League!G81=League!H81,League!G81&lt;&gt;"",League!H81&lt;&gt;""),"X",0))),"|",League!G81,"-",League!H81)</f>
        <v>0|-</v>
      </c>
      <c r="D86" s="524"/>
      <c r="E86" s="263"/>
      <c r="F86" s="263"/>
      <c r="G86" s="263"/>
      <c r="H86" s="263"/>
      <c r="I86" s="278"/>
      <c r="J86" s="263"/>
      <c r="K86" s="264"/>
    </row>
    <row r="87" spans="1:11" ht="15" customHeight="1">
      <c r="A87" s="267">
        <v>5</v>
      </c>
      <c r="B87" s="268" t="str">
        <f>CONCATENATE(League!D82,"-",League!K82)</f>
        <v>Slovan Bratislava -Betis</v>
      </c>
      <c r="C87" s="286" t="str">
        <f>CONCATENATE(IF(League!G82&gt;League!H82,1,IF(League!G82&lt;League!H82,2,IF(AND(League!G82=League!H82,League!G82&lt;&gt;"",League!H82&lt;&gt;""),"X",0))),"|",League!G82,"-",League!H82)</f>
        <v>0|-</v>
      </c>
      <c r="D87" s="524"/>
      <c r="E87" s="263"/>
      <c r="F87" s="263"/>
      <c r="G87" s="263"/>
      <c r="H87" s="263"/>
      <c r="I87" s="278"/>
      <c r="J87" s="263"/>
      <c r="K87" s="264"/>
    </row>
    <row r="88" spans="1:11" ht="15" customHeight="1">
      <c r="A88" s="265">
        <v>5</v>
      </c>
      <c r="B88" s="266" t="str">
        <f>CONCATENATE(League!D83,"-",League!K83)</f>
        <v>Sabah-Barcelona</v>
      </c>
      <c r="C88" s="286" t="str">
        <f>CONCATENATE(IF(League!G83&gt;League!H83,1,IF(League!G83&lt;League!H83,2,IF(AND(League!G83=League!H83,League!G83&lt;&gt;"",League!H83&lt;&gt;""),"X",0))),"|",League!G83,"-",League!H83)</f>
        <v>0|-</v>
      </c>
      <c r="D88" s="524"/>
      <c r="E88" s="263"/>
      <c r="F88" s="263"/>
      <c r="G88" s="263"/>
      <c r="H88" s="263"/>
      <c r="I88" s="278"/>
      <c r="J88" s="263"/>
      <c r="K88" s="264"/>
    </row>
    <row r="89" spans="1:11" ht="15" customHeight="1">
      <c r="A89" s="267">
        <v>5</v>
      </c>
      <c r="B89" s="268" t="str">
        <f>CONCATENATE(League!D84,"-",League!K84)</f>
        <v>Slavia Praha-Villarreal</v>
      </c>
      <c r="C89" s="286" t="str">
        <f>CONCATENATE(IF(League!G84&gt;League!H84,1,IF(League!G84&lt;League!H84,2,IF(AND(League!G84=League!H84,League!G84&lt;&gt;"",League!H84&lt;&gt;""),"X",0))),"|",League!G84,"-",League!H84)</f>
        <v>0|-</v>
      </c>
      <c r="D89" s="524"/>
      <c r="E89" s="263"/>
      <c r="F89" s="263"/>
      <c r="G89" s="263"/>
      <c r="H89" s="263"/>
      <c r="I89" s="278"/>
      <c r="J89" s="263"/>
      <c r="K89" s="264"/>
    </row>
    <row r="90" spans="1:11" ht="15" customHeight="1">
      <c r="A90" s="265">
        <v>5</v>
      </c>
      <c r="B90" s="266" t="str">
        <f>CONCATENATE(League!D85,"-",League!K85)</f>
        <v>Atlético Madrid-Viking</v>
      </c>
      <c r="C90" s="286" t="str">
        <f>CONCATENATE(IF(League!G85&gt;League!H85,1,IF(League!G85&lt;League!H85,2,IF(AND(League!G85=League!H85,League!G85&lt;&gt;"",League!H85&lt;&gt;""),"X",0))),"|",League!G85,"-",League!H85)</f>
        <v>0|-</v>
      </c>
      <c r="D90" s="524"/>
      <c r="E90" s="263"/>
      <c r="F90" s="263"/>
      <c r="G90" s="263"/>
      <c r="H90" s="263"/>
      <c r="I90" s="278"/>
      <c r="J90" s="263"/>
      <c r="K90" s="264"/>
    </row>
    <row r="91" spans="1:11" ht="15" customHeight="1">
      <c r="A91" s="267">
        <v>5</v>
      </c>
      <c r="B91" s="268" t="str">
        <f>CONCATENATE(League!D86,"-",League!K86)</f>
        <v>Brugge-Liverpool</v>
      </c>
      <c r="C91" s="286" t="str">
        <f>CONCATENATE(IF(League!G86&gt;League!H86,1,IF(League!G86&lt;League!H86,2,IF(AND(League!G86=League!H86,League!G86&lt;&gt;"",League!H86&lt;&gt;""),"X",0))),"|",League!G86,"-",League!H86)</f>
        <v>0|-</v>
      </c>
      <c r="D91" s="524"/>
      <c r="E91" s="263"/>
      <c r="F91" s="263"/>
      <c r="G91" s="263"/>
      <c r="H91" s="263"/>
      <c r="I91" s="278"/>
      <c r="J91" s="263"/>
      <c r="K91" s="264"/>
    </row>
    <row r="92" spans="1:11" ht="15" customHeight="1">
      <c r="A92" s="265">
        <v>5</v>
      </c>
      <c r="B92" s="266" t="str">
        <f>CONCATENATE(League!D87,"-",League!K87)</f>
        <v>Inter Milan-Stuttgart</v>
      </c>
      <c r="C92" s="286" t="str">
        <f>CONCATENATE(IF(League!G87&gt;League!H87,1,IF(League!G87&lt;League!H87,2,IF(AND(League!G87=League!H87,League!G87&lt;&gt;"",League!H87&lt;&gt;""),"X",0))),"|",League!G87,"-",League!H87)</f>
        <v>0|-</v>
      </c>
      <c r="D92" s="524"/>
      <c r="E92" s="263"/>
      <c r="F92" s="263"/>
      <c r="G92" s="263"/>
      <c r="H92" s="263"/>
      <c r="I92" s="278"/>
      <c r="J92" s="263"/>
      <c r="K92" s="264"/>
    </row>
    <row r="93" spans="1:11" ht="15" customHeight="1">
      <c r="A93" s="267">
        <v>5</v>
      </c>
      <c r="B93" s="268" t="str">
        <f>CONCATENATE(League!D88,"-",League!K88)</f>
        <v>Shakhtar Donetsk-Fenerbahçe </v>
      </c>
      <c r="C93" s="286" t="str">
        <f>CONCATENATE(IF(League!G88&gt;League!H88,1,IF(League!G88&lt;League!H88,2,IF(AND(League!G88=League!H88,League!G88&lt;&gt;"",League!H88&lt;&gt;""),"X",0))),"|",League!G88,"-",League!H88)</f>
        <v>0|-</v>
      </c>
      <c r="D93" s="524"/>
      <c r="E93" s="263"/>
      <c r="F93" s="263"/>
      <c r="G93" s="263"/>
      <c r="H93" s="263"/>
      <c r="I93" s="278"/>
      <c r="J93" s="263"/>
      <c r="K93" s="264"/>
    </row>
    <row r="94" spans="1:11" ht="15" customHeight="1">
      <c r="A94" s="265">
        <v>5</v>
      </c>
      <c r="B94" s="266" t="str">
        <f>CONCATENATE(League!D89,"-",League!K89)</f>
        <v>Lille-Bayern München</v>
      </c>
      <c r="C94" s="286" t="str">
        <f>CONCATENATE(IF(League!G89&gt;League!H89,1,IF(League!G89&lt;League!H89,2,IF(AND(League!G89=League!H89,League!G89&lt;&gt;"",League!H89&lt;&gt;""),"X",0))),"|",League!G89,"-",League!H89)</f>
        <v>0|-</v>
      </c>
      <c r="D94" s="524"/>
      <c r="E94" s="263"/>
      <c r="F94" s="263"/>
      <c r="G94" s="263"/>
      <c r="H94" s="263"/>
      <c r="I94" s="278"/>
      <c r="J94" s="263"/>
      <c r="K94" s="264"/>
    </row>
    <row r="95" spans="1:11" ht="15" customHeight="1">
      <c r="A95" s="267">
        <v>5</v>
      </c>
      <c r="B95" s="268" t="str">
        <f>CONCATENATE(League!D90,"-",League!K90)</f>
        <v>PSG-Roma</v>
      </c>
      <c r="C95" s="286" t="str">
        <f>CONCATENATE(IF(League!G90&gt;League!H90,1,IF(League!G90&lt;League!H90,2,IF(AND(League!G90=League!H90,League!G90&lt;&gt;"",League!H90&lt;&gt;""),"X",0))),"|",League!G90,"-",League!H90)</f>
        <v>0|-</v>
      </c>
      <c r="D95" s="524"/>
      <c r="E95" s="263"/>
      <c r="F95" s="263"/>
      <c r="G95" s="263"/>
      <c r="H95" s="263"/>
      <c r="I95" s="278"/>
      <c r="J95" s="263"/>
      <c r="K95" s="264"/>
    </row>
    <row r="96" spans="1:11" ht="15" customHeight="1" thickBot="1">
      <c r="A96" s="269">
        <v>5</v>
      </c>
      <c r="B96" s="270" t="str">
        <f>CONCATENATE(League!D91,"-",League!K91)</f>
        <v>Sporting Portugal-Manchester United</v>
      </c>
      <c r="C96" s="287" t="str">
        <f>CONCATENATE(IF(League!G91&gt;League!H91,1,IF(League!G91&lt;League!H91,2,IF(AND(League!G91=League!H91,League!G91&lt;&gt;"",League!H91&lt;&gt;""),"X",0))),"|",League!G91,"-",League!H91)</f>
        <v>0|-</v>
      </c>
      <c r="D96" s="524"/>
      <c r="E96" s="263"/>
      <c r="F96" s="263"/>
      <c r="G96" s="263"/>
      <c r="H96" s="263"/>
      <c r="I96" s="278"/>
      <c r="J96" s="263"/>
      <c r="K96" s="264"/>
    </row>
    <row r="97" spans="1:11" ht="15" customHeight="1">
      <c r="A97" s="271">
        <v>6</v>
      </c>
      <c r="B97" s="272" t="str">
        <f>CONCATENATE(League!D92,"-",League!K92)</f>
        <v>Viking-Feyenoord</v>
      </c>
      <c r="C97" s="286" t="str">
        <f>CONCATENATE(IF(League!G92&gt;League!H92,1,IF(League!G92&lt;League!H92,2,IF(AND(League!G92=League!H92,League!G92&lt;&gt;"",League!H92&lt;&gt;""),"X",0))),"|",League!G92,"-",League!H92)</f>
        <v>0|-</v>
      </c>
      <c r="D97" s="523" t="str">
        <f>+Idiomas!D106</f>
        <v>J6</v>
      </c>
      <c r="E97" s="529" t="str">
        <f>+Idiomas!D89</f>
        <v>·Para la 6ª jornada selecciona de la C97 a la C114 y pega valores en la plantilla de administrador</v>
      </c>
      <c r="F97" s="530"/>
      <c r="G97" s="530"/>
      <c r="H97" s="530"/>
      <c r="I97" s="273"/>
      <c r="J97" s="263"/>
      <c r="K97" s="264"/>
    </row>
    <row r="98" spans="1:11" ht="15" customHeight="1">
      <c r="A98" s="274">
        <v>6</v>
      </c>
      <c r="B98" s="275" t="str">
        <f>CONCATENATE(League!D93,"-",League!K93)</f>
        <v>Villarreal-Sabah</v>
      </c>
      <c r="C98" s="286" t="str">
        <f>CONCATENATE(IF(League!G93&gt;League!H93,1,IF(League!G93&lt;League!H93,2,IF(AND(League!G93=League!H93,League!G93&lt;&gt;"",League!H93&lt;&gt;""),"X",0))),"|",League!G93,"-",League!H93)</f>
        <v>0|-</v>
      </c>
      <c r="D98" s="523"/>
      <c r="E98" s="530"/>
      <c r="F98" s="530"/>
      <c r="G98" s="530"/>
      <c r="H98" s="530"/>
      <c r="I98" s="273"/>
      <c r="J98" s="263"/>
      <c r="K98" s="264"/>
    </row>
    <row r="99" spans="1:11" ht="15" customHeight="1">
      <c r="A99" s="274">
        <v>6</v>
      </c>
      <c r="B99" s="275" t="str">
        <f>CONCATENATE(League!D94,"-",League!K94)</f>
        <v>AEK-Galatasaray</v>
      </c>
      <c r="C99" s="286" t="str">
        <f>CONCATENATE(IF(League!G94&gt;League!H94,1,IF(League!G94&lt;League!H94,2,IF(AND(League!G94=League!H94,League!G94&lt;&gt;"",League!H94&lt;&gt;""),"X",0))),"|",League!G94,"-",League!H94)</f>
        <v>0|-</v>
      </c>
      <c r="D99" s="523"/>
      <c r="E99" s="530"/>
      <c r="F99" s="530"/>
      <c r="G99" s="530"/>
      <c r="H99" s="530"/>
      <c r="I99" s="273"/>
      <c r="J99" s="263"/>
      <c r="K99" s="264"/>
    </row>
    <row r="100" spans="1:11" ht="15" customHeight="1">
      <c r="A100" s="274">
        <v>6</v>
      </c>
      <c r="B100" s="275" t="str">
        <f>CONCATENATE(League!D95,"-",League!K95)</f>
        <v>Roma-Sporting Portugal</v>
      </c>
      <c r="C100" s="286" t="str">
        <f>CONCATENATE(IF(League!G95&gt;League!H95,1,IF(League!G95&lt;League!H95,2,IF(AND(League!G95=League!H95,League!G95&lt;&gt;"",League!H95&lt;&gt;""),"X",0))),"|",League!G95,"-",League!H95)</f>
        <v>0|-</v>
      </c>
      <c r="D100" s="523"/>
      <c r="E100" s="530"/>
      <c r="F100" s="530"/>
      <c r="G100" s="530"/>
      <c r="H100" s="530"/>
      <c r="I100" s="273"/>
      <c r="J100" s="263"/>
      <c r="K100" s="264"/>
    </row>
    <row r="101" spans="1:11" ht="15" customHeight="1">
      <c r="A101" s="274">
        <v>6</v>
      </c>
      <c r="B101" s="275" t="str">
        <f>CONCATENATE(League!D96,"-",League!K96)</f>
        <v>Aston Villa-PSG</v>
      </c>
      <c r="C101" s="286" t="str">
        <f>CONCATENATE(IF(League!G96&gt;League!H96,1,IF(League!G96&lt;League!H96,2,IF(AND(League!G96=League!H96,League!G96&lt;&gt;"",League!H96&lt;&gt;""),"X",0))),"|",League!G96,"-",League!H96)</f>
        <v>0|-</v>
      </c>
      <c r="D101" s="523"/>
      <c r="E101" s="263"/>
      <c r="F101" s="263"/>
      <c r="G101" s="263"/>
      <c r="H101" s="263"/>
      <c r="I101" s="273"/>
      <c r="J101" s="263"/>
      <c r="K101" s="264"/>
    </row>
    <row r="102" spans="1:11" ht="15" customHeight="1">
      <c r="A102" s="274">
        <v>6</v>
      </c>
      <c r="B102" s="275" t="str">
        <f>CONCATENATE(League!D97,"-",League!K97)</f>
        <v>Barcelona-Manchester City</v>
      </c>
      <c r="C102" s="286" t="str">
        <f>CONCATENATE(IF(League!G97&gt;League!H97,1,IF(League!G97&lt;League!H97,2,IF(AND(League!G97=League!H97,League!G97&lt;&gt;"",League!H97&lt;&gt;""),"X",0))),"|",League!G97,"-",League!H97)</f>
        <v>0|-</v>
      </c>
      <c r="D102" s="523"/>
      <c r="E102" s="263"/>
      <c r="F102" s="263"/>
      <c r="G102" s="263"/>
      <c r="H102" s="263"/>
      <c r="I102" s="273"/>
      <c r="J102" s="263"/>
      <c r="K102" s="264"/>
    </row>
    <row r="103" spans="1:11" ht="15" customHeight="1">
      <c r="A103" s="281">
        <v>6</v>
      </c>
      <c r="B103" s="275" t="str">
        <f>CONCATENATE(League!D98,"-",League!K98)</f>
        <v>Bayern München-Slavia Praha</v>
      </c>
      <c r="C103" s="286" t="str">
        <f>CONCATENATE(IF(League!G98&gt;League!H98,1,IF(League!G98&lt;League!H98,2,IF(AND(League!G98=League!H98,League!G98&lt;&gt;"",League!H98&lt;&gt;""),"X",0))),"|",League!G98,"-",League!H98)</f>
        <v>0|-</v>
      </c>
      <c r="D103" s="523"/>
      <c r="E103" s="263"/>
      <c r="F103" s="263"/>
      <c r="G103" s="263"/>
      <c r="H103" s="263"/>
      <c r="I103" s="273"/>
      <c r="J103" s="263"/>
      <c r="K103" s="264"/>
    </row>
    <row r="104" spans="1:11" ht="15" customHeight="1">
      <c r="A104" s="274">
        <v>6</v>
      </c>
      <c r="B104" s="275" t="str">
        <f>CONCATENATE(League!D99,"-",League!K99)</f>
        <v>Manchester United-Leipzig</v>
      </c>
      <c r="C104" s="286" t="str">
        <f>CONCATENATE(IF(League!G99&gt;League!H99,1,IF(League!G99&lt;League!H99,2,IF(AND(League!G99=League!H99,League!G99&lt;&gt;"",League!H99&lt;&gt;""),"X",0))),"|",League!G99,"-",League!H99)</f>
        <v>0|-</v>
      </c>
      <c r="D104" s="523"/>
      <c r="E104" s="263"/>
      <c r="F104" s="263"/>
      <c r="G104" s="263"/>
      <c r="H104" s="263"/>
      <c r="I104" s="273"/>
      <c r="J104" s="263"/>
      <c r="K104" s="264"/>
    </row>
    <row r="105" spans="1:11" ht="15" customHeight="1">
      <c r="A105" s="274">
        <v>6</v>
      </c>
      <c r="B105" s="275" t="str">
        <f>CONCATENATE(League!D100,"-",League!K100)</f>
        <v>Napoli-Brugge</v>
      </c>
      <c r="C105" s="286" t="str">
        <f>CONCATENATE(IF(League!G100&gt;League!H100,1,IF(League!G100&lt;League!H100,2,IF(AND(League!G100=League!H100,League!G100&lt;&gt;"",League!H100&lt;&gt;""),"X",0))),"|",League!G100,"-",League!H100)</f>
        <v>0|-</v>
      </c>
      <c r="D105" s="523"/>
      <c r="E105" s="263"/>
      <c r="F105" s="263"/>
      <c r="G105" s="263"/>
      <c r="H105" s="263"/>
      <c r="I105" s="273"/>
      <c r="J105" s="263"/>
      <c r="K105" s="264"/>
    </row>
    <row r="106" spans="1:11" ht="15" customHeight="1">
      <c r="A106" s="274">
        <v>6</v>
      </c>
      <c r="B106" s="275" t="str">
        <f>CONCATENATE(League!D101,"-",League!K101)</f>
        <v>Betis-Como</v>
      </c>
      <c r="C106" s="286" t="str">
        <f>CONCATENATE(IF(League!G101&gt;League!H101,1,IF(League!G101&lt;League!H101,2,IF(AND(League!G101=League!H101,League!G101&lt;&gt;"",League!H101&lt;&gt;""),"X",0))),"|",League!G101,"-",League!H101)</f>
        <v>0|-</v>
      </c>
      <c r="D106" s="523"/>
      <c r="E106" s="263"/>
      <c r="F106" s="263"/>
      <c r="G106" s="263"/>
      <c r="H106" s="263"/>
      <c r="I106" s="273"/>
      <c r="J106" s="263"/>
      <c r="K106" s="264"/>
    </row>
    <row r="107" spans="1:11" ht="15" customHeight="1">
      <c r="A107" s="274">
        <v>6</v>
      </c>
      <c r="B107" s="275" t="str">
        <f>CONCATENATE(League!D102,"-",League!K102)</f>
        <v>Slovan Bratislava -Shakhtar Donetsk</v>
      </c>
      <c r="C107" s="286" t="str">
        <f>CONCATENATE(IF(League!G102&gt;League!H102,1,IF(League!G102&lt;League!H102,2,IF(AND(League!G102=League!H102,League!G102&lt;&gt;"",League!H102&lt;&gt;""),"X",0))),"|",League!G102,"-",League!H102)</f>
        <v>0|-</v>
      </c>
      <c r="D107" s="523"/>
      <c r="E107" s="263"/>
      <c r="F107" s="263"/>
      <c r="G107" s="263"/>
      <c r="H107" s="263"/>
      <c r="I107" s="273"/>
      <c r="J107" s="263"/>
      <c r="K107" s="264"/>
    </row>
    <row r="108" spans="1:11" ht="15" customHeight="1">
      <c r="A108" s="274">
        <v>6</v>
      </c>
      <c r="B108" s="275" t="str">
        <f>CONCATENATE(League!D103,"-",League!K103)</f>
        <v>Arsenal-Real Madrid</v>
      </c>
      <c r="C108" s="286" t="str">
        <f>CONCATENATE(IF(League!G103&gt;League!H103,1,IF(League!G103&lt;League!H103,2,IF(AND(League!G103=League!H103,League!G103&lt;&gt;"",League!H103&lt;&gt;""),"X",0))),"|",League!G103,"-",League!H103)</f>
        <v>0|-</v>
      </c>
      <c r="D108" s="523"/>
      <c r="E108" s="263"/>
      <c r="F108" s="263"/>
      <c r="G108" s="263"/>
      <c r="H108" s="263"/>
      <c r="I108" s="273"/>
      <c r="J108" s="263"/>
      <c r="K108" s="264"/>
    </row>
    <row r="109" spans="1:11" ht="15" customHeight="1">
      <c r="A109" s="274">
        <v>6</v>
      </c>
      <c r="B109" s="275" t="str">
        <f>CONCATENATE(League!D104,"-",League!K104)</f>
        <v>Borussia Dortmund-Inter Milan</v>
      </c>
      <c r="C109" s="286" t="str">
        <f>CONCATENATE(IF(League!G104&gt;League!H104,1,IF(League!G104&lt;League!H104,2,IF(AND(League!G104=League!H104,League!G104&lt;&gt;"",League!H104&lt;&gt;""),"X",0))),"|",League!G104,"-",League!H104)</f>
        <v>0|-</v>
      </c>
      <c r="D109" s="523"/>
      <c r="E109" s="263"/>
      <c r="F109" s="263"/>
      <c r="G109" s="263"/>
      <c r="H109" s="263"/>
      <c r="I109" s="273"/>
      <c r="J109" s="263"/>
      <c r="K109" s="264"/>
    </row>
    <row r="110" spans="1:11" ht="15" customHeight="1">
      <c r="A110" s="274">
        <v>6</v>
      </c>
      <c r="B110" s="275" t="str">
        <f>CONCATENATE(League!D105,"-",League!K105)</f>
        <v>LASK-Fenerbahçe </v>
      </c>
      <c r="C110" s="286" t="str">
        <f>CONCATENATE(IF(League!G105&gt;League!H105,1,IF(League!G105&lt;League!H105,2,IF(AND(League!G105=League!H105,League!G105&lt;&gt;"",League!H105&lt;&gt;""),"X",0))),"|",League!G105,"-",League!H105)</f>
        <v>0|-</v>
      </c>
      <c r="D110" s="523"/>
      <c r="E110" s="263"/>
      <c r="F110" s="263"/>
      <c r="G110" s="263"/>
      <c r="H110" s="263"/>
      <c r="I110" s="273"/>
      <c r="J110" s="263"/>
      <c r="K110" s="264"/>
    </row>
    <row r="111" spans="1:11" ht="15" customHeight="1">
      <c r="A111" s="274">
        <v>6</v>
      </c>
      <c r="B111" s="275" t="str">
        <f>CONCATENATE(League!D106,"-",League!K106)</f>
        <v>Liverpool-Porto</v>
      </c>
      <c r="C111" s="286" t="str">
        <f>CONCATENATE(IF(League!G106&gt;League!H106,1,IF(League!G106&lt;League!H106,2,IF(AND(League!G106=League!H106,League!G106&lt;&gt;"",League!H106&lt;&gt;""),"X",0))),"|",League!G106,"-",League!H106)</f>
        <v>0|-</v>
      </c>
      <c r="D111" s="523"/>
      <c r="E111" s="263"/>
      <c r="F111" s="263"/>
      <c r="G111" s="263"/>
      <c r="H111" s="263"/>
      <c r="I111" s="273"/>
      <c r="J111" s="263"/>
      <c r="K111" s="264"/>
    </row>
    <row r="112" spans="1:11" ht="15" customHeight="1">
      <c r="A112" s="274">
        <v>6</v>
      </c>
      <c r="B112" s="275" t="str">
        <f>CONCATENATE(League!D107,"-",League!K107)</f>
        <v>PSV Eindhoven-Atlético Madrid</v>
      </c>
      <c r="C112" s="286" t="str">
        <f>CONCATENATE(IF(League!G107&gt;League!H107,1,IF(League!G107&lt;League!H107,2,IF(AND(League!G107=League!H107,League!G107&lt;&gt;"",League!H107&lt;&gt;""),"X",0))),"|",League!G107,"-",League!H107)</f>
        <v>0|-</v>
      </c>
      <c r="D112" s="523"/>
      <c r="E112" s="263"/>
      <c r="F112" s="263"/>
      <c r="G112" s="263"/>
      <c r="H112" s="263"/>
      <c r="I112" s="273"/>
      <c r="J112" s="263"/>
      <c r="K112" s="264"/>
    </row>
    <row r="113" spans="1:11" ht="15" customHeight="1">
      <c r="A113" s="274">
        <v>6</v>
      </c>
      <c r="B113" s="275" t="str">
        <f>CONCATENATE(League!D108,"-",League!K108)</f>
        <v>Lens-Bodø/Glimt</v>
      </c>
      <c r="C113" s="286" t="str">
        <f>CONCATENATE(IF(League!G108&gt;League!H108,1,IF(League!G108&lt;League!H108,2,IF(AND(League!G108=League!H108,League!G108&lt;&gt;"",League!H108&lt;&gt;""),"X",0))),"|",League!G108,"-",League!H108)</f>
        <v>0|-</v>
      </c>
      <c r="D113" s="523"/>
      <c r="E113" s="263"/>
      <c r="F113" s="263"/>
      <c r="G113" s="263"/>
      <c r="H113" s="263"/>
      <c r="I113" s="273"/>
      <c r="J113" s="263"/>
      <c r="K113" s="264"/>
    </row>
    <row r="114" spans="1:11" ht="15" customHeight="1" thickBot="1">
      <c r="A114" s="276">
        <v>6</v>
      </c>
      <c r="B114" s="277" t="str">
        <f>CONCATENATE(League!D109,"-",League!K109)</f>
        <v>Stuttgart-Lille</v>
      </c>
      <c r="C114" s="289" t="str">
        <f>CONCATENATE(IF(League!G109&gt;League!H109,1,IF(League!G109&lt;League!H109,2,IF(AND(League!G109=League!H109,League!G109&lt;&gt;"",League!H109&lt;&gt;""),"X",0))),"|",League!G109,"-",League!H109)</f>
        <v>0|-</v>
      </c>
      <c r="D114" s="523"/>
      <c r="E114" s="263"/>
      <c r="F114" s="263"/>
      <c r="G114" s="263"/>
      <c r="H114" s="263"/>
      <c r="I114" s="273"/>
      <c r="J114" s="263"/>
      <c r="K114" s="264"/>
    </row>
    <row r="115" spans="1:11" ht="15" customHeight="1">
      <c r="A115" s="265">
        <v>7</v>
      </c>
      <c r="B115" s="266" t="str">
        <f>CONCATENATE(League!D110,"-",League!K110)</f>
        <v>Bodø/Glimt-Atlético Madrid</v>
      </c>
      <c r="C115" s="286" t="str">
        <f>CONCATENATE(IF(League!G110&gt;League!H110,1,IF(League!G110&lt;League!H110,2,IF(AND(League!G110=League!H110,League!G110&lt;&gt;"",League!H110&lt;&gt;""),"X",0))),"|",League!G110,"-",League!H110)</f>
        <v>0|-</v>
      </c>
      <c r="D115" s="524" t="str">
        <f>+Idiomas!D107</f>
        <v>J7</v>
      </c>
      <c r="E115" s="525" t="str">
        <f>+Idiomas!D90</f>
        <v>·Para la 7ª jornada selecciona de la C115 a la C132 y pega valores en la plantilla de administrador</v>
      </c>
      <c r="F115" s="526"/>
      <c r="G115" s="526"/>
      <c r="H115" s="526"/>
      <c r="I115" s="278"/>
      <c r="J115" s="263"/>
      <c r="K115" s="264"/>
    </row>
    <row r="116" spans="1:11" ht="15" customHeight="1">
      <c r="A116" s="265">
        <v>7</v>
      </c>
      <c r="B116" s="266" t="str">
        <f>CONCATENATE(League!D111,"-",League!K111)</f>
        <v>Galatasaray-Feyenoord</v>
      </c>
      <c r="C116" s="286" t="str">
        <f>CONCATENATE(IF(League!G111&gt;League!H111,1,IF(League!G111&lt;League!H111,2,IF(AND(League!G111=League!H111,League!G111&lt;&gt;"",League!H111&lt;&gt;""),"X",0))),"|",League!G111,"-",League!H111)</f>
        <v>0|-</v>
      </c>
      <c r="D116" s="524"/>
      <c r="E116" s="526"/>
      <c r="F116" s="526"/>
      <c r="G116" s="526"/>
      <c r="H116" s="526"/>
      <c r="I116" s="278"/>
      <c r="J116" s="263"/>
      <c r="K116" s="264"/>
    </row>
    <row r="117" spans="1:11" ht="15" customHeight="1">
      <c r="A117" s="267">
        <v>7</v>
      </c>
      <c r="B117" s="268" t="str">
        <f>CONCATENATE(League!D112,"-",League!K112)</f>
        <v>AEK-Roma</v>
      </c>
      <c r="C117" s="286" t="str">
        <f>CONCATENATE(IF(League!G112&gt;League!H112,1,IF(League!G112&lt;League!H112,2,IF(AND(League!G112=League!H112,League!G112&lt;&gt;"",League!H112&lt;&gt;""),"X",0))),"|",League!G112,"-",League!H112)</f>
        <v>0|-</v>
      </c>
      <c r="D117" s="524"/>
      <c r="E117" s="526"/>
      <c r="F117" s="526"/>
      <c r="G117" s="526"/>
      <c r="H117" s="526"/>
      <c r="I117" s="278"/>
      <c r="J117" s="263"/>
      <c r="K117" s="264"/>
    </row>
    <row r="118" spans="1:11" ht="15" customHeight="1">
      <c r="A118" s="265">
        <v>7</v>
      </c>
      <c r="B118" s="266" t="str">
        <f>CONCATENATE(League!D113,"-",League!K113)</f>
        <v>Aston Villa-Borussia Dortmund</v>
      </c>
      <c r="C118" s="286" t="str">
        <f>CONCATENATE(IF(League!G113&gt;League!H113,1,IF(League!G113&lt;League!H113,2,IF(AND(League!G113=League!H113,League!G113&lt;&gt;"",League!H113&lt;&gt;""),"X",0))),"|",League!G113,"-",League!H113)</f>
        <v>0|-</v>
      </c>
      <c r="D118" s="524"/>
      <c r="E118" s="526"/>
      <c r="F118" s="526"/>
      <c r="G118" s="526"/>
      <c r="H118" s="526"/>
      <c r="I118" s="278"/>
      <c r="J118" s="263"/>
      <c r="K118" s="264"/>
    </row>
    <row r="119" spans="1:11" ht="15" customHeight="1">
      <c r="A119" s="267">
        <v>7</v>
      </c>
      <c r="B119" s="268" t="str">
        <f>CONCATENATE(League!D114,"-",League!K114)</f>
        <v>Inter Milan-Liverpool</v>
      </c>
      <c r="C119" s="286" t="str">
        <f>CONCATENATE(IF(League!G114&gt;League!H114,1,IF(League!G114&lt;League!H114,2,IF(AND(League!G114=League!H114,League!G114&lt;&gt;"",League!H114&lt;&gt;""),"X",0))),"|",League!G114,"-",League!H114)</f>
        <v>0|-</v>
      </c>
      <c r="D119" s="524"/>
      <c r="E119" s="263"/>
      <c r="F119" s="263"/>
      <c r="G119" s="263"/>
      <c r="H119" s="263"/>
      <c r="I119" s="278"/>
      <c r="J119" s="263"/>
      <c r="K119" s="264"/>
    </row>
    <row r="120" spans="1:11" ht="15" customHeight="1">
      <c r="A120" s="265">
        <v>7</v>
      </c>
      <c r="B120" s="266" t="str">
        <f>CONCATENATE(League!D115,"-",League!K115)</f>
        <v>Porto-Slavia Praha</v>
      </c>
      <c r="C120" s="286" t="str">
        <f>CONCATENATE(IF(League!G115&gt;League!H115,1,IF(League!G115&lt;League!H115,2,IF(AND(League!G115=League!H115,League!G115&lt;&gt;"",League!H115&lt;&gt;""),"X",0))),"|",League!G115,"-",League!H115)</f>
        <v>0|-</v>
      </c>
      <c r="D120" s="524"/>
      <c r="E120" s="263"/>
      <c r="F120" s="263"/>
      <c r="G120" s="263"/>
      <c r="H120" s="263"/>
      <c r="I120" s="278"/>
      <c r="J120" s="263"/>
      <c r="K120" s="264"/>
    </row>
    <row r="121" spans="1:11" ht="15" customHeight="1">
      <c r="A121" s="267">
        <v>7</v>
      </c>
      <c r="B121" s="268" t="str">
        <f>CONCATENATE(League!D116,"-",League!K116)</f>
        <v>Lille-Slovan Bratislava </v>
      </c>
      <c r="C121" s="286" t="str">
        <f>CONCATENATE(IF(League!G116&gt;League!H116,1,IF(League!G116&lt;League!H116,2,IF(AND(League!G116=League!H116,League!G116&lt;&gt;"",League!H116&lt;&gt;""),"X",0))),"|",League!G116,"-",League!H116)</f>
        <v>0|-</v>
      </c>
      <c r="D121" s="524"/>
      <c r="E121" s="263"/>
      <c r="F121" s="263"/>
      <c r="G121" s="263"/>
      <c r="H121" s="263"/>
      <c r="I121" s="278"/>
      <c r="J121" s="263"/>
      <c r="K121" s="264"/>
    </row>
    <row r="122" spans="1:11" ht="15" customHeight="1">
      <c r="A122" s="267">
        <v>7</v>
      </c>
      <c r="B122" s="268" t="str">
        <f>CONCATENATE(League!D117,"-",League!K117)</f>
        <v>Real Madrid-LASK</v>
      </c>
      <c r="C122" s="286" t="str">
        <f>CONCATENATE(IF(League!G117&gt;League!H117,1,IF(League!G117&lt;League!H117,2,IF(AND(League!G117=League!H117,League!G117&lt;&gt;"",League!H117&lt;&gt;""),"X",0))),"|",League!G117,"-",League!H117)</f>
        <v>0|-</v>
      </c>
      <c r="D122" s="524"/>
      <c r="E122" s="263"/>
      <c r="F122" s="263"/>
      <c r="G122" s="263"/>
      <c r="H122" s="263"/>
      <c r="I122" s="278"/>
      <c r="J122" s="263"/>
      <c r="K122" s="264"/>
    </row>
    <row r="123" spans="1:11" ht="15" customHeight="1">
      <c r="A123" s="267">
        <v>7</v>
      </c>
      <c r="B123" s="268" t="str">
        <f>CONCATENATE(League!D118,"-",League!K118)</f>
        <v>Stuttgart-Brugge</v>
      </c>
      <c r="C123" s="286" t="str">
        <f>CONCATENATE(IF(League!G118&gt;League!H118,1,IF(League!G118&lt;League!H118,2,IF(AND(League!G118=League!H118,League!G118&lt;&gt;"",League!H118&lt;&gt;""),"X",0))),"|",League!G118,"-",League!H118)</f>
        <v>0|-</v>
      </c>
      <c r="D123" s="524"/>
      <c r="E123" s="263"/>
      <c r="F123" s="263"/>
      <c r="G123" s="263"/>
      <c r="H123" s="263"/>
      <c r="I123" s="278"/>
      <c r="J123" s="263"/>
      <c r="K123" s="264"/>
    </row>
    <row r="124" spans="1:11" ht="15" customHeight="1">
      <c r="A124" s="267">
        <v>7</v>
      </c>
      <c r="B124" s="268" t="str">
        <f>CONCATENATE(League!D119,"-",League!K119)</f>
        <v>Fenerbahçe -Villarreal</v>
      </c>
      <c r="C124" s="286" t="str">
        <f>CONCATENATE(IF(League!G119&gt;League!H119,1,IF(League!G119&lt;League!H119,2,IF(AND(League!G119=League!H119,League!G119&lt;&gt;"",League!H119&lt;&gt;""),"X",0))),"|",League!G119,"-",League!H119)</f>
        <v>0|-</v>
      </c>
      <c r="D124" s="524"/>
      <c r="E124" s="263"/>
      <c r="F124" s="263"/>
      <c r="G124" s="263"/>
      <c r="H124" s="263"/>
      <c r="I124" s="278"/>
      <c r="J124" s="263"/>
      <c r="K124" s="264"/>
    </row>
    <row r="125" spans="1:11" ht="15" customHeight="1">
      <c r="A125" s="267">
        <v>7</v>
      </c>
      <c r="B125" s="268" t="str">
        <f>CONCATENATE(League!D120,"-",League!K120)</f>
        <v>Sabah-Napoli</v>
      </c>
      <c r="C125" s="286" t="str">
        <f>CONCATENATE(IF(League!G120&gt;League!H120,1,IF(League!G120&lt;League!H120,2,IF(AND(League!G120=League!H120,League!G120&lt;&gt;"",League!H120&lt;&gt;""),"X",0))),"|",League!G120,"-",League!H120)</f>
        <v>0|-</v>
      </c>
      <c r="D125" s="524"/>
      <c r="E125" s="263"/>
      <c r="F125" s="263"/>
      <c r="G125" s="263"/>
      <c r="H125" s="263"/>
      <c r="I125" s="278"/>
      <c r="J125" s="263"/>
      <c r="K125" s="264"/>
    </row>
    <row r="126" spans="1:11" ht="15" customHeight="1">
      <c r="A126" s="267">
        <v>7</v>
      </c>
      <c r="B126" s="268" t="str">
        <f>CONCATENATE(League!D121,"-",League!K121)</f>
        <v>Como-PSG</v>
      </c>
      <c r="C126" s="286" t="str">
        <f>CONCATENATE(IF(League!G121&gt;League!H121,1,IF(League!G121&lt;League!H121,2,IF(AND(League!G121=League!H121,League!G121&lt;&gt;"",League!H121&lt;&gt;""),"X",0))),"|",League!G121,"-",League!H121)</f>
        <v>0|-</v>
      </c>
      <c r="D126" s="524"/>
      <c r="E126" s="263"/>
      <c r="F126" s="263"/>
      <c r="G126" s="263"/>
      <c r="H126" s="263"/>
      <c r="I126" s="278"/>
      <c r="J126" s="263"/>
      <c r="K126" s="264"/>
    </row>
    <row r="127" spans="1:11" ht="15" customHeight="1">
      <c r="A127" s="267">
        <v>7</v>
      </c>
      <c r="B127" s="268" t="str">
        <f>CONCATENATE(League!D122,"-",League!K122)</f>
        <v>Manchester United-Bayern München</v>
      </c>
      <c r="C127" s="286" t="str">
        <f>CONCATENATE(IF(League!G122&gt;League!H122,1,IF(League!G122&lt;League!H122,2,IF(AND(League!G122=League!H122,League!G122&lt;&gt;"",League!H122&lt;&gt;""),"X",0))),"|",League!G122,"-",League!H122)</f>
        <v>0|-</v>
      </c>
      <c r="D127" s="524"/>
      <c r="E127" s="263"/>
      <c r="F127" s="263"/>
      <c r="G127" s="263"/>
      <c r="H127" s="263"/>
      <c r="I127" s="278"/>
      <c r="J127" s="263"/>
      <c r="K127" s="264"/>
    </row>
    <row r="128" spans="1:11" ht="15" customHeight="1">
      <c r="A128" s="267">
        <v>7</v>
      </c>
      <c r="B128" s="268" t="str">
        <f>CONCATENATE(League!D123,"-",League!K123)</f>
        <v>Leipzig-Shakhtar Donetsk</v>
      </c>
      <c r="C128" s="286" t="str">
        <f>CONCATENATE(IF(League!G123&gt;League!H123,1,IF(League!G123&lt;League!H123,2,IF(AND(League!G123=League!H123,League!G123&lt;&gt;"",League!H123&lt;&gt;""),"X",0))),"|",League!G123,"-",League!H123)</f>
        <v>0|-</v>
      </c>
      <c r="D128" s="524"/>
      <c r="E128" s="263"/>
      <c r="F128" s="263"/>
      <c r="G128" s="263"/>
      <c r="H128" s="263"/>
      <c r="I128" s="278"/>
      <c r="J128" s="263"/>
      <c r="K128" s="264"/>
    </row>
    <row r="129" spans="1:11" ht="15" customHeight="1">
      <c r="A129" s="267">
        <v>7</v>
      </c>
      <c r="B129" s="268" t="str">
        <f>CONCATENATE(League!D124,"-",League!K124)</f>
        <v>Lens-Manchester City</v>
      </c>
      <c r="C129" s="286" t="str">
        <f>CONCATENATE(IF(League!G124&gt;League!H124,1,IF(League!G124&lt;League!H124,2,IF(AND(League!G124=League!H124,League!G124&lt;&gt;"",League!H124&lt;&gt;""),"X",0))),"|",League!G124,"-",League!H124)</f>
        <v>0|-</v>
      </c>
      <c r="D129" s="524"/>
      <c r="E129" s="263"/>
      <c r="F129" s="263"/>
      <c r="G129" s="263"/>
      <c r="H129" s="263"/>
      <c r="I129" s="278"/>
      <c r="J129" s="263"/>
      <c r="K129" s="264"/>
    </row>
    <row r="130" spans="1:11" ht="15" customHeight="1">
      <c r="A130" s="267">
        <v>7</v>
      </c>
      <c r="B130" s="268" t="str">
        <f>CONCATENATE(League!D125,"-",League!K125)</f>
        <v>Betis-Arsenal</v>
      </c>
      <c r="C130" s="286" t="str">
        <f>CONCATENATE(IF(League!G125&gt;League!H125,1,IF(League!G125&lt;League!H125,2,IF(AND(League!G125=League!H125,League!G125&lt;&gt;"",League!H125&lt;&gt;""),"X",0))),"|",League!G125,"-",League!H125)</f>
        <v>0|-</v>
      </c>
      <c r="D130" s="524"/>
      <c r="E130" s="263"/>
      <c r="F130" s="263"/>
      <c r="G130" s="263"/>
      <c r="H130" s="263"/>
      <c r="I130" s="278"/>
      <c r="J130" s="263"/>
      <c r="K130" s="264"/>
    </row>
    <row r="131" spans="1:11" ht="15" customHeight="1">
      <c r="A131" s="267">
        <v>7</v>
      </c>
      <c r="B131" s="268" t="str">
        <f>CONCATENATE(League!D126,"-",League!K126)</f>
        <v>Sporting Portugal-Barcelona</v>
      </c>
      <c r="C131" s="286" t="str">
        <f>CONCATENATE(IF(League!G126&gt;League!H126,1,IF(League!G126&lt;League!H126,2,IF(AND(League!G126=League!H126,League!G126&lt;&gt;"",League!H126&lt;&gt;""),"X",0))),"|",League!G126,"-",League!H126)</f>
        <v>0|-</v>
      </c>
      <c r="D131" s="524"/>
      <c r="E131" s="263"/>
      <c r="F131" s="263"/>
      <c r="G131" s="263"/>
      <c r="H131" s="263"/>
      <c r="I131" s="278"/>
      <c r="J131" s="263"/>
      <c r="K131" s="264"/>
    </row>
    <row r="132" spans="1:11" ht="15" customHeight="1" thickBot="1">
      <c r="A132" s="269">
        <v>7</v>
      </c>
      <c r="B132" s="270" t="str">
        <f>CONCATENATE(League!D127,"-",League!K127)</f>
        <v>Viking-PSV Eindhoven</v>
      </c>
      <c r="C132" s="287" t="str">
        <f>CONCATENATE(IF(League!G127&gt;League!H127,1,IF(League!G127&lt;League!H127,2,IF(AND(League!G127=League!H127,League!G127&lt;&gt;"",League!H127&lt;&gt;""),"X",0))),"|",League!G127,"-",League!H127)</f>
        <v>0|-</v>
      </c>
      <c r="D132" s="524"/>
      <c r="E132" s="263"/>
      <c r="F132" s="263"/>
      <c r="G132" s="263"/>
      <c r="H132" s="263"/>
      <c r="I132" s="278"/>
      <c r="J132" s="263"/>
      <c r="K132" s="264"/>
    </row>
    <row r="133" spans="1:11" ht="15" customHeight="1">
      <c r="A133" s="271">
        <v>8</v>
      </c>
      <c r="B133" s="272" t="str">
        <f>CONCATENATE(League!D128,"-",League!K128)</f>
        <v>Arsenal-Sabah</v>
      </c>
      <c r="C133" s="313" t="str">
        <f>CONCATENATE(IF(League!G128&gt;League!H128,1,IF(League!G128&lt;League!H128,2,IF(AND(League!G128=League!H128,League!G128&lt;&gt;"",League!H128&lt;&gt;""),"X",0))),"|",League!G128,"-",League!H128)</f>
        <v>0|-</v>
      </c>
      <c r="D133" s="523" t="str">
        <f>+Idiomas!D108</f>
        <v>J8</v>
      </c>
      <c r="E133" s="529" t="str">
        <f>+Idiomas!D91</f>
        <v>·Para la 8ª jornada selecciona de la C133 a la C217 y pega valores en la plantilla de administrador</v>
      </c>
      <c r="F133" s="530"/>
      <c r="G133" s="530"/>
      <c r="H133" s="530"/>
      <c r="I133" s="282"/>
      <c r="J133" s="263"/>
      <c r="K133" s="264"/>
    </row>
    <row r="134" spans="1:11" ht="15" customHeight="1">
      <c r="A134" s="274">
        <v>8</v>
      </c>
      <c r="B134" s="275" t="str">
        <f>CONCATENATE(League!D129,"-",League!K129)</f>
        <v>Roma-Lille</v>
      </c>
      <c r="C134" s="313" t="str">
        <f>CONCATENATE(IF(League!G129&gt;League!H129,1,IF(League!G129&lt;League!H129,2,IF(AND(League!G129=League!H129,League!G129&lt;&gt;"",League!H129&lt;&gt;""),"X",0))),"|",League!G129,"-",League!H129)</f>
        <v>0|-</v>
      </c>
      <c r="D134" s="523"/>
      <c r="E134" s="530"/>
      <c r="F134" s="530"/>
      <c r="G134" s="530"/>
      <c r="H134" s="530"/>
      <c r="I134" s="282"/>
      <c r="J134" s="263"/>
      <c r="K134" s="264"/>
    </row>
    <row r="135" spans="1:11" ht="15" customHeight="1">
      <c r="A135" s="274">
        <v>8</v>
      </c>
      <c r="B135" s="275" t="str">
        <f>CONCATENATE(League!D130,"-",League!K130)</f>
        <v>Atlético Madrid-Fenerbahçe </v>
      </c>
      <c r="C135" s="313" t="str">
        <f>CONCATENATE(IF(League!G130&gt;League!H130,1,IF(League!G130&lt;League!H130,2,IF(AND(League!G130=League!H130,League!G130&lt;&gt;"",League!H130&lt;&gt;""),"X",0))),"|",League!G130,"-",League!H130)</f>
        <v>0|-</v>
      </c>
      <c r="D135" s="523"/>
      <c r="E135" s="530"/>
      <c r="F135" s="530"/>
      <c r="G135" s="530"/>
      <c r="H135" s="530"/>
      <c r="I135" s="282"/>
      <c r="J135" s="263"/>
      <c r="K135" s="264"/>
    </row>
    <row r="136" spans="1:11" ht="15" customHeight="1">
      <c r="A136" s="274">
        <v>8</v>
      </c>
      <c r="B136" s="275" t="str">
        <f>CONCATENATE(League!D131,"-",League!K131)</f>
        <v>Borussia Dortmund-AEK</v>
      </c>
      <c r="C136" s="313" t="str">
        <f>CONCATENATE(IF(League!G131&gt;League!H131,1,IF(League!G131&lt;League!H131,2,IF(AND(League!G131=League!H131,League!G131&lt;&gt;"",League!H131&lt;&gt;""),"X",0))),"|",League!G131,"-",League!H131)</f>
        <v>0|-</v>
      </c>
      <c r="D136" s="523"/>
      <c r="E136" s="530"/>
      <c r="F136" s="530"/>
      <c r="G136" s="530"/>
      <c r="H136" s="530"/>
      <c r="I136" s="282"/>
      <c r="J136" s="263"/>
      <c r="K136" s="264"/>
    </row>
    <row r="137" spans="1:11" ht="15" customHeight="1">
      <c r="A137" s="274">
        <v>8</v>
      </c>
      <c r="B137" s="275" t="str">
        <f>CONCATENATE(League!D132,"-",League!K132)</f>
        <v>Brugge-Bodø/Glimt</v>
      </c>
      <c r="C137" s="313" t="str">
        <f>CONCATENATE(IF(League!G132&gt;League!H132,1,IF(League!G132&lt;League!H132,2,IF(AND(League!G132=League!H132,League!G132&lt;&gt;"",League!H132&lt;&gt;""),"X",0))),"|",League!G132,"-",League!H132)</f>
        <v>0|-</v>
      </c>
      <c r="D137" s="523"/>
      <c r="E137" s="263"/>
      <c r="F137" s="263"/>
      <c r="G137" s="263"/>
      <c r="H137" s="263"/>
      <c r="I137" s="273"/>
      <c r="J137" s="263"/>
      <c r="K137" s="264"/>
    </row>
    <row r="138" spans="1:11" ht="15" customHeight="1">
      <c r="A138" s="283">
        <v>8</v>
      </c>
      <c r="B138" s="275" t="str">
        <f>CONCATENATE(League!D133,"-",League!K133)</f>
        <v>Bayern München-Betis</v>
      </c>
      <c r="C138" s="313" t="str">
        <f>CONCATENATE(IF(League!G133&gt;League!H133,1,IF(League!G133&lt;League!H133,2,IF(AND(League!G133=League!H133,League!G133&lt;&gt;"",League!H133&lt;&gt;""),"X",0))),"|",League!G133,"-",League!H133)</f>
        <v>0|-</v>
      </c>
      <c r="D138" s="523"/>
      <c r="E138" s="263"/>
      <c r="F138" s="263"/>
      <c r="G138" s="263"/>
      <c r="H138" s="263"/>
      <c r="I138" s="273"/>
      <c r="J138" s="263"/>
      <c r="K138" s="264"/>
    </row>
    <row r="139" spans="1:11" ht="15" customHeight="1">
      <c r="A139" s="274">
        <v>8</v>
      </c>
      <c r="B139" s="275" t="str">
        <f>CONCATENATE(League!D134,"-",League!K134)</f>
        <v>Barcelona-Como</v>
      </c>
      <c r="C139" s="313" t="str">
        <f>CONCATENATE(IF(League!G134&gt;League!H134,1,IF(League!G134&lt;League!H134,2,IF(AND(League!G134=League!H134,League!G134&lt;&gt;"",League!H134&lt;&gt;""),"X",0))),"|",League!G134,"-",League!H134)</f>
        <v>0|-</v>
      </c>
      <c r="D139" s="523"/>
      <c r="E139" s="263"/>
      <c r="F139" s="263"/>
      <c r="G139" s="263"/>
      <c r="H139" s="263"/>
      <c r="I139" s="273"/>
      <c r="J139" s="263"/>
      <c r="K139" s="264"/>
    </row>
    <row r="140" spans="1:11" ht="15" customHeight="1">
      <c r="A140" s="274">
        <v>8</v>
      </c>
      <c r="B140" s="275" t="str">
        <f>CONCATENATE(League!D135,"-",League!K135)</f>
        <v>Shakhtar Donetsk-Real Madrid</v>
      </c>
      <c r="C140" s="313" t="str">
        <f>CONCATENATE(IF(League!G135&gt;League!H135,1,IF(League!G135&lt;League!H135,2,IF(AND(League!G135=League!H135,League!G135&lt;&gt;"",League!H135&lt;&gt;""),"X",0))),"|",League!G135,"-",League!H135)</f>
        <v>0|-</v>
      </c>
      <c r="D140" s="523"/>
      <c r="E140" s="263"/>
      <c r="F140" s="263"/>
      <c r="G140" s="263"/>
      <c r="H140" s="263"/>
      <c r="I140" s="273"/>
      <c r="J140" s="263"/>
      <c r="K140" s="264"/>
    </row>
    <row r="141" spans="1:11" ht="15" customHeight="1">
      <c r="A141" s="274">
        <v>8</v>
      </c>
      <c r="B141" s="275" t="str">
        <f>CONCATENATE(League!D136,"-",League!K136)</f>
        <v>Feyenoord-Leipzig</v>
      </c>
      <c r="C141" s="313" t="str">
        <f>CONCATENATE(IF(League!G136&gt;League!H136,1,IF(League!G136&lt;League!H136,2,IF(AND(League!G136=League!H136,League!G136&lt;&gt;"",League!H136&lt;&gt;""),"X",0))),"|",League!G136,"-",League!H136)</f>
        <v>0|-</v>
      </c>
      <c r="D141" s="523"/>
      <c r="E141" s="263"/>
      <c r="F141" s="263"/>
      <c r="G141" s="263"/>
      <c r="H141" s="263"/>
      <c r="I141" s="273"/>
      <c r="J141" s="263"/>
      <c r="K141" s="264"/>
    </row>
    <row r="142" spans="1:11" ht="15" customHeight="1">
      <c r="A142" s="274">
        <v>8</v>
      </c>
      <c r="B142" s="275" t="str">
        <f>CONCATENATE(League!D137,"-",League!K137)</f>
        <v>LASK-Porto</v>
      </c>
      <c r="C142" s="313" t="str">
        <f>CONCATENATE(IF(League!G137&gt;League!H137,1,IF(League!G137&lt;League!H137,2,IF(AND(League!G137=League!H137,League!G137&lt;&gt;"",League!H137&lt;&gt;""),"X",0))),"|",League!G137,"-",League!H137)</f>
        <v>0|-</v>
      </c>
      <c r="D142" s="523"/>
      <c r="E142" s="263"/>
      <c r="F142" s="263"/>
      <c r="G142" s="263"/>
      <c r="H142" s="263"/>
      <c r="I142" s="273"/>
      <c r="J142" s="263"/>
      <c r="K142" s="264"/>
    </row>
    <row r="143" spans="1:11" ht="15" customHeight="1">
      <c r="A143" s="274">
        <v>8</v>
      </c>
      <c r="B143" s="275" t="str">
        <f>CONCATENATE(League!D138,"-",League!K138)</f>
        <v>Liverpool-Lens</v>
      </c>
      <c r="C143" s="313" t="str">
        <f>CONCATENATE(IF(League!G138&gt;League!H138,1,IF(League!G138&lt;League!H138,2,IF(AND(League!G138=League!H138,League!G138&lt;&gt;"",League!H138&lt;&gt;""),"X",0))),"|",League!G138,"-",League!H138)</f>
        <v>0|-</v>
      </c>
      <c r="D143" s="523"/>
      <c r="E143" s="263"/>
      <c r="F143" s="263"/>
      <c r="G143" s="263"/>
      <c r="H143" s="263"/>
      <c r="I143" s="273"/>
      <c r="J143" s="263"/>
      <c r="K143" s="264"/>
    </row>
    <row r="144" spans="1:11" ht="15" customHeight="1">
      <c r="A144" s="274">
        <v>8</v>
      </c>
      <c r="B144" s="275" t="str">
        <f>CONCATENATE(League!D139,"-",League!K139)</f>
        <v>Manchester City-Sporting Portugal</v>
      </c>
      <c r="C144" s="313" t="str">
        <f>CONCATENATE(IF(League!G139&gt;League!H139,1,IF(League!G139&lt;League!H139,2,IF(AND(League!G139=League!H139,League!G139&lt;&gt;"",League!H139&lt;&gt;""),"X",0))),"|",League!G139,"-",League!H139)</f>
        <v>0|-</v>
      </c>
      <c r="D144" s="523"/>
      <c r="E144" s="263"/>
      <c r="F144" s="263"/>
      <c r="G144" s="263"/>
      <c r="H144" s="263"/>
      <c r="I144" s="273"/>
      <c r="J144" s="263"/>
      <c r="K144" s="264"/>
    </row>
    <row r="145" spans="1:11" ht="15" customHeight="1">
      <c r="A145" s="274">
        <v>8</v>
      </c>
      <c r="B145" s="275" t="str">
        <f>CONCATENATE(League!D140,"-",League!K140)</f>
        <v>PSG-Galatasaray</v>
      </c>
      <c r="C145" s="313" t="str">
        <f>CONCATENATE(IF(League!G140&gt;League!H140,1,IF(League!G140&lt;League!H140,2,IF(AND(League!G140=League!H140,League!G140&lt;&gt;"",League!H140&lt;&gt;""),"X",0))),"|",League!G140,"-",League!H140)</f>
        <v>0|-</v>
      </c>
      <c r="D145" s="523"/>
      <c r="E145" s="263"/>
      <c r="F145" s="263"/>
      <c r="G145" s="263"/>
      <c r="H145" s="263"/>
      <c r="I145" s="273"/>
      <c r="J145" s="263"/>
      <c r="K145" s="264"/>
    </row>
    <row r="146" spans="1:11" ht="15" customHeight="1">
      <c r="A146" s="274">
        <v>8</v>
      </c>
      <c r="B146" s="275" t="str">
        <f>CONCATENATE(League!D141,"-",League!K141)</f>
        <v>PSV Eindhoven-Stuttgart</v>
      </c>
      <c r="C146" s="313" t="str">
        <f>CONCATENATE(IF(League!G141&gt;League!H141,1,IF(League!G141&lt;League!H141,2,IF(AND(League!G141=League!H141,League!G141&lt;&gt;"",League!H141&lt;&gt;""),"X",0))),"|",League!G141,"-",League!H141)</f>
        <v>0|-</v>
      </c>
      <c r="D146" s="523"/>
      <c r="E146" s="263"/>
      <c r="F146" s="263"/>
      <c r="G146" s="263"/>
      <c r="H146" s="263"/>
      <c r="I146" s="273"/>
      <c r="J146" s="263"/>
      <c r="K146" s="264"/>
    </row>
    <row r="147" spans="1:11" ht="15" customHeight="1">
      <c r="A147" s="274">
        <v>8</v>
      </c>
      <c r="B147" s="275" t="str">
        <f>CONCATENATE(League!D142,"-",League!K142)</f>
        <v>Slavia Praha-Aston Villa</v>
      </c>
      <c r="C147" s="313" t="str">
        <f>CONCATENATE(IF(League!G142&gt;League!H142,1,IF(League!G142&lt;League!H142,2,IF(AND(League!G142=League!H142,League!G142&lt;&gt;"",League!H142&lt;&gt;""),"X",0))),"|",League!G142,"-",League!H142)</f>
        <v>0|-</v>
      </c>
      <c r="D147" s="523"/>
      <c r="E147" s="263"/>
      <c r="F147" s="263"/>
      <c r="G147" s="263"/>
      <c r="H147" s="263"/>
      <c r="I147" s="273"/>
      <c r="J147" s="263"/>
      <c r="K147" s="264"/>
    </row>
    <row r="148" spans="1:11" ht="15" customHeight="1">
      <c r="A148" s="274">
        <v>8</v>
      </c>
      <c r="B148" s="275" t="str">
        <f>CONCATENATE(League!D143,"-",League!K143)</f>
        <v>Napoli-Viking</v>
      </c>
      <c r="C148" s="313" t="str">
        <f>CONCATENATE(IF(League!G143&gt;League!H143,1,IF(League!G143&lt;League!H143,2,IF(AND(League!G143=League!H143,League!G143&lt;&gt;"",League!H143&lt;&gt;""),"X",0))),"|",League!G143,"-",League!H143)</f>
        <v>0|-</v>
      </c>
      <c r="D148" s="523"/>
      <c r="E148" s="263"/>
      <c r="F148" s="263"/>
      <c r="G148" s="263"/>
      <c r="H148" s="263"/>
      <c r="I148" s="273"/>
      <c r="J148" s="263"/>
      <c r="K148" s="264"/>
    </row>
    <row r="149" spans="1:11" ht="15" customHeight="1">
      <c r="A149" s="274">
        <v>8</v>
      </c>
      <c r="B149" s="275" t="str">
        <f>CONCATENATE(League!D144,"-",League!K144)</f>
        <v>Villarreal-Manchester United</v>
      </c>
      <c r="C149" s="313" t="str">
        <f>CONCATENATE(IF(League!G144&gt;League!H144,1,IF(League!G144&lt;League!H144,2,IF(AND(League!G144=League!H144,League!G144&lt;&gt;"",League!H144&lt;&gt;""),"X",0))),"|",League!G144,"-",League!H144)</f>
        <v>0|-</v>
      </c>
      <c r="D149" s="523"/>
      <c r="E149" s="263"/>
      <c r="F149" s="263"/>
      <c r="G149" s="263"/>
      <c r="H149" s="263"/>
      <c r="I149" s="273"/>
      <c r="J149" s="263"/>
      <c r="K149" s="264"/>
    </row>
    <row r="150" spans="1:11" ht="15" customHeight="1" thickBot="1">
      <c r="A150" s="276">
        <v>8</v>
      </c>
      <c r="B150" s="277" t="str">
        <f>CONCATENATE(League!D145,"-",League!K145)</f>
        <v>Slovan Bratislava -Inter Milan</v>
      </c>
      <c r="C150" s="314" t="str">
        <f>CONCATENATE(IF(League!G145&gt;League!H145,1,IF(League!G145&lt;League!H145,2,IF(AND(League!G145=League!H145,League!G145&lt;&gt;"",League!H145&lt;&gt;""),"X",0))),"|",League!G145,"-",League!H145)</f>
        <v>0|-</v>
      </c>
      <c r="D150" s="523"/>
      <c r="E150" s="263"/>
      <c r="F150" s="263"/>
      <c r="G150" s="263"/>
      <c r="H150" s="263"/>
      <c r="I150" s="273"/>
      <c r="J150" s="263"/>
      <c r="K150" s="264"/>
    </row>
    <row r="151" spans="1:11" ht="15" customHeight="1">
      <c r="C151" s="75"/>
      <c r="D151" s="523"/>
      <c r="E151" s="263"/>
      <c r="F151" s="263"/>
      <c r="G151" s="263"/>
      <c r="H151" s="263"/>
      <c r="I151" s="273"/>
      <c r="J151" s="263"/>
      <c r="K151" s="264"/>
    </row>
    <row r="152" spans="1:11" ht="19" customHeight="1" thickBot="1">
      <c r="A152" s="284"/>
      <c r="B152" s="139" t="str">
        <f>+Idiomas!D110</f>
        <v>POSICIÓN LIGA</v>
      </c>
      <c r="C152" s="318"/>
      <c r="D152" s="523"/>
      <c r="E152" s="263"/>
      <c r="F152" s="263"/>
      <c r="G152" s="263"/>
      <c r="H152" s="263"/>
      <c r="I152" s="273"/>
      <c r="J152" s="263"/>
      <c r="K152" s="264"/>
    </row>
    <row r="153" spans="1:11" ht="15" customHeight="1">
      <c r="A153" s="534" t="s">
        <v>845</v>
      </c>
      <c r="B153" s="109">
        <v>1</v>
      </c>
      <c r="C153" s="313">
        <f>IF(SUM(Calcs!$B$2:$B$37)=288,League!P2,'Pool League'!B153)</f>
        <v>1</v>
      </c>
      <c r="D153" s="523"/>
      <c r="E153" s="263"/>
      <c r="F153" s="263"/>
      <c r="G153" s="263"/>
      <c r="H153" s="263"/>
      <c r="I153" s="273"/>
      <c r="J153" s="263"/>
      <c r="K153" s="264"/>
    </row>
    <row r="154" spans="1:11" ht="15" customHeight="1">
      <c r="A154" s="535"/>
      <c r="B154" s="112">
        <v>2</v>
      </c>
      <c r="C154" s="313">
        <f>IF(SUM(Calcs!$B$2:$B$37)=288,League!P3,'Pool League'!B154)</f>
        <v>2</v>
      </c>
      <c r="D154" s="523"/>
      <c r="E154" s="263"/>
      <c r="F154" s="263"/>
      <c r="G154" s="263"/>
      <c r="H154" s="263"/>
      <c r="I154" s="273"/>
      <c r="J154" s="263"/>
      <c r="K154" s="264"/>
    </row>
    <row r="155" spans="1:11" ht="15" customHeight="1">
      <c r="A155" s="535"/>
      <c r="B155" s="112">
        <v>3</v>
      </c>
      <c r="C155" s="313">
        <f>IF(SUM(Calcs!$B$2:$B$37)=288,League!P4,'Pool League'!B155)</f>
        <v>3</v>
      </c>
      <c r="D155" s="523"/>
      <c r="E155" s="263"/>
      <c r="F155" s="263"/>
      <c r="G155" s="263"/>
      <c r="H155" s="263"/>
      <c r="I155" s="273"/>
      <c r="J155" s="263"/>
      <c r="K155" s="264"/>
    </row>
    <row r="156" spans="1:11" ht="15" customHeight="1">
      <c r="A156" s="535"/>
      <c r="B156" s="112">
        <v>4</v>
      </c>
      <c r="C156" s="313">
        <f>IF(SUM(Calcs!$B$2:$B$37)=288,League!P5,'Pool League'!B156)</f>
        <v>4</v>
      </c>
      <c r="D156" s="523"/>
      <c r="E156" s="263"/>
      <c r="F156" s="263"/>
      <c r="G156" s="263"/>
      <c r="H156" s="263"/>
      <c r="I156" s="273"/>
      <c r="J156" s="263"/>
      <c r="K156" s="264"/>
    </row>
    <row r="157" spans="1:11" ht="15" customHeight="1">
      <c r="A157" s="535"/>
      <c r="B157" s="112">
        <v>5</v>
      </c>
      <c r="C157" s="313">
        <f>IF(SUM(Calcs!$B$2:$B$37)=288,League!P6,'Pool League'!B157)</f>
        <v>5</v>
      </c>
      <c r="D157" s="523"/>
      <c r="E157" s="263"/>
      <c r="F157" s="263"/>
      <c r="G157" s="263"/>
      <c r="H157" s="263"/>
      <c r="I157" s="273"/>
      <c r="J157" s="263"/>
      <c r="K157" s="264"/>
    </row>
    <row r="158" spans="1:11" ht="15" customHeight="1">
      <c r="A158" s="535"/>
      <c r="B158" s="112">
        <v>6</v>
      </c>
      <c r="C158" s="313">
        <f>IF(SUM(Calcs!$B$2:$B$37)=288,League!P7,'Pool League'!B158)</f>
        <v>6</v>
      </c>
      <c r="D158" s="523"/>
      <c r="E158" s="263"/>
      <c r="F158" s="263"/>
      <c r="G158" s="263"/>
      <c r="H158" s="263"/>
      <c r="I158" s="273"/>
      <c r="J158" s="263"/>
      <c r="K158" s="264"/>
    </row>
    <row r="159" spans="1:11" ht="15" customHeight="1">
      <c r="A159" s="535"/>
      <c r="B159" s="112">
        <v>7</v>
      </c>
      <c r="C159" s="313">
        <f>IF(SUM(Calcs!$B$2:$B$37)=288,League!P8,'Pool League'!B159)</f>
        <v>7</v>
      </c>
      <c r="D159" s="523"/>
      <c r="E159" s="263"/>
      <c r="F159" s="263"/>
      <c r="G159" s="263"/>
      <c r="H159" s="263"/>
      <c r="I159" s="273"/>
      <c r="J159" s="263"/>
      <c r="K159" s="264"/>
    </row>
    <row r="160" spans="1:11" ht="15" customHeight="1">
      <c r="A160" s="535"/>
      <c r="B160" s="112">
        <v>8</v>
      </c>
      <c r="C160" s="313">
        <f>IF(SUM(Calcs!$B$2:$B$37)=288,League!P9,'Pool League'!B160)</f>
        <v>8</v>
      </c>
      <c r="D160" s="523"/>
      <c r="E160" s="263"/>
      <c r="F160" s="263"/>
      <c r="G160" s="263"/>
      <c r="H160" s="263"/>
      <c r="I160" s="273"/>
      <c r="J160" s="263"/>
      <c r="K160" s="264"/>
    </row>
    <row r="161" spans="1:11" ht="15" customHeight="1">
      <c r="A161" s="535"/>
      <c r="B161" s="112">
        <v>9</v>
      </c>
      <c r="C161" s="313">
        <f>IF(SUM(Calcs!$B$2:$B$37)=288,League!P10,'Pool League'!B161)</f>
        <v>9</v>
      </c>
      <c r="D161" s="523"/>
      <c r="E161" s="263"/>
      <c r="F161" s="263"/>
      <c r="G161" s="263"/>
      <c r="H161" s="263"/>
      <c r="I161" s="273"/>
      <c r="J161" s="263"/>
      <c r="K161" s="264"/>
    </row>
    <row r="162" spans="1:11" ht="15" customHeight="1">
      <c r="A162" s="535"/>
      <c r="B162" s="112">
        <v>10</v>
      </c>
      <c r="C162" s="313">
        <f>IF(SUM(Calcs!$B$2:$B$37)=288,League!P11,'Pool League'!B162)</f>
        <v>10</v>
      </c>
      <c r="D162" s="523"/>
      <c r="E162" s="263"/>
      <c r="F162" s="263"/>
      <c r="G162" s="263"/>
      <c r="H162" s="263"/>
      <c r="I162" s="273"/>
      <c r="J162" s="263"/>
      <c r="K162" s="264"/>
    </row>
    <row r="163" spans="1:11" ht="15" customHeight="1">
      <c r="A163" s="535"/>
      <c r="B163" s="112">
        <v>11</v>
      </c>
      <c r="C163" s="313">
        <f>IF(SUM(Calcs!$B$2:$B$37)=288,League!P12,'Pool League'!B163)</f>
        <v>11</v>
      </c>
      <c r="D163" s="523"/>
      <c r="E163" s="263"/>
      <c r="F163" s="263"/>
      <c r="G163" s="263"/>
      <c r="H163" s="263"/>
      <c r="I163" s="273"/>
      <c r="J163" s="263"/>
      <c r="K163" s="264"/>
    </row>
    <row r="164" spans="1:11" ht="15" customHeight="1">
      <c r="A164" s="535"/>
      <c r="B164" s="112">
        <v>12</v>
      </c>
      <c r="C164" s="313">
        <f>IF(SUM(Calcs!$B$2:$B$37)=288,League!P13,'Pool League'!B164)</f>
        <v>12</v>
      </c>
      <c r="D164" s="523"/>
      <c r="E164" s="263"/>
      <c r="F164" s="263"/>
      <c r="G164" s="263"/>
      <c r="H164" s="263"/>
      <c r="I164" s="273"/>
      <c r="J164" s="263"/>
      <c r="K164" s="264"/>
    </row>
    <row r="165" spans="1:11" ht="15" customHeight="1">
      <c r="A165" s="535"/>
      <c r="B165" s="112">
        <v>13</v>
      </c>
      <c r="C165" s="313">
        <f>IF(SUM(Calcs!$B$2:$B$37)=288,League!P14,'Pool League'!B165)</f>
        <v>13</v>
      </c>
      <c r="D165" s="523"/>
      <c r="E165" s="263"/>
      <c r="F165" s="263"/>
      <c r="G165" s="263"/>
      <c r="H165" s="263"/>
      <c r="I165" s="273"/>
      <c r="J165" s="263"/>
      <c r="K165" s="264"/>
    </row>
    <row r="166" spans="1:11" ht="15" customHeight="1">
      <c r="A166" s="535"/>
      <c r="B166" s="112">
        <v>14</v>
      </c>
      <c r="C166" s="313">
        <f>IF(SUM(Calcs!$B$2:$B$37)=288,League!P15,'Pool League'!B166)</f>
        <v>14</v>
      </c>
      <c r="D166" s="523"/>
      <c r="E166" s="263"/>
      <c r="F166" s="263"/>
      <c r="G166" s="263"/>
      <c r="H166" s="263"/>
      <c r="I166" s="273"/>
      <c r="J166" s="263"/>
      <c r="K166" s="264"/>
    </row>
    <row r="167" spans="1:11" ht="15" customHeight="1">
      <c r="A167" s="535"/>
      <c r="B167" s="112">
        <v>15</v>
      </c>
      <c r="C167" s="313">
        <f>IF(SUM(Calcs!$B$2:$B$37)=288,League!P16,'Pool League'!B167)</f>
        <v>15</v>
      </c>
      <c r="D167" s="523"/>
      <c r="E167" s="263"/>
      <c r="F167" s="263"/>
      <c r="G167" s="263"/>
      <c r="H167" s="263"/>
      <c r="I167" s="273"/>
      <c r="J167" s="263"/>
      <c r="K167" s="264"/>
    </row>
    <row r="168" spans="1:11" ht="15" customHeight="1">
      <c r="A168" s="535"/>
      <c r="B168" s="112">
        <v>16</v>
      </c>
      <c r="C168" s="313">
        <f>IF(SUM(Calcs!$B$2:$B$37)=288,League!P17,'Pool League'!B168)</f>
        <v>16</v>
      </c>
      <c r="D168" s="523"/>
      <c r="E168" s="263"/>
      <c r="F168" s="263"/>
      <c r="G168" s="263"/>
      <c r="H168" s="263"/>
      <c r="I168" s="273"/>
      <c r="J168" s="263"/>
      <c r="K168" s="264"/>
    </row>
    <row r="169" spans="1:11" ht="15" customHeight="1">
      <c r="A169" s="535"/>
      <c r="B169" s="112">
        <v>17</v>
      </c>
      <c r="C169" s="313">
        <f>IF(SUM(Calcs!$B$2:$B$37)=288,League!P18,'Pool League'!B169)</f>
        <v>17</v>
      </c>
      <c r="D169" s="523"/>
      <c r="E169" s="263"/>
      <c r="F169" s="263"/>
      <c r="G169" s="263"/>
      <c r="H169" s="263"/>
      <c r="I169" s="273"/>
      <c r="J169" s="263"/>
      <c r="K169" s="264"/>
    </row>
    <row r="170" spans="1:11" ht="15" customHeight="1">
      <c r="A170" s="535"/>
      <c r="B170" s="112">
        <v>18</v>
      </c>
      <c r="C170" s="313">
        <f>IF(SUM(Calcs!$B$2:$B$37)=288,League!P19,'Pool League'!B170)</f>
        <v>18</v>
      </c>
      <c r="D170" s="523"/>
      <c r="E170" s="263"/>
      <c r="F170" s="263"/>
      <c r="G170" s="263"/>
      <c r="H170" s="263"/>
      <c r="I170" s="273"/>
      <c r="J170" s="263"/>
      <c r="K170" s="264"/>
    </row>
    <row r="171" spans="1:11" ht="15" customHeight="1">
      <c r="A171" s="535"/>
      <c r="B171" s="112">
        <v>19</v>
      </c>
      <c r="C171" s="313">
        <f>IF(SUM(Calcs!$B$2:$B$37)=288,League!P20,'Pool League'!B171)</f>
        <v>19</v>
      </c>
      <c r="D171" s="523"/>
      <c r="E171" s="263"/>
      <c r="F171" s="263"/>
      <c r="G171" s="263"/>
      <c r="H171" s="263"/>
      <c r="I171" s="273"/>
      <c r="J171" s="263"/>
      <c r="K171" s="264"/>
    </row>
    <row r="172" spans="1:11" ht="15" customHeight="1">
      <c r="A172" s="535"/>
      <c r="B172" s="112">
        <v>20</v>
      </c>
      <c r="C172" s="313">
        <f>IF(SUM(Calcs!$B$2:$B$37)=288,League!P21,'Pool League'!B172)</f>
        <v>20</v>
      </c>
      <c r="D172" s="523"/>
      <c r="E172" s="263"/>
      <c r="F172" s="263"/>
      <c r="G172" s="263"/>
      <c r="H172" s="263"/>
      <c r="I172" s="273"/>
      <c r="J172" s="263"/>
      <c r="K172" s="264"/>
    </row>
    <row r="173" spans="1:11" ht="15" customHeight="1">
      <c r="A173" s="535"/>
      <c r="B173" s="112">
        <v>21</v>
      </c>
      <c r="C173" s="313">
        <f>IF(SUM(Calcs!$B$2:$B$37)=288,League!P22,'Pool League'!B173)</f>
        <v>21</v>
      </c>
      <c r="D173" s="523"/>
      <c r="E173" s="263"/>
      <c r="F173" s="263"/>
      <c r="G173" s="263"/>
      <c r="H173" s="263"/>
      <c r="I173" s="273"/>
      <c r="J173" s="263"/>
      <c r="K173" s="264"/>
    </row>
    <row r="174" spans="1:11" ht="15" customHeight="1">
      <c r="A174" s="535"/>
      <c r="B174" s="112">
        <v>22</v>
      </c>
      <c r="C174" s="313">
        <f>IF(SUM(Calcs!$B$2:$B$37)=288,League!P23,'Pool League'!B174)</f>
        <v>22</v>
      </c>
      <c r="D174" s="523"/>
      <c r="E174" s="263"/>
      <c r="F174" s="263"/>
      <c r="G174" s="263"/>
      <c r="H174" s="263"/>
      <c r="I174" s="273"/>
      <c r="J174" s="263"/>
      <c r="K174" s="264"/>
    </row>
    <row r="175" spans="1:11" ht="15" customHeight="1">
      <c r="A175" s="535"/>
      <c r="B175" s="112">
        <v>23</v>
      </c>
      <c r="C175" s="313">
        <f>IF(SUM(Calcs!$B$2:$B$37)=288,League!P24,'Pool League'!B175)</f>
        <v>23</v>
      </c>
      <c r="D175" s="523"/>
      <c r="E175" s="263"/>
      <c r="F175" s="263"/>
      <c r="G175" s="263"/>
      <c r="H175" s="263"/>
      <c r="I175" s="273"/>
      <c r="J175" s="263"/>
      <c r="K175" s="264"/>
    </row>
    <row r="176" spans="1:11" ht="15" customHeight="1">
      <c r="A176" s="535"/>
      <c r="B176" s="112">
        <v>24</v>
      </c>
      <c r="C176" s="313">
        <f>IF(SUM(Calcs!$B$2:$B$37)=288,League!P25,'Pool League'!B176)</f>
        <v>24</v>
      </c>
      <c r="D176" s="523"/>
      <c r="E176" s="263"/>
      <c r="F176" s="263"/>
      <c r="G176" s="263"/>
      <c r="H176" s="263"/>
      <c r="I176" s="273"/>
      <c r="J176" s="263"/>
      <c r="K176" s="264"/>
    </row>
    <row r="177" spans="1:11" ht="15" customHeight="1">
      <c r="A177" s="535"/>
      <c r="B177" s="112">
        <v>25</v>
      </c>
      <c r="C177" s="313">
        <f>IF(SUM(Calcs!$B$2:$B$37)=288,League!P26,'Pool League'!B177)</f>
        <v>25</v>
      </c>
      <c r="D177" s="523"/>
      <c r="E177" s="263"/>
      <c r="F177" s="263"/>
      <c r="G177" s="263"/>
      <c r="H177" s="263"/>
      <c r="I177" s="273"/>
      <c r="J177" s="263"/>
      <c r="K177" s="264"/>
    </row>
    <row r="178" spans="1:11" ht="15" customHeight="1">
      <c r="A178" s="535"/>
      <c r="B178" s="112">
        <v>26</v>
      </c>
      <c r="C178" s="313">
        <f>IF(SUM(Calcs!$B$2:$B$37)=288,League!P27,'Pool League'!B178)</f>
        <v>26</v>
      </c>
      <c r="D178" s="523"/>
      <c r="E178" s="263"/>
      <c r="F178" s="263"/>
      <c r="G178" s="263"/>
      <c r="H178" s="263"/>
      <c r="I178" s="273"/>
      <c r="J178" s="263"/>
      <c r="K178" s="264"/>
    </row>
    <row r="179" spans="1:11" ht="15" customHeight="1">
      <c r="A179" s="535"/>
      <c r="B179" s="112">
        <v>27</v>
      </c>
      <c r="C179" s="313">
        <f>IF(SUM(Calcs!$B$2:$B$37)=288,League!P28,'Pool League'!B179)</f>
        <v>27</v>
      </c>
      <c r="D179" s="523"/>
      <c r="E179" s="263"/>
      <c r="F179" s="263"/>
      <c r="G179" s="263"/>
      <c r="H179" s="263"/>
      <c r="I179" s="273"/>
      <c r="J179" s="263"/>
      <c r="K179" s="264"/>
    </row>
    <row r="180" spans="1:11" ht="15" customHeight="1">
      <c r="A180" s="535"/>
      <c r="B180" s="112">
        <v>28</v>
      </c>
      <c r="C180" s="313">
        <f>IF(SUM(Calcs!$B$2:$B$37)=288,League!P29,'Pool League'!B180)</f>
        <v>28</v>
      </c>
      <c r="D180" s="523"/>
      <c r="E180" s="263"/>
      <c r="F180" s="263"/>
      <c r="G180" s="263"/>
      <c r="H180" s="263"/>
      <c r="I180" s="273"/>
      <c r="J180" s="263"/>
      <c r="K180" s="264"/>
    </row>
    <row r="181" spans="1:11" ht="15" customHeight="1">
      <c r="A181" s="535"/>
      <c r="B181" s="112">
        <v>29</v>
      </c>
      <c r="C181" s="313">
        <f>IF(SUM(Calcs!$B$2:$B$37)=288,League!P30,'Pool League'!B181)</f>
        <v>29</v>
      </c>
      <c r="D181" s="523"/>
      <c r="E181" s="263"/>
      <c r="F181" s="263"/>
      <c r="G181" s="263"/>
      <c r="H181" s="263"/>
      <c r="I181" s="273"/>
      <c r="J181" s="263"/>
      <c r="K181" s="264"/>
    </row>
    <row r="182" spans="1:11" ht="15" customHeight="1">
      <c r="A182" s="535"/>
      <c r="B182" s="112">
        <v>30</v>
      </c>
      <c r="C182" s="313">
        <f>IF(SUM(Calcs!$B$2:$B$37)=288,League!P31,'Pool League'!B182)</f>
        <v>30</v>
      </c>
      <c r="D182" s="523"/>
      <c r="E182" s="263"/>
      <c r="F182" s="263"/>
      <c r="G182" s="263"/>
      <c r="H182" s="263"/>
      <c r="I182" s="273"/>
      <c r="J182" s="263"/>
      <c r="K182" s="264"/>
    </row>
    <row r="183" spans="1:11" ht="15" customHeight="1">
      <c r="A183" s="535"/>
      <c r="B183" s="112">
        <v>31</v>
      </c>
      <c r="C183" s="313">
        <f>IF(SUM(Calcs!$B$2:$B$37)=288,League!P32,'Pool League'!B183)</f>
        <v>31</v>
      </c>
      <c r="D183" s="523"/>
      <c r="E183" s="263"/>
      <c r="F183" s="263"/>
      <c r="G183" s="263"/>
      <c r="H183" s="263"/>
      <c r="I183" s="273"/>
      <c r="J183" s="263"/>
      <c r="K183" s="264"/>
    </row>
    <row r="184" spans="1:11" ht="15" customHeight="1">
      <c r="A184" s="535"/>
      <c r="B184" s="112">
        <v>32</v>
      </c>
      <c r="C184" s="313">
        <f>IF(SUM(Calcs!$B$2:$B$37)=288,League!P33,'Pool League'!B184)</f>
        <v>32</v>
      </c>
      <c r="D184" s="523"/>
      <c r="E184" s="263"/>
      <c r="F184" s="263"/>
      <c r="G184" s="263"/>
      <c r="H184" s="263"/>
      <c r="I184" s="273"/>
      <c r="J184" s="263"/>
      <c r="K184" s="264"/>
    </row>
    <row r="185" spans="1:11" ht="15" customHeight="1">
      <c r="A185" s="535"/>
      <c r="B185" s="112">
        <v>33</v>
      </c>
      <c r="C185" s="313">
        <f>IF(SUM(Calcs!$B$2:$B$37)=288,League!P34,'Pool League'!B185)</f>
        <v>33</v>
      </c>
      <c r="D185" s="523"/>
      <c r="E185" s="263"/>
      <c r="F185" s="263"/>
      <c r="G185" s="263"/>
      <c r="H185" s="263"/>
      <c r="I185" s="273"/>
      <c r="J185" s="263"/>
      <c r="K185" s="264"/>
    </row>
    <row r="186" spans="1:11" ht="15" customHeight="1">
      <c r="A186" s="535"/>
      <c r="B186" s="112">
        <v>34</v>
      </c>
      <c r="C186" s="313">
        <f>IF(SUM(Calcs!$B$2:$B$37)=288,League!P35,'Pool League'!B186)</f>
        <v>34</v>
      </c>
      <c r="D186" s="523"/>
      <c r="E186" s="263"/>
      <c r="F186" s="263"/>
      <c r="G186" s="263"/>
      <c r="H186" s="263"/>
      <c r="I186" s="273"/>
      <c r="J186" s="263"/>
      <c r="K186" s="264"/>
    </row>
    <row r="187" spans="1:11" ht="15" customHeight="1">
      <c r="A187" s="535"/>
      <c r="B187" s="112">
        <v>35</v>
      </c>
      <c r="C187" s="313">
        <f>IF(SUM(Calcs!$B$2:$B$37)=288,League!P36,'Pool League'!B187)</f>
        <v>35</v>
      </c>
      <c r="D187" s="523"/>
      <c r="E187" s="263"/>
      <c r="F187" s="263"/>
      <c r="G187" s="263"/>
      <c r="H187" s="263"/>
      <c r="I187" s="273"/>
      <c r="J187" s="263"/>
      <c r="K187" s="264"/>
    </row>
    <row r="188" spans="1:11" ht="15" customHeight="1">
      <c r="A188" s="535"/>
      <c r="B188" s="112">
        <v>36</v>
      </c>
      <c r="C188" s="313">
        <f>IF(SUM(Calcs!$B$2:$B$37)=288,League!P37,'Pool League'!B188)</f>
        <v>36</v>
      </c>
      <c r="D188" s="523"/>
      <c r="E188" s="263"/>
      <c r="F188" s="263"/>
      <c r="G188" s="263"/>
      <c r="H188" s="263"/>
      <c r="I188" s="273"/>
      <c r="J188" s="263"/>
      <c r="K188" s="264"/>
    </row>
    <row r="189" spans="1:11" ht="15" customHeight="1">
      <c r="C189" s="75"/>
      <c r="D189" s="523"/>
      <c r="I189" s="273"/>
      <c r="J189" s="263"/>
      <c r="K189" s="264"/>
    </row>
    <row r="190" spans="1:11" ht="15" customHeight="1" thickBot="1">
      <c r="A190" s="284"/>
      <c r="B190" s="139" t="str">
        <f>+Idiomas!D111</f>
        <v>CLASIFICADOS PARA OCTAVOS</v>
      </c>
      <c r="C190" s="318"/>
      <c r="D190" s="523"/>
      <c r="I190" s="273"/>
      <c r="J190" s="263"/>
      <c r="K190" s="264"/>
    </row>
    <row r="191" spans="1:11" ht="15" customHeight="1">
      <c r="A191" s="531" t="s">
        <v>734</v>
      </c>
      <c r="B191" s="261" t="str">
        <f>+Idiomas!$D$122</f>
        <v>Octavofinalista</v>
      </c>
      <c r="C191" s="313" t="str">
        <f>IF(SUM(Calcs!$B$2:$B$37)=288,League!P2,Idiomas!$D$122&amp;1)</f>
        <v>Octavofinalista1</v>
      </c>
      <c r="D191" s="523"/>
      <c r="I191" s="273"/>
      <c r="J191" s="263"/>
      <c r="K191" s="264"/>
    </row>
    <row r="192" spans="1:11" ht="15" customHeight="1">
      <c r="A192" s="532"/>
      <c r="B192" s="266" t="str">
        <f>+Idiomas!$D$122</f>
        <v>Octavofinalista</v>
      </c>
      <c r="C192" s="313" t="str">
        <f>IF(SUM(Calcs!$B$2:$B$37)=288,League!P3,Idiomas!$D$122&amp;2)</f>
        <v>Octavofinalista2</v>
      </c>
      <c r="D192" s="523"/>
      <c r="I192" s="273"/>
      <c r="J192" s="263"/>
      <c r="K192" s="264"/>
    </row>
    <row r="193" spans="1:11" ht="15" customHeight="1">
      <c r="A193" s="532"/>
      <c r="B193" s="266" t="str">
        <f>+Idiomas!$D$122</f>
        <v>Octavofinalista</v>
      </c>
      <c r="C193" s="313" t="str">
        <f>IF(SUM(Calcs!$B$2:$B$37)=288,League!P4,Idiomas!$D$122&amp;3)</f>
        <v>Octavofinalista3</v>
      </c>
      <c r="D193" s="523"/>
      <c r="I193" s="273"/>
      <c r="J193" s="263"/>
      <c r="K193" s="264"/>
    </row>
    <row r="194" spans="1:11" ht="15" customHeight="1">
      <c r="A194" s="532"/>
      <c r="B194" s="266" t="str">
        <f>+Idiomas!$D$122</f>
        <v>Octavofinalista</v>
      </c>
      <c r="C194" s="313" t="str">
        <f>IF(SUM(Calcs!$B$2:$B$37)=288,League!P5,Idiomas!$D$122&amp;4)</f>
        <v>Octavofinalista4</v>
      </c>
      <c r="D194" s="523"/>
      <c r="I194" s="273"/>
      <c r="J194" s="263"/>
      <c r="K194" s="264"/>
    </row>
    <row r="195" spans="1:11" ht="15" customHeight="1">
      <c r="A195" s="532"/>
      <c r="B195" s="266" t="str">
        <f>+Idiomas!$D$122</f>
        <v>Octavofinalista</v>
      </c>
      <c r="C195" s="313" t="str">
        <f>IF(SUM(Calcs!$B$2:$B$37)=288,League!P6,Idiomas!$D$122&amp;5)</f>
        <v>Octavofinalista5</v>
      </c>
      <c r="D195" s="523"/>
      <c r="I195" s="273"/>
      <c r="J195" s="263"/>
      <c r="K195" s="264"/>
    </row>
    <row r="196" spans="1:11" ht="15" customHeight="1">
      <c r="A196" s="532"/>
      <c r="B196" s="266" t="str">
        <f>+Idiomas!$D$122</f>
        <v>Octavofinalista</v>
      </c>
      <c r="C196" s="313" t="str">
        <f>IF(SUM(Calcs!$B$2:$B$37)=288,League!P7,Idiomas!$D$122&amp;6)</f>
        <v>Octavofinalista6</v>
      </c>
      <c r="D196" s="523"/>
      <c r="I196" s="273"/>
      <c r="J196" s="263"/>
      <c r="K196" s="264"/>
    </row>
    <row r="197" spans="1:11" ht="15" customHeight="1">
      <c r="A197" s="532"/>
      <c r="B197" s="266" t="str">
        <f>+Idiomas!$D$122</f>
        <v>Octavofinalista</v>
      </c>
      <c r="C197" s="313" t="str">
        <f>IF(SUM(Calcs!$B$2:$B$37)=288,League!P8,Idiomas!$D$122&amp;7)</f>
        <v>Octavofinalista7</v>
      </c>
      <c r="D197" s="523"/>
      <c r="I197" s="273"/>
      <c r="J197" s="263"/>
      <c r="K197" s="264"/>
    </row>
    <row r="198" spans="1:11" ht="15" customHeight="1">
      <c r="A198" s="532"/>
      <c r="B198" s="266" t="str">
        <f>+Idiomas!$D$122</f>
        <v>Octavofinalista</v>
      </c>
      <c r="C198" s="313" t="str">
        <f>IF(SUM(Calcs!$B$2:$B$37)=288,League!P9,Idiomas!$D$122&amp;8)</f>
        <v>Octavofinalista8</v>
      </c>
      <c r="D198" s="523"/>
      <c r="I198" s="273"/>
      <c r="J198" s="263"/>
      <c r="K198" s="264"/>
    </row>
    <row r="199" spans="1:11" ht="16" customHeight="1">
      <c r="A199" s="147"/>
      <c r="B199" s="147"/>
      <c r="C199" s="75"/>
      <c r="D199" s="523"/>
      <c r="I199" s="273"/>
      <c r="J199" s="263"/>
      <c r="K199" s="264"/>
    </row>
    <row r="200" spans="1:11" ht="20" customHeight="1" thickBot="1">
      <c r="A200" s="147"/>
      <c r="B200" s="139" t="str">
        <f>+Idiomas!D112</f>
        <v>CLASIFICADOS PARA PLAYOFFS</v>
      </c>
      <c r="C200" s="318"/>
      <c r="D200" s="523"/>
      <c r="I200" s="273"/>
      <c r="J200" s="263"/>
      <c r="K200" s="264"/>
    </row>
    <row r="201" spans="1:11" ht="15" customHeight="1">
      <c r="A201" s="533" t="s">
        <v>823</v>
      </c>
      <c r="B201" s="261" t="s">
        <v>809</v>
      </c>
      <c r="C201" s="313" t="str">
        <f>IF(SUM(Calcs!$B$2:$B$37)=288,League!P10,"Playoff"&amp;1)</f>
        <v>Playoff1</v>
      </c>
      <c r="D201" s="523"/>
      <c r="I201" s="273"/>
      <c r="J201" s="263"/>
      <c r="K201" s="264"/>
    </row>
    <row r="202" spans="1:11" ht="15" customHeight="1">
      <c r="A202" s="533"/>
      <c r="B202" s="266" t="s">
        <v>809</v>
      </c>
      <c r="C202" s="313" t="str">
        <f>IF(SUM(Calcs!$B$2:$B$37)=288,League!P11,"Playoff"&amp;2)</f>
        <v>Playoff2</v>
      </c>
      <c r="D202" s="523"/>
      <c r="I202" s="273"/>
      <c r="J202" s="263"/>
      <c r="K202" s="264"/>
    </row>
    <row r="203" spans="1:11" ht="15" customHeight="1">
      <c r="A203" s="533"/>
      <c r="B203" s="266" t="s">
        <v>809</v>
      </c>
      <c r="C203" s="313" t="str">
        <f>IF(SUM(Calcs!$B$2:$B$37)=288,League!P12,"Playoff"&amp;3)</f>
        <v>Playoff3</v>
      </c>
      <c r="D203" s="523"/>
      <c r="I203" s="273"/>
      <c r="J203" s="263"/>
      <c r="K203" s="264"/>
    </row>
    <row r="204" spans="1:11" ht="15" customHeight="1">
      <c r="A204" s="533"/>
      <c r="B204" s="266" t="s">
        <v>809</v>
      </c>
      <c r="C204" s="313" t="str">
        <f>IF(SUM(Calcs!$B$2:$B$37)=288,League!P13,"Playoff"&amp;4)</f>
        <v>Playoff4</v>
      </c>
      <c r="D204" s="523"/>
      <c r="I204" s="273"/>
      <c r="J204" s="263"/>
      <c r="K204" s="264"/>
    </row>
    <row r="205" spans="1:11" ht="15" customHeight="1">
      <c r="A205" s="533"/>
      <c r="B205" s="266" t="s">
        <v>809</v>
      </c>
      <c r="C205" s="313" t="str">
        <f>IF(SUM(Calcs!$B$2:$B$37)=288,League!P14,"Playoff"&amp;5)</f>
        <v>Playoff5</v>
      </c>
      <c r="D205" s="523"/>
      <c r="I205" s="273"/>
      <c r="J205" s="263"/>
      <c r="K205" s="264"/>
    </row>
    <row r="206" spans="1:11" ht="15" customHeight="1">
      <c r="A206" s="533"/>
      <c r="B206" s="266" t="s">
        <v>809</v>
      </c>
      <c r="C206" s="313" t="str">
        <f>IF(SUM(Calcs!$B$2:$B$37)=288,League!P15,"Playoff"&amp;6)</f>
        <v>Playoff6</v>
      </c>
      <c r="D206" s="523"/>
      <c r="I206" s="273"/>
      <c r="J206" s="263"/>
      <c r="K206" s="264"/>
    </row>
    <row r="207" spans="1:11" ht="15" customHeight="1">
      <c r="A207" s="533"/>
      <c r="B207" s="266" t="s">
        <v>809</v>
      </c>
      <c r="C207" s="313" t="str">
        <f>IF(SUM(Calcs!$B$2:$B$37)=288,League!P16,"Playoff"&amp;7)</f>
        <v>Playoff7</v>
      </c>
      <c r="D207" s="523"/>
      <c r="I207" s="273"/>
      <c r="J207" s="263"/>
      <c r="K207" s="264"/>
    </row>
    <row r="208" spans="1:11" ht="15" customHeight="1">
      <c r="A208" s="533"/>
      <c r="B208" s="266" t="s">
        <v>809</v>
      </c>
      <c r="C208" s="313" t="str">
        <f>IF(SUM(Calcs!$B$2:$B$37)=288,League!P17,"Playoff"&amp;8)</f>
        <v>Playoff8</v>
      </c>
      <c r="D208" s="523"/>
      <c r="I208" s="273"/>
      <c r="J208" s="263"/>
      <c r="K208" s="264"/>
    </row>
    <row r="209" spans="1:11" ht="15" customHeight="1">
      <c r="A209" s="533"/>
      <c r="B209" s="266" t="s">
        <v>809</v>
      </c>
      <c r="C209" s="313" t="str">
        <f>IF(SUM(Calcs!$B$2:$B$37)=288,League!P18,"Playoff"&amp;9)</f>
        <v>Playoff9</v>
      </c>
      <c r="D209" s="523"/>
      <c r="I209" s="273"/>
      <c r="J209" s="263"/>
      <c r="K209" s="264"/>
    </row>
    <row r="210" spans="1:11" ht="15" customHeight="1">
      <c r="A210" s="533"/>
      <c r="B210" s="266" t="s">
        <v>809</v>
      </c>
      <c r="C210" s="313" t="str">
        <f>IF(SUM(Calcs!$B$2:$B$37)=288,League!P19,"Playoff"&amp;10)</f>
        <v>Playoff10</v>
      </c>
      <c r="D210" s="523"/>
      <c r="I210" s="273"/>
      <c r="J210" s="263"/>
      <c r="K210" s="264"/>
    </row>
    <row r="211" spans="1:11" ht="15" customHeight="1">
      <c r="A211" s="533"/>
      <c r="B211" s="266" t="s">
        <v>809</v>
      </c>
      <c r="C211" s="313" t="str">
        <f>IF(SUM(Calcs!$B$2:$B$37)=288,League!P20,"Playoff"&amp;11)</f>
        <v>Playoff11</v>
      </c>
      <c r="D211" s="523"/>
      <c r="I211" s="273"/>
      <c r="J211" s="263"/>
      <c r="K211" s="264"/>
    </row>
    <row r="212" spans="1:11" ht="15" customHeight="1">
      <c r="A212" s="533"/>
      <c r="B212" s="266" t="s">
        <v>809</v>
      </c>
      <c r="C212" s="313" t="str">
        <f>IF(SUM(Calcs!$B$2:$B$37)=288,League!P21,"Playoff"&amp;12)</f>
        <v>Playoff12</v>
      </c>
      <c r="D212" s="523"/>
      <c r="I212" s="273"/>
      <c r="J212" s="263"/>
      <c r="K212" s="264"/>
    </row>
    <row r="213" spans="1:11" ht="15" customHeight="1">
      <c r="A213" s="533"/>
      <c r="B213" s="266" t="s">
        <v>809</v>
      </c>
      <c r="C213" s="313" t="str">
        <f>IF(SUM(Calcs!$B$2:$B$37)=288,League!P22,"Playoff"&amp;13)</f>
        <v>Playoff13</v>
      </c>
      <c r="D213" s="523"/>
      <c r="I213" s="273"/>
      <c r="J213" s="263"/>
      <c r="K213" s="264"/>
    </row>
    <row r="214" spans="1:11" ht="15" customHeight="1">
      <c r="A214" s="533"/>
      <c r="B214" s="266" t="s">
        <v>809</v>
      </c>
      <c r="C214" s="313" t="str">
        <f>IF(SUM(Calcs!$B$2:$B$37)=288,League!P23,"Playoff"&amp;14)</f>
        <v>Playoff14</v>
      </c>
      <c r="D214" s="523"/>
      <c r="I214" s="273"/>
      <c r="J214" s="263"/>
      <c r="K214" s="264"/>
    </row>
    <row r="215" spans="1:11" ht="15" customHeight="1">
      <c r="A215" s="533"/>
      <c r="B215" s="266" t="s">
        <v>809</v>
      </c>
      <c r="C215" s="313" t="str">
        <f>IF(SUM(Calcs!$B$2:$B$37)=288,League!P24,"Playoff"&amp;15)</f>
        <v>Playoff15</v>
      </c>
      <c r="D215" s="523"/>
      <c r="I215" s="273"/>
      <c r="J215" s="263"/>
      <c r="K215" s="264"/>
    </row>
    <row r="216" spans="1:11" ht="15" customHeight="1">
      <c r="A216" s="533"/>
      <c r="B216" s="266" t="s">
        <v>809</v>
      </c>
      <c r="C216" s="313" t="str">
        <f>IF(SUM(Calcs!$B$2:$B$37)=288,League!P25,"Playoff"&amp;16)</f>
        <v>Playoff16</v>
      </c>
      <c r="D216" s="523"/>
      <c r="I216" s="273"/>
      <c r="J216" s="263"/>
      <c r="K216" s="264"/>
    </row>
    <row r="217" spans="1:11" ht="15" customHeight="1"/>
    <row r="218" spans="1:11" ht="15" customHeight="1"/>
    <row r="219" spans="1:11" ht="15" customHeight="1"/>
    <row r="220" spans="1:11" ht="15" customHeight="1"/>
    <row r="221" spans="1:11" ht="15" customHeight="1"/>
    <row r="222" spans="1:11" ht="15" customHeight="1"/>
    <row r="223" spans="1:11" ht="15" customHeight="1"/>
    <row r="224" spans="1:11" ht="15" customHeight="1"/>
    <row r="225" ht="15" customHeight="1"/>
    <row r="226" ht="15" customHeight="1"/>
  </sheetData>
  <sheetProtection algorithmName="SHA-512" hashValue="VLlJSbzhI9rFmONH+5qi8Y1wvVnPnIDTMG4hM5sCBTZUX1wfUv3WRJQ3gsvQ3FHOAnpzr6Q3ASG2RmEGETrc6w==" saltValue="RglvHWog3EhbnnlWciiHbg==" spinCount="100000" sheet="1" selectLockedCells="1"/>
  <mergeCells count="21">
    <mergeCell ref="A191:A198"/>
    <mergeCell ref="A201:A216"/>
    <mergeCell ref="D133:D216"/>
    <mergeCell ref="E133:H136"/>
    <mergeCell ref="A153:A188"/>
    <mergeCell ref="E5:J6"/>
    <mergeCell ref="B3:D3"/>
    <mergeCell ref="D97:D114"/>
    <mergeCell ref="D115:D132"/>
    <mergeCell ref="E7:H10"/>
    <mergeCell ref="E25:H28"/>
    <mergeCell ref="D7:D24"/>
    <mergeCell ref="D25:D42"/>
    <mergeCell ref="D43:D60"/>
    <mergeCell ref="D61:D78"/>
    <mergeCell ref="D79:D96"/>
    <mergeCell ref="E43:H46"/>
    <mergeCell ref="E61:H64"/>
    <mergeCell ref="E79:H82"/>
    <mergeCell ref="E97:H100"/>
    <mergeCell ref="E115:H118"/>
  </mergeCells>
  <phoneticPr fontId="8"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66580-030C-FB45-BE16-8BA527AA6DF8}">
  <sheetPr codeName="Hoja15"/>
  <dimension ref="A1:H100"/>
  <sheetViews>
    <sheetView showGridLines="0" workbookViewId="0">
      <selection activeCell="C6" sqref="C6:C91"/>
    </sheetView>
  </sheetViews>
  <sheetFormatPr baseColWidth="10" defaultColWidth="10.83203125" defaultRowHeight="15"/>
  <cols>
    <col min="1" max="1" width="10.83203125" style="73"/>
    <col min="2" max="2" width="35.5" style="73" bestFit="1" customWidth="1"/>
    <col min="3" max="3" width="15.83203125" style="73" customWidth="1"/>
    <col min="4" max="16384" width="10.83203125" style="73"/>
  </cols>
  <sheetData>
    <row r="1" spans="1:8">
      <c r="A1" s="134"/>
      <c r="B1" s="137" t="str">
        <f>+Idiomas!D76</f>
        <v>Para el administrador de la porra</v>
      </c>
      <c r="C1" s="135"/>
      <c r="D1" s="134"/>
      <c r="E1" s="134"/>
      <c r="F1" s="134"/>
      <c r="G1" s="134"/>
      <c r="H1" s="134"/>
    </row>
    <row r="2" spans="1:8" ht="24">
      <c r="A2" s="134"/>
      <c r="B2" s="136"/>
      <c r="C2" s="136"/>
      <c r="D2" s="136"/>
      <c r="E2" s="134"/>
      <c r="F2" s="134"/>
      <c r="G2" s="134"/>
      <c r="H2" s="134"/>
    </row>
    <row r="3" spans="1:8" ht="24">
      <c r="A3" s="134"/>
      <c r="B3" s="521" t="str">
        <f>+Idiomas!D79</f>
        <v>¡No tocar nada, se rellena solo!</v>
      </c>
      <c r="C3" s="521"/>
      <c r="D3" s="521"/>
      <c r="E3" s="257"/>
      <c r="F3" s="257"/>
      <c r="G3" s="257"/>
      <c r="H3" s="257"/>
    </row>
    <row r="4" spans="1:8" ht="24">
      <c r="A4" s="134"/>
      <c r="B4" s="136"/>
      <c r="C4" s="136"/>
      <c r="D4" s="136"/>
      <c r="E4" s="134"/>
      <c r="F4" s="134"/>
      <c r="G4" s="134"/>
      <c r="H4" s="134"/>
    </row>
    <row r="5" spans="1:8" ht="20" thickBot="1">
      <c r="B5" s="74" t="s">
        <v>844</v>
      </c>
      <c r="C5" s="144" t="str">
        <f>IF(ISBLANK(Home!C13),"",Home!C13)</f>
        <v>Nombre</v>
      </c>
    </row>
    <row r="6" spans="1:8" ht="15" customHeight="1">
      <c r="A6" s="290" t="s">
        <v>869</v>
      </c>
      <c r="B6" s="261" t="str">
        <f>CONCATENATE(KO!F4,"-",KO!F5)</f>
        <v>21/22-11/12</v>
      </c>
      <c r="C6" s="261" t="str">
        <f>CONCATENATE(IF(KO!G4&gt;KO!G5,1,IF(KO!G4&lt;KO!G5,2,IF(AND(KO!G4=KO!G5,KO!G4&lt;&gt;"",KO!G5&lt;&gt;""),"X",0))),"|",KO!G4,"-",KO!G5)</f>
        <v>0|-</v>
      </c>
      <c r="D6" s="536" t="s">
        <v>823</v>
      </c>
      <c r="E6" s="537" t="str">
        <f>+Idiomas!D95</f>
        <v>·Para los Playoffs selecciona de la C6 a la C31 y pega valores en la plantilla de administrador.</v>
      </c>
      <c r="F6" s="537"/>
      <c r="G6" s="537"/>
      <c r="H6" s="537"/>
    </row>
    <row r="7" spans="1:8" ht="15" customHeight="1">
      <c r="A7" s="291" t="s">
        <v>871</v>
      </c>
      <c r="B7" s="266" t="str">
        <f>CONCATENATE(KO!F8,"-",KO!F9)</f>
        <v>19/20-13/14</v>
      </c>
      <c r="C7" s="266" t="str">
        <f>CONCATENATE(IF(KO!G8&gt;KO!G9,1,IF(KO!G8&lt;KO!G9,2,IF(AND(KO!G8=KO!G9,KO!G8&lt;&gt;"",KO!G9&lt;&gt;""),"X",0))),"|",KO!G8,"-",KO!G9)</f>
        <v>0|-</v>
      </c>
      <c r="D7" s="536"/>
      <c r="E7" s="537"/>
      <c r="F7" s="537"/>
      <c r="G7" s="537"/>
      <c r="H7" s="537"/>
    </row>
    <row r="8" spans="1:8" ht="15" customHeight="1">
      <c r="A8" s="292" t="s">
        <v>872</v>
      </c>
      <c r="B8" s="268" t="str">
        <f>CONCATENATE(KO!F12,"-",KO!F13)</f>
        <v>23/24-9/10</v>
      </c>
      <c r="C8" s="266" t="str">
        <f>CONCATENATE(IF(KO!G12&gt;KO!G13,1,IF(KO!G12&lt;KO!G13,2,IF(AND(KO!G12=KO!G13,KO!G12&lt;&gt;"",KO!G13&lt;&gt;""),"X",0))),"|",KO!G12,"-",KO!G13)</f>
        <v>0|-</v>
      </c>
      <c r="D8" s="536"/>
      <c r="E8" s="537"/>
      <c r="F8" s="537"/>
      <c r="G8" s="537"/>
      <c r="H8" s="537"/>
    </row>
    <row r="9" spans="1:8" ht="15" customHeight="1">
      <c r="A9" s="291" t="s">
        <v>873</v>
      </c>
      <c r="B9" s="266" t="str">
        <f>CONCATENATE(KO!F16,"-",KO!F17)</f>
        <v>17/18-15/16</v>
      </c>
      <c r="C9" s="266" t="str">
        <f>CONCATENATE(IF(KO!G16&gt;KO!G17,1,IF(KO!G16&lt;KO!G17,2,IF(AND(KO!G16=KO!G17,KO!G16&lt;&gt;"",KO!G17&lt;&gt;""),"X",0))),"|",KO!G16,"-",KO!G17)</f>
        <v>0|-</v>
      </c>
      <c r="D9" s="536"/>
      <c r="E9" s="537"/>
      <c r="F9" s="537"/>
      <c r="G9" s="537"/>
      <c r="H9" s="537"/>
    </row>
    <row r="10" spans="1:8" ht="15" customHeight="1">
      <c r="A10" s="292" t="s">
        <v>874</v>
      </c>
      <c r="B10" s="268" t="str">
        <f>CONCATENATE(KO!F20,"-",KO!F21)</f>
        <v>22/21-12/11</v>
      </c>
      <c r="C10" s="266" t="str">
        <f>CONCATENATE(IF(KO!G20&gt;KO!G21,1,IF(KO!G20&lt;KO!G21,2,IF(AND(KO!G20=KO!G21,KO!G20&lt;&gt;"",KO!G21&lt;&gt;""),"X",0))),"|",KO!G20,"-",KO!G21)</f>
        <v>0|-</v>
      </c>
      <c r="D10" s="536"/>
    </row>
    <row r="11" spans="1:8" ht="15" customHeight="1">
      <c r="A11" s="291" t="s">
        <v>875</v>
      </c>
      <c r="B11" s="266" t="str">
        <f>CONCATENATE(KO!F24,"-",KO!F25)</f>
        <v>20/19-14/13</v>
      </c>
      <c r="C11" s="266" t="str">
        <f>CONCATENATE(IF(KO!G24&gt;KO!G25,1,IF(KO!G24&lt;KO!G25,2,IF(AND(KO!G24=KO!G25,KO!G24&lt;&gt;"",KO!G25&lt;&gt;""),"X",0))),"|",KO!G24,"-",KO!G25)</f>
        <v>0|-</v>
      </c>
      <c r="D11" s="536"/>
    </row>
    <row r="12" spans="1:8" ht="15" customHeight="1">
      <c r="A12" s="292" t="s">
        <v>876</v>
      </c>
      <c r="B12" s="268" t="str">
        <f>CONCATENATE(KO!F28,"-",KO!F29)</f>
        <v>24/23-10/9</v>
      </c>
      <c r="C12" s="266" t="str">
        <f>CONCATENATE(IF(KO!G28&gt;KO!G29,1,IF(KO!G28&lt;KO!G29,2,IF(AND(KO!G28=KO!G29,KO!G28&lt;&gt;"",KO!G29&lt;&gt;""),"X",0))),"|",KO!G28,"-",KO!G29)</f>
        <v>0|-</v>
      </c>
      <c r="D12" s="536"/>
    </row>
    <row r="13" spans="1:8" ht="15" customHeight="1">
      <c r="A13" s="291" t="s">
        <v>877</v>
      </c>
      <c r="B13" s="266" t="str">
        <f>CONCATENATE(KO!F32,"-",KO!F33)</f>
        <v>18/17-16/15</v>
      </c>
      <c r="C13" s="266" t="str">
        <f>CONCATENATE(IF(KO!G32&gt;KO!G33,1,IF(KO!G32&lt;KO!G33,2,IF(AND(KO!G32=KO!G33,KO!G32&lt;&gt;"",KO!G33&lt;&gt;""),"X",0))),"|",KO!G32,"-",KO!G33)</f>
        <v>0|-</v>
      </c>
      <c r="D13" s="536"/>
    </row>
    <row r="14" spans="1:8" ht="15" customHeight="1">
      <c r="A14" s="293" t="s">
        <v>870</v>
      </c>
      <c r="B14" s="272" t="str">
        <f>CONCATENATE(KO!F5,"-",KO!F4)</f>
        <v>11/12-21/22</v>
      </c>
      <c r="C14" s="266" t="str">
        <f>CONCATENATE(IF(KO!H4&gt;KO!H5,2,IF(KO!H4&lt;KO!H5,1,IF(AND(KO!H4=KO!H5,KO!H4&lt;&gt;"",KO!H5&lt;&gt;""),"X",0))),"|",KO!H5,"-",KO!H4)</f>
        <v>0|-</v>
      </c>
      <c r="D14" s="536"/>
    </row>
    <row r="15" spans="1:8" ht="15" customHeight="1">
      <c r="A15" s="294" t="s">
        <v>878</v>
      </c>
      <c r="B15" s="275" t="str">
        <f>CONCATENATE(KO!F9,"-",KO!F8)</f>
        <v>13/14-19/20</v>
      </c>
      <c r="C15" s="266" t="str">
        <f>CONCATENATE(IF(KO!H8&gt;KO!H9,2,IF(KO!H8&lt;KO!H9,1,IF(AND(KO!H8=KO!H9,KO!H8&lt;&gt;"",KO!H9&lt;&gt;""),"X",0))),"|",KO!H9,"-",KO!H8)</f>
        <v>0|-</v>
      </c>
      <c r="D15" s="536"/>
    </row>
    <row r="16" spans="1:8" ht="15" customHeight="1">
      <c r="A16" s="294" t="s">
        <v>879</v>
      </c>
      <c r="B16" s="275" t="str">
        <f>CONCATENATE(KO!F13,"-",KO!F12)</f>
        <v>9/10-23/24</v>
      </c>
      <c r="C16" s="266" t="str">
        <f>CONCATENATE(IF(KO!H12&gt;KO!H13,2,IF(KO!H12&lt;KO!H13,1,IF(AND(KO!H12=KO!H13,KO!H12&lt;&gt;"",KO!H13&lt;&gt;""),"X",0))),"|",KO!H13,"-",KO!H12)</f>
        <v>0|-</v>
      </c>
      <c r="D16" s="536"/>
    </row>
    <row r="17" spans="1:4" ht="15" customHeight="1">
      <c r="A17" s="274" t="s">
        <v>894</v>
      </c>
      <c r="B17" s="275" t="str">
        <f>CONCATENATE(KO!F17,"-",KO!F16)</f>
        <v>15/16-17/18</v>
      </c>
      <c r="C17" s="266" t="str">
        <f>CONCATENATE(IF(KO!H16&gt;KO!H17,2,IF(KO!H16&lt;KO!H17,1,IF(AND(KO!H16=KO!H17,KO!H16&lt;&gt;"",KO!H17&lt;&gt;""),"X",0))),"|",KO!H17,"-",KO!H16)</f>
        <v>0|-</v>
      </c>
      <c r="D17" s="536"/>
    </row>
    <row r="18" spans="1:4" ht="15" customHeight="1">
      <c r="A18" s="274" t="s">
        <v>895</v>
      </c>
      <c r="B18" s="275" t="str">
        <f>CONCATENATE(KO!F21,"-",KO!F20)</f>
        <v>12/11-22/21</v>
      </c>
      <c r="C18" s="266" t="str">
        <f>CONCATENATE(IF(KO!H20&gt;KO!H21,2,IF(KO!H20&lt;KO!H21,1,IF(AND(KO!H20=KO!H21,KO!H20&lt;&gt;"",KO!H21&lt;&gt;""),"X",0))),"|",KO!H21,"-",KO!H20)</f>
        <v>0|-</v>
      </c>
      <c r="D18" s="536"/>
    </row>
    <row r="19" spans="1:4" ht="15" customHeight="1">
      <c r="A19" s="274" t="s">
        <v>896</v>
      </c>
      <c r="B19" s="275" t="str">
        <f>CONCATENATE(KO!F25,"-",KO!F24)</f>
        <v>14/13-20/19</v>
      </c>
      <c r="C19" s="266" t="str">
        <f>CONCATENATE(IF(KO!H24&gt;KO!H25,2,IF(KO!H24&lt;KO!H25,1,IF(AND(KO!H24=KO!H25,KO!H24&lt;&gt;"",KO!H25&lt;&gt;""),"X",0))),"|",KO!H25,"-",KO!H24)</f>
        <v>0|-</v>
      </c>
      <c r="D19" s="536"/>
    </row>
    <row r="20" spans="1:4" ht="15" customHeight="1">
      <c r="A20" s="274" t="s">
        <v>897</v>
      </c>
      <c r="B20" s="275" t="str">
        <f>CONCATENATE(KO!F29,"-",KO!F28)</f>
        <v>10/9-24/23</v>
      </c>
      <c r="C20" s="266" t="str">
        <f>CONCATENATE(IF(KO!H28&gt;KO!H29,2,IF(KO!H28&lt;KO!H29,1,IF(AND(KO!H28=KO!H29,KO!H28&lt;&gt;"",KO!H29&lt;&gt;""),"X",0))),"|",KO!H29,"-",KO!H28)</f>
        <v>0|-</v>
      </c>
      <c r="D20" s="536"/>
    </row>
    <row r="21" spans="1:4" ht="15" customHeight="1">
      <c r="A21" s="274" t="s">
        <v>898</v>
      </c>
      <c r="B21" s="275" t="str">
        <f>CONCATENATE(KO!F33,"-",KO!F32)</f>
        <v>16/15-18/17</v>
      </c>
      <c r="C21" s="266" t="str">
        <f>CONCATENATE(IF(KO!H32&gt;KO!H33,2,IF(KO!H32&lt;KO!H33,1,IF(AND(KO!H32=KO!H33,KO!H32&lt;&gt;"",KO!H33&lt;&gt;""),"X",0))),"|",KO!H33,"-",KO!H32)</f>
        <v>0|-</v>
      </c>
      <c r="D21" s="536"/>
    </row>
    <row r="22" spans="1:4">
      <c r="D22" s="536"/>
    </row>
    <row r="23" spans="1:4" ht="19">
      <c r="A23" s="315"/>
      <c r="B23" s="316" t="str">
        <f>+Idiomas!D111</f>
        <v>CLASIFICADOS PARA OCTAVOS</v>
      </c>
      <c r="C23" s="315"/>
      <c r="D23" s="536"/>
    </row>
    <row r="24" spans="1:4" ht="15" customHeight="1">
      <c r="A24" s="265" t="s">
        <v>931</v>
      </c>
      <c r="B24" s="266" t="s">
        <v>628</v>
      </c>
      <c r="C24" s="266" t="str">
        <f>+KO!N5</f>
        <v>11/12/21/22</v>
      </c>
      <c r="D24" s="536"/>
    </row>
    <row r="25" spans="1:4" ht="15" customHeight="1">
      <c r="A25" s="265" t="s">
        <v>932</v>
      </c>
      <c r="B25" s="266" t="s">
        <v>628</v>
      </c>
      <c r="C25" s="266" t="str">
        <f>+KO!N9</f>
        <v>13/14/19/20</v>
      </c>
      <c r="D25" s="536"/>
    </row>
    <row r="26" spans="1:4" ht="15" customHeight="1">
      <c r="A26" s="267" t="s">
        <v>933</v>
      </c>
      <c r="B26" s="268" t="s">
        <v>628</v>
      </c>
      <c r="C26" s="266" t="str">
        <f>+KO!N13</f>
        <v>9/10/23/24</v>
      </c>
      <c r="D26" s="536"/>
    </row>
    <row r="27" spans="1:4" ht="15" customHeight="1">
      <c r="A27" s="265" t="s">
        <v>934</v>
      </c>
      <c r="B27" s="266" t="s">
        <v>628</v>
      </c>
      <c r="C27" s="266" t="str">
        <f>+KO!N17</f>
        <v>15/16/17/18</v>
      </c>
      <c r="D27" s="536"/>
    </row>
    <row r="28" spans="1:4" ht="15" customHeight="1">
      <c r="A28" s="267" t="s">
        <v>935</v>
      </c>
      <c r="B28" s="268" t="s">
        <v>628</v>
      </c>
      <c r="C28" s="266" t="str">
        <f>+KO!N21</f>
        <v>12/11/22/21</v>
      </c>
      <c r="D28" s="536"/>
    </row>
    <row r="29" spans="1:4" ht="15" customHeight="1">
      <c r="A29" s="265" t="s">
        <v>936</v>
      </c>
      <c r="B29" s="266" t="s">
        <v>628</v>
      </c>
      <c r="C29" s="266" t="str">
        <f>+KO!N25</f>
        <v>14/13/20/19</v>
      </c>
      <c r="D29" s="536"/>
    </row>
    <row r="30" spans="1:4" ht="15" customHeight="1">
      <c r="A30" s="267" t="s">
        <v>937</v>
      </c>
      <c r="B30" s="268" t="s">
        <v>628</v>
      </c>
      <c r="C30" s="266" t="str">
        <f>+KO!N29</f>
        <v>10/9/24/23</v>
      </c>
      <c r="D30" s="536"/>
    </row>
    <row r="31" spans="1:4" ht="15" customHeight="1">
      <c r="A31" s="265" t="s">
        <v>938</v>
      </c>
      <c r="B31" s="266" t="s">
        <v>628</v>
      </c>
      <c r="C31" s="266" t="str">
        <f>+KO!N33</f>
        <v>16/15/18/17</v>
      </c>
      <c r="D31" s="536"/>
    </row>
    <row r="33" spans="1:8" ht="20" thickBot="1">
      <c r="B33" s="74" t="str">
        <f>+Idiomas!D113</f>
        <v>OCTAVOS DE FINAL</v>
      </c>
    </row>
    <row r="34" spans="1:8" ht="15" customHeight="1">
      <c r="A34" s="260" t="s">
        <v>880</v>
      </c>
      <c r="B34" s="261" t="str">
        <f>CONCATENATE(KO!N5,"-",KO!N6)</f>
        <v>11/12/21/22-5/6</v>
      </c>
      <c r="C34" s="261" t="str">
        <f>CONCATENATE(IF(KO!O5&gt;KO!O6,1,IF(KO!O5&lt;KO!O6,2,IF(AND(KO!O5=KO!O6,KO!O5&lt;&gt;"",KO!O6&lt;&gt;""),"X",0))),"|",KO!O5,"-",KO!O6)</f>
        <v>0|-</v>
      </c>
      <c r="D34" s="536" t="s">
        <v>804</v>
      </c>
      <c r="E34" s="537" t="str">
        <f>+Idiomas!D96</f>
        <v>·Para los octavos selecciona de la C34 a la C59 y pega valores en la plantilla de administrador.</v>
      </c>
      <c r="F34" s="537"/>
      <c r="G34" s="537"/>
      <c r="H34" s="537"/>
    </row>
    <row r="35" spans="1:8" ht="15" customHeight="1">
      <c r="A35" s="265" t="s">
        <v>881</v>
      </c>
      <c r="B35" s="266" t="str">
        <f>CONCATENATE(KO!N9,"-",KO!N10)</f>
        <v>13/14/19/20-3/4</v>
      </c>
      <c r="C35" s="266" t="str">
        <f>CONCATENATE(IF(KO!O9&gt;KO!O10,1,IF(KO!O9&lt;KO!O10,2,IF(AND(KO!O9=KO!O10,KO!O9&lt;&gt;"",KO!O10&lt;&gt;""),"X",0))),"|",KO!O9,"-",KO!O10)</f>
        <v>0|-</v>
      </c>
      <c r="D35" s="536"/>
      <c r="E35" s="537"/>
      <c r="F35" s="537"/>
      <c r="G35" s="537"/>
      <c r="H35" s="537"/>
    </row>
    <row r="36" spans="1:8" ht="15" customHeight="1">
      <c r="A36" s="267" t="s">
        <v>882</v>
      </c>
      <c r="B36" s="268" t="str">
        <f>CONCATENATE(KO!N13,"-",KO!N14)</f>
        <v>9/10/23/24-7/8</v>
      </c>
      <c r="C36" s="266" t="str">
        <f>CONCATENATE(IF(KO!O13&gt;KO!O14,1,IF(KO!O13&lt;KO!O14,2,IF(AND(KO!O13=KO!O14,KO!O13&lt;&gt;"",KO!O14&lt;&gt;""),"X",0))),"|",KO!O13,"-",KO!O14)</f>
        <v>0|-</v>
      </c>
      <c r="D36" s="536"/>
      <c r="E36" s="537"/>
      <c r="F36" s="537"/>
      <c r="G36" s="537"/>
      <c r="H36" s="537"/>
    </row>
    <row r="37" spans="1:8" ht="15" customHeight="1">
      <c r="A37" s="265" t="s">
        <v>883</v>
      </c>
      <c r="B37" s="266" t="str">
        <f>CONCATENATE(KO!N17,"-",KO!N18)</f>
        <v>15/16/17/18-1/2</v>
      </c>
      <c r="C37" s="266" t="str">
        <f>CONCATENATE(IF(KO!O17&gt;KO!O18,1,IF(KO!O17&lt;KO!O18,2,IF(AND(KO!O17=KO!O18,KO!O17&lt;&gt;"",KO!O18&lt;&gt;""),"X",0))),"|",KO!O17,"-",KO!O18)</f>
        <v>0|-</v>
      </c>
      <c r="D37" s="536"/>
      <c r="E37" s="537"/>
      <c r="F37" s="537"/>
      <c r="G37" s="537"/>
      <c r="H37" s="537"/>
    </row>
    <row r="38" spans="1:8" ht="15" customHeight="1">
      <c r="A38" s="267" t="s">
        <v>884</v>
      </c>
      <c r="B38" s="268" t="str">
        <f>CONCATENATE(KO!N21,"-",KO!N22)</f>
        <v>12/11/22/21-6/5</v>
      </c>
      <c r="C38" s="266" t="str">
        <f>CONCATENATE(IF(KO!O21&gt;KO!O22,1,IF(KO!O21&lt;KO!O22,2,IF(AND(KO!O21=KO!O22,KO!O21&lt;&gt;"",KO!O22&lt;&gt;""),"X",0))),"|",KO!O21,"-",KO!O22)</f>
        <v>0|-</v>
      </c>
      <c r="D38" s="536"/>
    </row>
    <row r="39" spans="1:8" ht="15" customHeight="1">
      <c r="A39" s="265" t="s">
        <v>885</v>
      </c>
      <c r="B39" s="266" t="str">
        <f>CONCATENATE(KO!N25,"-",KO!N26)</f>
        <v>14/13/20/19-4/3</v>
      </c>
      <c r="C39" s="266" t="str">
        <f>CONCATENATE(IF(KO!O25&gt;KO!O26,1,IF(KO!O25&lt;KO!O26,2,IF(AND(KO!O25=KO!O26,KO!O25&lt;&gt;"",KO!O26&lt;&gt;""),"X",0))),"|",KO!O25,"-",KO!O26)</f>
        <v>0|-</v>
      </c>
      <c r="D39" s="536"/>
    </row>
    <row r="40" spans="1:8" ht="15" customHeight="1">
      <c r="A40" s="267" t="s">
        <v>886</v>
      </c>
      <c r="B40" s="268" t="str">
        <f>CONCATENATE(KO!N29,"-",KO!N30)</f>
        <v>10/9/24/23-8/7</v>
      </c>
      <c r="C40" s="266" t="str">
        <f>CONCATENATE(IF(KO!O29&gt;KO!O30,1,IF(KO!O29&lt;KO!O30,2,IF(AND(KO!O29=KO!O30,KO!O29&lt;&gt;"",KO!O30&lt;&gt;""),"X",0))),"|",KO!O29,"-",KO!O30)</f>
        <v>0|-</v>
      </c>
      <c r="D40" s="536"/>
    </row>
    <row r="41" spans="1:8" ht="15" customHeight="1">
      <c r="A41" s="265" t="s">
        <v>887</v>
      </c>
      <c r="B41" s="266" t="str">
        <f>CONCATENATE(KO!N33,"-",KO!N34)</f>
        <v>16/15/18/17-2/1</v>
      </c>
      <c r="C41" s="266" t="str">
        <f>CONCATENATE(IF(KO!O33&gt;KO!O34,1,IF(KO!O33&lt;KO!O34,2,IF(AND(KO!O33=KO!O34,KO!O33&lt;&gt;"",KO!O34&lt;&gt;""),"X",0))),"|",KO!O33,"-",KO!O34)</f>
        <v>0|-</v>
      </c>
      <c r="D41" s="536"/>
    </row>
    <row r="42" spans="1:8" ht="15" customHeight="1">
      <c r="A42" s="271" t="s">
        <v>899</v>
      </c>
      <c r="B42" s="272" t="str">
        <f>CONCATENATE(KO!N6,"-",KO!N5)</f>
        <v>5/6-11/12/21/22</v>
      </c>
      <c r="C42" s="266" t="str">
        <f>CONCATENATE(IF(KO!P5&gt;KO!P6,2,IF(KO!P5&lt;KO!P6,1,IF(AND(KO!P5=KO!P6,KO!P5&lt;&gt;"",KO!P6&lt;&gt;""),"X",0))),"|",KO!P6,"-",KO!P5)</f>
        <v>0|-</v>
      </c>
      <c r="D42" s="536"/>
    </row>
    <row r="43" spans="1:8" ht="15" customHeight="1">
      <c r="A43" s="274" t="s">
        <v>900</v>
      </c>
      <c r="B43" s="275" t="str">
        <f>CONCATENATE(KO!N10,"-",KO!N9)</f>
        <v>3/4-13/14/19/20</v>
      </c>
      <c r="C43" s="266" t="str">
        <f>CONCATENATE(IF(KO!P9&gt;KO!P10,2,IF(KO!P9&lt;KO!P10,1,IF(AND(KO!P9=KO!P10,KO!P9&lt;&gt;"",KO!P10&lt;&gt;""),"X",0))),"|",KO!P10,"-",KO!P9)</f>
        <v>0|-</v>
      </c>
      <c r="D43" s="536"/>
    </row>
    <row r="44" spans="1:8" ht="15" customHeight="1">
      <c r="A44" s="274" t="s">
        <v>901</v>
      </c>
      <c r="B44" s="275" t="str">
        <f>CONCATENATE(KO!N14,"-",KO!N13)</f>
        <v>7/8-9/10/23/24</v>
      </c>
      <c r="C44" s="266" t="str">
        <f>CONCATENATE(IF(KO!P13&gt;KO!P14,2,IF(KO!P13&lt;KO!P14,1,IF(AND(KO!P13=KO!P14,KO!P13&lt;&gt;"",KO!P14&lt;&gt;""),"X",0))),"|",KO!P14,"-",KO!P13)</f>
        <v>0|-</v>
      </c>
      <c r="D44" s="536"/>
    </row>
    <row r="45" spans="1:8" ht="15" customHeight="1">
      <c r="A45" s="274" t="s">
        <v>902</v>
      </c>
      <c r="B45" s="275" t="str">
        <f>CONCATENATE(KO!N18,"-",KO!N17)</f>
        <v>1/2-15/16/17/18</v>
      </c>
      <c r="C45" s="266" t="str">
        <f>CONCATENATE(IF(KO!P17&gt;KO!P18,2,IF(KO!P17&lt;KO!P18,1,IF(AND(KO!P17=KO!P18,KO!P17&lt;&gt;"",KO!P18&lt;&gt;""),"X",0))),"|",KO!P18,"-",KO!P17)</f>
        <v>0|-</v>
      </c>
      <c r="D45" s="536"/>
    </row>
    <row r="46" spans="1:8" ht="15" customHeight="1">
      <c r="A46" s="274" t="s">
        <v>903</v>
      </c>
      <c r="B46" s="275" t="str">
        <f>CONCATENATE(KO!N22,"-",KO!N21)</f>
        <v>6/5-12/11/22/21</v>
      </c>
      <c r="C46" s="266" t="str">
        <f>CONCATENATE(IF(KO!P21&gt;KO!P22,2,IF(KO!P21&lt;KO!P22,1,IF(AND(KO!P21=KO!P22,KO!P21&lt;&gt;"",KO!P22&lt;&gt;""),"X",0))),"|",KO!P22,"-",KO!P21)</f>
        <v>0|-</v>
      </c>
      <c r="D46" s="536"/>
    </row>
    <row r="47" spans="1:8" ht="15" customHeight="1">
      <c r="A47" s="274" t="s">
        <v>904</v>
      </c>
      <c r="B47" s="275" t="str">
        <f>CONCATENATE(KO!N26,"-",KO!N25)</f>
        <v>4/3-14/13/20/19</v>
      </c>
      <c r="C47" s="266" t="str">
        <f>CONCATENATE(IF(KO!P25&gt;KO!P26,2,IF(KO!P25&lt;KO!P26,1,IF(AND(KO!P25=KO!P26,KO!P25&lt;&gt;"",KO!P26&lt;&gt;""),"X",0))),"|",KO!P26,"-",KO!P25)</f>
        <v>0|-</v>
      </c>
      <c r="D47" s="536"/>
    </row>
    <row r="48" spans="1:8" ht="15" customHeight="1">
      <c r="A48" s="274" t="s">
        <v>905</v>
      </c>
      <c r="B48" s="275" t="str">
        <f>CONCATENATE(KO!N30,"-",KO!N29)</f>
        <v>8/7-10/9/24/23</v>
      </c>
      <c r="C48" s="266" t="str">
        <f>CONCATENATE(IF(KO!P29&gt;KO!P30,2,IF(KO!P29&lt;KO!P30,1,IF(AND(KO!P29=KO!P30,KO!P29&lt;&gt;"",KO!P30&lt;&gt;""),"X",0))),"|",KO!P30,"-",KO!P29)</f>
        <v>0|-</v>
      </c>
      <c r="D48" s="536"/>
    </row>
    <row r="49" spans="1:8" ht="15" customHeight="1">
      <c r="A49" s="274" t="s">
        <v>906</v>
      </c>
      <c r="B49" s="275" t="str">
        <f>CONCATENATE(KO!N34,"-",KO!N33)</f>
        <v>2/1-16/15/18/17</v>
      </c>
      <c r="C49" s="266" t="str">
        <f>CONCATENATE(IF(KO!P33&gt;KO!P34,2,IF(KO!P33&lt;KO!P34,1,IF(AND(KO!P33=KO!P34,KO!P33&lt;&gt;"",KO!P34&lt;&gt;""),"X",0))),"|",KO!P34,"-",KO!P33)</f>
        <v>0|-</v>
      </c>
      <c r="D49" s="536"/>
    </row>
    <row r="50" spans="1:8">
      <c r="D50" s="536"/>
    </row>
    <row r="51" spans="1:8" ht="19">
      <c r="A51" s="315"/>
      <c r="B51" s="316" t="str">
        <f>+Idiomas!D114</f>
        <v>CLASIFICADOS PARA CUARTOS DE FINAL</v>
      </c>
      <c r="C51" s="315"/>
      <c r="D51" s="536"/>
    </row>
    <row r="52" spans="1:8" ht="15" customHeight="1">
      <c r="A52" s="265" t="s">
        <v>939</v>
      </c>
      <c r="B52" s="266" t="s">
        <v>631</v>
      </c>
      <c r="C52" s="266" t="str">
        <f>+KO!V7</f>
        <v>WR16-1</v>
      </c>
      <c r="D52" s="536"/>
    </row>
    <row r="53" spans="1:8" ht="15" customHeight="1">
      <c r="A53" s="265" t="s">
        <v>940</v>
      </c>
      <c r="B53" s="266" t="s">
        <v>631</v>
      </c>
      <c r="C53" s="266" t="str">
        <f>+KO!V8</f>
        <v>WR16-2</v>
      </c>
      <c r="D53" s="536"/>
    </row>
    <row r="54" spans="1:8" ht="15" customHeight="1">
      <c r="A54" s="267" t="s">
        <v>941</v>
      </c>
      <c r="B54" s="268" t="s">
        <v>631</v>
      </c>
      <c r="C54" s="266" t="str">
        <f>+KO!V15</f>
        <v>WR16-3</v>
      </c>
      <c r="D54" s="536"/>
    </row>
    <row r="55" spans="1:8" ht="15" customHeight="1">
      <c r="A55" s="265" t="s">
        <v>942</v>
      </c>
      <c r="B55" s="266" t="s">
        <v>631</v>
      </c>
      <c r="C55" s="266" t="str">
        <f>+KO!V16</f>
        <v>WR16-4</v>
      </c>
      <c r="D55" s="536"/>
    </row>
    <row r="56" spans="1:8" ht="15" customHeight="1">
      <c r="A56" s="267" t="s">
        <v>943</v>
      </c>
      <c r="B56" s="268" t="s">
        <v>631</v>
      </c>
      <c r="C56" s="266" t="str">
        <f>+KO!V23</f>
        <v>WR16-5</v>
      </c>
      <c r="D56" s="536"/>
    </row>
    <row r="57" spans="1:8" ht="15" customHeight="1">
      <c r="A57" s="265" t="s">
        <v>944</v>
      </c>
      <c r="B57" s="266" t="s">
        <v>631</v>
      </c>
      <c r="C57" s="266" t="str">
        <f>+KO!V24</f>
        <v>WR16-6</v>
      </c>
      <c r="D57" s="536"/>
    </row>
    <row r="58" spans="1:8" ht="15" customHeight="1">
      <c r="A58" s="267" t="s">
        <v>945</v>
      </c>
      <c r="B58" s="268" t="s">
        <v>631</v>
      </c>
      <c r="C58" s="266" t="str">
        <f>+KO!V31</f>
        <v>WR16-7</v>
      </c>
      <c r="D58" s="536"/>
    </row>
    <row r="59" spans="1:8" ht="15" customHeight="1">
      <c r="A59" s="265" t="s">
        <v>946</v>
      </c>
      <c r="B59" s="266" t="s">
        <v>631</v>
      </c>
      <c r="C59" s="266" t="str">
        <f>+KO!V32</f>
        <v>WR16-8</v>
      </c>
      <c r="D59" s="536"/>
    </row>
    <row r="61" spans="1:8" ht="20" thickBot="1">
      <c r="B61" s="74" t="str">
        <f>+Idiomas!D116</f>
        <v>CUARTOS DE FINAL</v>
      </c>
    </row>
    <row r="62" spans="1:8" ht="15" customHeight="1">
      <c r="A62" s="260" t="s">
        <v>888</v>
      </c>
      <c r="B62" s="261" t="str">
        <f>CONCATENATE(KO!V7,"-",KO!V8)</f>
        <v>WR16-1-WR16-2</v>
      </c>
      <c r="C62" s="261" t="str">
        <f>CONCATENATE(IF(KO!W7&gt;KO!W8,1,IF(KO!W7&lt;KO!W8,2,IF(AND(KO!W7=KO!W8,KO!W7&lt;&gt;"",KO!W8&lt;&gt;""),"X",0))),"|",KO!W7,"-",KO!W8)</f>
        <v>0|-</v>
      </c>
      <c r="D62" s="536" t="s">
        <v>805</v>
      </c>
      <c r="E62" s="537" t="str">
        <f>+Idiomas!D97</f>
        <v>·Para los cuartos selecciona de la C62 a la C75 y pega valores en la plantilla de administrador.</v>
      </c>
      <c r="F62" s="537"/>
      <c r="G62" s="537"/>
      <c r="H62" s="537"/>
    </row>
    <row r="63" spans="1:8" ht="15" customHeight="1">
      <c r="A63" s="265" t="s">
        <v>889</v>
      </c>
      <c r="B63" s="266" t="str">
        <f>CONCATENATE(KO!V15,"-",KO!V16)</f>
        <v>WR16-3-WR16-4</v>
      </c>
      <c r="C63" s="266" t="str">
        <f>CONCATENATE(IF(KO!W15&gt;KO!W16,1,IF(KO!W15&lt;KO!W16,2,IF(AND(KO!W15=KO!W16,KO!W15&lt;&gt;"",KO!W16&lt;&gt;""),"X",0))),"|",KO!W15,"-",KO!W16)</f>
        <v>0|-</v>
      </c>
      <c r="D63" s="536"/>
      <c r="E63" s="537"/>
      <c r="F63" s="537"/>
      <c r="G63" s="537"/>
      <c r="H63" s="537"/>
    </row>
    <row r="64" spans="1:8" ht="15" customHeight="1">
      <c r="A64" s="267" t="s">
        <v>890</v>
      </c>
      <c r="B64" s="268" t="str">
        <f>CONCATENATE(KO!V23,"-",KO!V24)</f>
        <v>WR16-5-WR16-6</v>
      </c>
      <c r="C64" s="266" t="str">
        <f>CONCATENATE(IF(KO!W23&gt;KO!W24,1,IF(KO!W23&lt;KO!W24,2,IF(AND(KO!W23=KO!W24,KO!W23&lt;&gt;"",KO!W24&lt;&gt;""),"X",0))),"|",KO!W23,"-",KO!W24)</f>
        <v>0|-</v>
      </c>
      <c r="D64" s="536"/>
      <c r="E64" s="537"/>
      <c r="F64" s="537"/>
      <c r="G64" s="537"/>
      <c r="H64" s="537"/>
    </row>
    <row r="65" spans="1:8" ht="15" customHeight="1">
      <c r="A65" s="265" t="s">
        <v>891</v>
      </c>
      <c r="B65" s="266" t="str">
        <f>CONCATENATE(KO!V31,"-",KO!V32)</f>
        <v>WR16-7-WR16-8</v>
      </c>
      <c r="C65" s="266" t="str">
        <f>CONCATENATE(IF(KO!W31&gt;KO!W32,1,IF(KO!W31&lt;KO!W32,2,IF(AND(KO!W31=KO!W32,KO!W31&lt;&gt;"",KO!W32&lt;&gt;""),"X",0))),"|",KO!W31,"-",KO!W32)</f>
        <v>0|-</v>
      </c>
      <c r="D65" s="536"/>
      <c r="E65" s="537"/>
      <c r="F65" s="537"/>
      <c r="G65" s="537"/>
      <c r="H65" s="537"/>
    </row>
    <row r="66" spans="1:8" ht="15" customHeight="1">
      <c r="A66" s="274" t="s">
        <v>907</v>
      </c>
      <c r="B66" s="275" t="str">
        <f>CONCATENATE(KO!V8,"-",KO!V7)</f>
        <v>WR16-2-WR16-1</v>
      </c>
      <c r="C66" s="266" t="str">
        <f>CONCATENATE(IF(KO!X7&gt;KO!X8,2,IF(KO!X7&lt;KO!X8,1,IF(AND(KO!X7=KO!X8,KO!X7&lt;&gt;"",KO!X8&lt;&gt;""),"X",0))),"|",KO!X8,"-",KO!X7)</f>
        <v>0|-</v>
      </c>
      <c r="D66" s="536"/>
    </row>
    <row r="67" spans="1:8" ht="15" customHeight="1">
      <c r="A67" s="274" t="s">
        <v>908</v>
      </c>
      <c r="B67" s="275" t="str">
        <f>CONCATENATE(KO!V16,"-",KO!V15)</f>
        <v>WR16-4-WR16-3</v>
      </c>
      <c r="C67" s="266" t="str">
        <f>CONCATENATE(IF(KO!X15&gt;KO!X16,2,IF(KO!X15&lt;KO!X16,1,IF(AND(KO!X15=KO!X16,KO!X15&lt;&gt;"",KO!X16&lt;&gt;""),"X",0))),"|",KO!X16,"-",KO!X15)</f>
        <v>0|-</v>
      </c>
      <c r="D67" s="536"/>
    </row>
    <row r="68" spans="1:8" ht="15" customHeight="1">
      <c r="A68" s="274" t="s">
        <v>909</v>
      </c>
      <c r="B68" s="275" t="str">
        <f>CONCATENATE(KO!V24,"-",KO!V23)</f>
        <v>WR16-6-WR16-5</v>
      </c>
      <c r="C68" s="266" t="str">
        <f>CONCATENATE(IF(KO!X23&gt;KO!X24,2,IF(KO!X23&lt;KO!X24,1,IF(AND(KO!X23=KO!X24,KO!X23&lt;&gt;"",KO!X24&lt;&gt;""),"X",0))),"|",KO!X24,"-",KO!X23)</f>
        <v>0|-</v>
      </c>
      <c r="D68" s="536"/>
    </row>
    <row r="69" spans="1:8" ht="15" customHeight="1">
      <c r="A69" s="274" t="s">
        <v>910</v>
      </c>
      <c r="B69" s="275" t="str">
        <f>CONCATENATE(KO!V32,"-",KO!V31)</f>
        <v>WR16-8-WR16-7</v>
      </c>
      <c r="C69" s="266" t="str">
        <f>CONCATENATE(IF(KO!X31&gt;KO!X32,2,IF(KO!X31&lt;KO!X32,1,IF(AND(KO!X31=KO!X32,KO!X31&lt;&gt;"",KO!X32&lt;&gt;""),"X",0))),"|",KO!X32,"-",KO!X31)</f>
        <v>0|-</v>
      </c>
      <c r="D69" s="536"/>
    </row>
    <row r="70" spans="1:8">
      <c r="D70" s="536"/>
    </row>
    <row r="71" spans="1:8" ht="19">
      <c r="A71" s="315"/>
      <c r="B71" s="316" t="str">
        <f>+Idiomas!D117</f>
        <v>CLASIFICADOS PARA SEMIFINALES</v>
      </c>
      <c r="C71" s="315"/>
      <c r="D71" s="536"/>
    </row>
    <row r="72" spans="1:8" ht="15" customHeight="1">
      <c r="A72" s="291" t="s">
        <v>947</v>
      </c>
      <c r="B72" s="266" t="s">
        <v>634</v>
      </c>
      <c r="C72" s="266" t="str">
        <f>+KO!AD11</f>
        <v>WQF-1</v>
      </c>
      <c r="D72" s="536"/>
    </row>
    <row r="73" spans="1:8" ht="15" customHeight="1">
      <c r="A73" s="291" t="s">
        <v>948</v>
      </c>
      <c r="B73" s="266" t="s">
        <v>634</v>
      </c>
      <c r="C73" s="266" t="str">
        <f>+KO!AD12</f>
        <v>WQF-2</v>
      </c>
      <c r="D73" s="536"/>
    </row>
    <row r="74" spans="1:8" ht="15" customHeight="1">
      <c r="A74" s="291" t="s">
        <v>949</v>
      </c>
      <c r="B74" s="268" t="s">
        <v>634</v>
      </c>
      <c r="C74" s="266" t="str">
        <f>+KO!AD27</f>
        <v>WQF-3</v>
      </c>
      <c r="D74" s="536"/>
    </row>
    <row r="75" spans="1:8" ht="15" customHeight="1">
      <c r="A75" s="291" t="s">
        <v>950</v>
      </c>
      <c r="B75" s="266" t="s">
        <v>634</v>
      </c>
      <c r="C75" s="266" t="str">
        <f>+KO!AD28</f>
        <v>WQF-4</v>
      </c>
      <c r="D75" s="536"/>
    </row>
    <row r="77" spans="1:8" ht="20" thickBot="1">
      <c r="B77" s="74" t="str">
        <f>+Idiomas!D118</f>
        <v>SEMIFINALES</v>
      </c>
    </row>
    <row r="78" spans="1:8" ht="15" customHeight="1">
      <c r="A78" s="260" t="s">
        <v>892</v>
      </c>
      <c r="B78" s="261" t="str">
        <f>CONCATENATE(KO!AD11,"-",KO!AD12)</f>
        <v>WQF-1-WQF-2</v>
      </c>
      <c r="C78" s="261" t="str">
        <f>CONCATENATE(IF(KO!AE11&gt;KO!AE12,1,IF(KO!AE11&lt;KO!AE12,2,IF(AND(KO!AE11=KO!AE12,KO!AE11&lt;&gt;"",KO!AE12&lt;&gt;""),"X",0))),"|",KO!AE11,"-",KO!AE12)</f>
        <v>0|-</v>
      </c>
      <c r="D78" s="536" t="s">
        <v>764</v>
      </c>
      <c r="E78" s="537" t="str">
        <f>+Idiomas!D98</f>
        <v>·Para las semifinales selecciona de la C78 a la C85 y pega valores en la plantilla de administrador.</v>
      </c>
      <c r="F78" s="537"/>
      <c r="G78" s="537"/>
      <c r="H78" s="537"/>
    </row>
    <row r="79" spans="1:8" ht="15" customHeight="1">
      <c r="A79" s="265" t="s">
        <v>893</v>
      </c>
      <c r="B79" s="266" t="str">
        <f>CONCATENATE(KO!AD27,"-",KO!AD28)</f>
        <v>WQF-3-WQF-4</v>
      </c>
      <c r="C79" s="266" t="str">
        <f>CONCATENATE(IF(KO!AE27&gt;KO!AE28,1,IF(KO!AE27&lt;KO!AE28,2,IF(AND(KO!AE27=KO!AE28,KO!AE27&lt;&gt;"",KO!AE28&lt;&gt;""),"X",0))),"|",KO!AE27,"-",KO!AE28)</f>
        <v>0|-</v>
      </c>
      <c r="D79" s="536"/>
      <c r="E79" s="537"/>
      <c r="F79" s="537"/>
      <c r="G79" s="537"/>
      <c r="H79" s="537"/>
    </row>
    <row r="80" spans="1:8" ht="15" customHeight="1">
      <c r="A80" s="274" t="s">
        <v>911</v>
      </c>
      <c r="B80" s="275" t="str">
        <f>CONCATENATE(KO!AD12,"-",KO!AD11)</f>
        <v>WQF-2-WQF-1</v>
      </c>
      <c r="C80" s="266" t="str">
        <f>CONCATENATE(IF(KO!AF11&gt;KO!AF12,2,IF(KO!AF11&lt;KO!AF12,1,IF(AND(KO!AF11=KO!AF12,KO!AF11&lt;&gt;"",KO!AF12&lt;&gt;""),"X",0))),"|",KO!AF12,"-",KO!AF11)</f>
        <v>0|-</v>
      </c>
      <c r="D80" s="536"/>
      <c r="E80" s="537"/>
      <c r="F80" s="537"/>
      <c r="G80" s="537"/>
      <c r="H80" s="537"/>
    </row>
    <row r="81" spans="1:8" ht="15" customHeight="1">
      <c r="A81" s="274" t="s">
        <v>912</v>
      </c>
      <c r="B81" s="275" t="str">
        <f>CONCATENATE(KO!AD28,"-",KO!AD27)</f>
        <v>WQF-4-WQF-3</v>
      </c>
      <c r="C81" s="266" t="str">
        <f>CONCATENATE(IF(KO!AF27&gt;KO!AF28,2,IF(KO!AF27&lt;KO!AF28,1,IF(AND(KO!AF27=KO!AF28,KO!AF27&lt;&gt;"",KO!AF28&lt;&gt;""),"X",0))),"|",KO!AF28,"-",KO!AF27)</f>
        <v>0|-</v>
      </c>
      <c r="D81" s="536"/>
      <c r="E81" s="537"/>
      <c r="F81" s="537"/>
      <c r="G81" s="537"/>
      <c r="H81" s="537"/>
    </row>
    <row r="82" spans="1:8">
      <c r="D82" s="536"/>
    </row>
    <row r="83" spans="1:8" ht="19">
      <c r="A83" s="315"/>
      <c r="B83" s="316" t="str">
        <f>+Idiomas!D119</f>
        <v>CLASIFICADOS PARA LA FINAL</v>
      </c>
      <c r="C83" s="315"/>
      <c r="D83" s="536"/>
    </row>
    <row r="84" spans="1:8" ht="15" customHeight="1">
      <c r="A84" s="291" t="s">
        <v>951</v>
      </c>
      <c r="B84" s="266" t="s">
        <v>637</v>
      </c>
      <c r="C84" s="266" t="str">
        <f>+KO!AL19</f>
        <v>WSF-1</v>
      </c>
      <c r="D84" s="536"/>
    </row>
    <row r="85" spans="1:8" ht="15" customHeight="1">
      <c r="A85" s="291" t="s">
        <v>952</v>
      </c>
      <c r="B85" s="266" t="s">
        <v>637</v>
      </c>
      <c r="C85" s="266" t="str">
        <f>+KO!AL20</f>
        <v>WSF-2</v>
      </c>
      <c r="D85" s="536"/>
    </row>
    <row r="87" spans="1:8" ht="20" thickBot="1">
      <c r="B87" s="74" t="s">
        <v>53</v>
      </c>
    </row>
    <row r="88" spans="1:8" ht="31" customHeight="1">
      <c r="A88" s="195" t="s">
        <v>54</v>
      </c>
      <c r="B88" s="261" t="str">
        <f>CONCATENATE(KO!AL19,"-",KO!AL20)</f>
        <v>WSF-1-WSF-2</v>
      </c>
      <c r="C88" s="261" t="str">
        <f>CONCATENATE(IF(KO!AM19&gt;KO!AM20,1,IF(KO!AM19&lt;KO!AM20,2,IF(AND(KO!AM19=KO!AM20,KO!AM19&lt;&gt;"",KO!AM20&lt;&gt;""),"X",0))),"|",KO!AM19,"-",KO!AM20)</f>
        <v>0|-</v>
      </c>
      <c r="D88" s="538" t="s">
        <v>54</v>
      </c>
      <c r="E88" s="539" t="str">
        <f>+Idiomas!D99</f>
        <v>·Para la final selecciona de la C88 a la C91 y pega valores en la plantilla de administrador.</v>
      </c>
      <c r="F88" s="539"/>
      <c r="G88" s="539"/>
      <c r="H88" s="539"/>
    </row>
    <row r="89" spans="1:8" ht="15" customHeight="1">
      <c r="D89" s="538"/>
    </row>
    <row r="90" spans="1:8" ht="15" customHeight="1">
      <c r="A90" s="315"/>
      <c r="B90" s="316" t="str">
        <f>+Idiomas!D356</f>
        <v>Campeón</v>
      </c>
      <c r="C90" s="315"/>
      <c r="D90" s="538"/>
    </row>
    <row r="91" spans="1:8" ht="19" customHeight="1">
      <c r="A91" s="317" t="s">
        <v>54</v>
      </c>
      <c r="B91" s="266" t="s">
        <v>55</v>
      </c>
      <c r="C91" s="266" t="str">
        <f>+KO!AP19</f>
        <v>WF</v>
      </c>
      <c r="D91" s="538"/>
    </row>
    <row r="92" spans="1:8" ht="15" customHeight="1"/>
    <row r="93" spans="1:8" ht="15" customHeight="1"/>
    <row r="94" spans="1:8" ht="15" customHeight="1"/>
    <row r="95" spans="1:8" ht="15" customHeight="1"/>
    <row r="96" spans="1:8" ht="15" customHeight="1"/>
    <row r="97" ht="15" customHeight="1"/>
    <row r="98" ht="15" customHeight="1"/>
    <row r="99" ht="15" customHeight="1"/>
    <row r="100" ht="15" customHeight="1"/>
  </sheetData>
  <sheetProtection algorithmName="SHA-512" hashValue="6BnOg6Y8zSSyI6R2FT+7eSm80a+ojPFc7Dp485lk2xkDP7kUeGbojwnfTR1fhstJp6mrwpsw0OrOuf7WnpHbOQ==" saltValue="ePFzmAHwMrTnoqC5gQJJXA==" spinCount="100000" sheet="1" scenarios="1"/>
  <mergeCells count="11">
    <mergeCell ref="D78:D85"/>
    <mergeCell ref="E78:H81"/>
    <mergeCell ref="D88:D91"/>
    <mergeCell ref="E88:H88"/>
    <mergeCell ref="B3:D3"/>
    <mergeCell ref="D6:D31"/>
    <mergeCell ref="E6:H9"/>
    <mergeCell ref="D34:D59"/>
    <mergeCell ref="E34:H37"/>
    <mergeCell ref="D62:D75"/>
    <mergeCell ref="E62:H6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C80F-3CED-6245-83E5-4B269E825937}">
  <sheetPr codeName="Hoja8"/>
  <dimension ref="B1:N29"/>
  <sheetViews>
    <sheetView showGridLines="0" showRowColHeaders="0" workbookViewId="0">
      <selection activeCell="G21" sqref="G21:G25"/>
    </sheetView>
  </sheetViews>
  <sheetFormatPr baseColWidth="10" defaultColWidth="10.83203125" defaultRowHeight="15"/>
  <cols>
    <col min="1" max="1" width="6" style="1" customWidth="1"/>
    <col min="2" max="2" width="9.6640625" style="1" customWidth="1"/>
    <col min="3" max="3" width="35.5" style="1" bestFit="1" customWidth="1"/>
    <col min="4" max="5" width="10.83203125" style="1" customWidth="1"/>
    <col min="6" max="6" width="10.83203125" style="1"/>
    <col min="7" max="7" width="39.6640625" style="1" customWidth="1"/>
    <col min="8" max="16384" width="10.83203125" style="1"/>
  </cols>
  <sheetData>
    <row r="1" spans="2:14">
      <c r="C1" s="2"/>
      <c r="D1" s="2"/>
      <c r="E1" s="2"/>
      <c r="F1" s="2"/>
      <c r="G1" s="2"/>
    </row>
    <row r="2" spans="2:14">
      <c r="B2" s="3" t="str">
        <f>+Idiomas!D73</f>
        <v>Limitación de responsabilidad:</v>
      </c>
      <c r="C2" s="4"/>
      <c r="D2" s="4"/>
      <c r="E2" s="4"/>
      <c r="F2" s="4"/>
      <c r="G2" s="4"/>
    </row>
    <row r="3" spans="2:14">
      <c r="B3" s="540" t="str">
        <f>+Idiomas!D70</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540"/>
      <c r="D3" s="540"/>
      <c r="E3" s="540"/>
      <c r="F3" s="540"/>
      <c r="G3" s="540"/>
      <c r="I3" s="540"/>
      <c r="J3" s="540"/>
      <c r="K3" s="540"/>
      <c r="L3" s="540"/>
      <c r="M3" s="540"/>
      <c r="N3" s="540"/>
    </row>
    <row r="4" spans="2:14">
      <c r="B4" s="540"/>
      <c r="C4" s="540"/>
      <c r="D4" s="540"/>
      <c r="E4" s="540"/>
      <c r="F4" s="540"/>
      <c r="G4" s="540"/>
      <c r="I4" s="540"/>
      <c r="J4" s="540"/>
      <c r="K4" s="540"/>
      <c r="L4" s="540"/>
      <c r="M4" s="540"/>
      <c r="N4" s="540"/>
    </row>
    <row r="5" spans="2:14">
      <c r="B5" s="540"/>
      <c r="C5" s="540"/>
      <c r="D5" s="540"/>
      <c r="E5" s="540"/>
      <c r="F5" s="540"/>
      <c r="G5" s="540"/>
      <c r="I5" s="540"/>
      <c r="J5" s="540"/>
      <c r="K5" s="540"/>
      <c r="L5" s="540"/>
      <c r="M5" s="540"/>
      <c r="N5" s="540"/>
    </row>
    <row r="6" spans="2:14">
      <c r="B6" s="540"/>
      <c r="C6" s="540"/>
      <c r="D6" s="540"/>
      <c r="E6" s="540"/>
      <c r="F6" s="540"/>
      <c r="G6" s="540"/>
      <c r="I6" s="540"/>
      <c r="J6" s="540"/>
      <c r="K6" s="540"/>
      <c r="L6" s="540"/>
      <c r="M6" s="540"/>
      <c r="N6" s="540"/>
    </row>
    <row r="7" spans="2:14">
      <c r="B7" s="540"/>
      <c r="C7" s="540"/>
      <c r="D7" s="540"/>
      <c r="E7" s="540"/>
      <c r="F7" s="540"/>
      <c r="G7" s="540"/>
      <c r="I7" s="540"/>
      <c r="J7" s="540"/>
      <c r="K7" s="540"/>
      <c r="L7" s="540"/>
      <c r="M7" s="540"/>
      <c r="N7" s="540"/>
    </row>
    <row r="8" spans="2:14">
      <c r="B8" s="540"/>
      <c r="C8" s="540"/>
      <c r="D8" s="540"/>
      <c r="E8" s="540"/>
      <c r="F8" s="540"/>
      <c r="G8" s="540"/>
      <c r="I8" s="540"/>
      <c r="J8" s="540"/>
      <c r="K8" s="540"/>
      <c r="L8" s="540"/>
      <c r="M8" s="540"/>
      <c r="N8" s="540"/>
    </row>
    <row r="9" spans="2:14">
      <c r="B9" s="540"/>
      <c r="C9" s="540"/>
      <c r="D9" s="540"/>
      <c r="E9" s="540"/>
      <c r="F9" s="540"/>
      <c r="G9" s="540"/>
      <c r="I9" s="540"/>
      <c r="J9" s="540"/>
      <c r="K9" s="540"/>
      <c r="L9" s="540"/>
      <c r="M9" s="540"/>
      <c r="N9" s="540"/>
    </row>
    <row r="10" spans="2:14">
      <c r="B10" s="540"/>
      <c r="C10" s="540"/>
      <c r="D10" s="540"/>
      <c r="E10" s="540"/>
      <c r="F10" s="540"/>
      <c r="G10" s="540"/>
      <c r="I10" s="540"/>
      <c r="J10" s="540"/>
      <c r="K10" s="540"/>
      <c r="L10" s="540"/>
      <c r="M10" s="540"/>
      <c r="N10" s="540"/>
    </row>
    <row r="11" spans="2:14">
      <c r="B11" s="540"/>
      <c r="C11" s="540"/>
      <c r="D11" s="540"/>
      <c r="E11" s="540"/>
      <c r="F11" s="540"/>
      <c r="G11" s="540"/>
      <c r="I11" s="540"/>
      <c r="J11" s="540"/>
      <c r="K11" s="540"/>
      <c r="L11" s="540"/>
      <c r="M11" s="540"/>
      <c r="N11" s="540"/>
    </row>
    <row r="12" spans="2:14">
      <c r="B12" s="540"/>
      <c r="C12" s="540"/>
      <c r="D12" s="540"/>
      <c r="E12" s="540"/>
      <c r="F12" s="540"/>
      <c r="G12" s="540"/>
      <c r="I12" s="540"/>
      <c r="J12" s="540"/>
      <c r="K12" s="540"/>
      <c r="L12" s="540"/>
      <c r="M12" s="540"/>
      <c r="N12" s="540"/>
    </row>
    <row r="13" spans="2:14">
      <c r="B13" s="5"/>
      <c r="C13" s="5"/>
      <c r="D13" s="5"/>
      <c r="E13" s="5"/>
      <c r="F13" s="5"/>
      <c r="G13" s="5"/>
    </row>
    <row r="14" spans="2:14">
      <c r="B14" s="141" t="str">
        <f>+Idiomas!D71</f>
        <v>Autor:</v>
      </c>
      <c r="C14" s="6" t="s">
        <v>17</v>
      </c>
      <c r="D14" s="7"/>
      <c r="E14" s="7"/>
      <c r="F14" s="5"/>
      <c r="G14" s="5"/>
    </row>
    <row r="15" spans="2:14" ht="16">
      <c r="B15" s="142" t="str">
        <f>+Idiomas!D72</f>
        <v>Útima versión</v>
      </c>
      <c r="C15" s="143">
        <v>46263</v>
      </c>
      <c r="D15" s="4"/>
      <c r="E15" s="4"/>
      <c r="F15" s="2"/>
      <c r="G15" s="9"/>
    </row>
    <row r="16" spans="2:14">
      <c r="B16" s="8"/>
    </row>
    <row r="17" spans="2:7">
      <c r="B17" s="396" t="s">
        <v>913</v>
      </c>
    </row>
    <row r="18" spans="2:7" ht="16">
      <c r="B18" s="8"/>
      <c r="C18" s="383"/>
      <c r="D18" s="385" t="s">
        <v>997</v>
      </c>
      <c r="E18" s="147">
        <v>2</v>
      </c>
    </row>
    <row r="19" spans="2:7">
      <c r="C19" s="387" t="s">
        <v>977</v>
      </c>
      <c r="D19" s="387" t="s">
        <v>106</v>
      </c>
      <c r="E19" s="387" t="s">
        <v>110</v>
      </c>
    </row>
    <row r="20" spans="2:7" ht="17" thickBot="1">
      <c r="C20" s="388" t="s">
        <v>1015</v>
      </c>
      <c r="D20" s="380">
        <v>2</v>
      </c>
      <c r="E20" s="380">
        <v>2</v>
      </c>
    </row>
    <row r="21" spans="2:7" ht="17" thickTop="1">
      <c r="C21" s="388" t="s">
        <v>1024</v>
      </c>
      <c r="D21" s="381">
        <v>2</v>
      </c>
      <c r="E21" s="380">
        <v>2</v>
      </c>
      <c r="G21" s="495" t="str">
        <f>HYPERLINK(Idiomas!D11,Idiomas!D7)</f>
        <v>Si quieres organizar una porra con tu grupo puedes descargar el archivo para administrarla desde aquí.</v>
      </c>
    </row>
    <row r="22" spans="2:7" ht="16">
      <c r="C22" s="388" t="s">
        <v>1016</v>
      </c>
      <c r="D22" s="394">
        <v>0</v>
      </c>
      <c r="E22" s="380">
        <v>2</v>
      </c>
      <c r="G22" s="496"/>
    </row>
    <row r="23" spans="2:7" ht="16">
      <c r="C23" s="388" t="s">
        <v>1101</v>
      </c>
      <c r="D23" s="394">
        <v>0</v>
      </c>
      <c r="E23" s="380">
        <v>2</v>
      </c>
      <c r="G23" s="496"/>
    </row>
    <row r="24" spans="2:7" ht="16">
      <c r="C24" s="392" t="s">
        <v>1017</v>
      </c>
      <c r="D24" s="380">
        <v>2</v>
      </c>
      <c r="E24" s="393">
        <v>0</v>
      </c>
      <c r="G24" s="496"/>
    </row>
    <row r="25" spans="2:7" ht="17" thickBot="1">
      <c r="C25" s="392" t="s">
        <v>1018</v>
      </c>
      <c r="D25" s="380">
        <v>2</v>
      </c>
      <c r="E25" s="393">
        <v>0</v>
      </c>
      <c r="G25" s="497"/>
    </row>
    <row r="26" spans="2:7" ht="17" thickTop="1">
      <c r="C26" s="392" t="s">
        <v>1019</v>
      </c>
      <c r="D26" s="380">
        <v>2</v>
      </c>
      <c r="E26" s="393">
        <v>0</v>
      </c>
    </row>
    <row r="27" spans="2:7" ht="16">
      <c r="C27" s="392" t="s">
        <v>1020</v>
      </c>
      <c r="D27" s="380">
        <v>2</v>
      </c>
      <c r="E27" s="393">
        <v>0</v>
      </c>
    </row>
    <row r="28" spans="2:7" ht="16">
      <c r="C28" s="388" t="s">
        <v>1021</v>
      </c>
      <c r="D28" s="395">
        <v>2</v>
      </c>
      <c r="E28" s="380">
        <v>0</v>
      </c>
    </row>
    <row r="29" spans="2:7" ht="16">
      <c r="C29" s="388" t="str">
        <f>Idiomas!D15</f>
        <v>Excel Mundial Femenino 2027</v>
      </c>
      <c r="D29" s="452">
        <v>2</v>
      </c>
      <c r="E29" s="380">
        <v>2</v>
      </c>
    </row>
  </sheetData>
  <sheetProtection algorithmName="SHA-512" hashValue="a3y+m0ZhN0qwk6M+0n4bDkiu8eL+iZGzkofqwjrxUPz2F/+tjseNJFAeSAaE1XQon44guQU741pTo5rmL+rfPg==" saltValue="2R6y//OfT/51hymO21sgeg==" spinCount="100000" sheet="1" objects="1" scenarios="1"/>
  <mergeCells count="3">
    <mergeCell ref="B3:G12"/>
    <mergeCell ref="I3:N12"/>
    <mergeCell ref="G21:G25"/>
  </mergeCells>
  <conditionalFormatting sqref="D24:D27">
    <cfRule type="iconSet" priority="6">
      <iconSet iconSet="3Symbols2" showValue="0">
        <cfvo type="percent" val="0"/>
        <cfvo type="num" val="1"/>
        <cfvo type="num" val="2"/>
      </iconSet>
    </cfRule>
  </conditionalFormatting>
  <conditionalFormatting sqref="D25">
    <cfRule type="iconSet" priority="5">
      <iconSet iconSet="3Symbols2" showValue="0">
        <cfvo type="percent" val="0"/>
        <cfvo type="num" val="1"/>
        <cfvo type="num" val="2"/>
      </iconSet>
    </cfRule>
  </conditionalFormatting>
  <conditionalFormatting sqref="D26">
    <cfRule type="iconSet" priority="3">
      <iconSet iconSet="3Symbols2" showValue="0">
        <cfvo type="percent" val="0"/>
        <cfvo type="num" val="1"/>
        <cfvo type="num" val="2"/>
      </iconSet>
    </cfRule>
    <cfRule type="iconSet" priority="4">
      <iconSet iconSet="3Symbols2" showValue="0">
        <cfvo type="percent" val="0"/>
        <cfvo type="num" val="1"/>
        <cfvo type="num" val="2"/>
      </iconSet>
    </cfRule>
  </conditionalFormatting>
  <conditionalFormatting sqref="D27">
    <cfRule type="iconSet" priority="2">
      <iconSet iconSet="3Symbols2" showValue="0">
        <cfvo type="percent" val="0"/>
        <cfvo type="num" val="1"/>
        <cfvo type="num" val="2"/>
      </iconSet>
    </cfRule>
  </conditionalFormatting>
  <conditionalFormatting sqref="D21:E21">
    <cfRule type="iconSet" priority="8">
      <iconSet iconSet="3Symbols2" showValue="0">
        <cfvo type="percent" val="0"/>
        <cfvo type="num" val="1"/>
        <cfvo type="num" val="2"/>
      </iconSet>
    </cfRule>
  </conditionalFormatting>
  <conditionalFormatting sqref="D22:E22 D20:E20">
    <cfRule type="iconSet" priority="10">
      <iconSet iconSet="3Symbols2" showValue="0">
        <cfvo type="percent" val="0"/>
        <cfvo type="num" val="1"/>
        <cfvo type="num" val="2"/>
      </iconSet>
    </cfRule>
  </conditionalFormatting>
  <conditionalFormatting sqref="D23:E23">
    <cfRule type="iconSet" priority="1">
      <iconSet iconSet="3Symbols2" showValue="0">
        <cfvo type="percent" val="0"/>
        <cfvo type="num" val="1"/>
        <cfvo type="num" val="2"/>
      </iconSet>
    </cfRule>
  </conditionalFormatting>
  <conditionalFormatting sqref="D28:E28 E24:E27">
    <cfRule type="iconSet" priority="7">
      <iconSet iconSet="3Symbols2" showValue="0">
        <cfvo type="percent" val="0"/>
        <cfvo type="num" val="1"/>
        <cfvo type="num" val="2"/>
      </iconSet>
    </cfRule>
  </conditionalFormatting>
  <conditionalFormatting sqref="D29:E29">
    <cfRule type="iconSet" priority="9">
      <iconSet iconSet="3Symbols2" showValue="0">
        <cfvo type="percent" val="0"/>
        <cfvo type="num" val="1"/>
        <cfvo type="num" val="2"/>
      </iconSet>
    </cfRule>
  </conditionalFormatting>
  <conditionalFormatting sqref="E18">
    <cfRule type="iconSet" priority="18">
      <iconSet iconSet="3Symbols2" showValue="0">
        <cfvo type="percent" val="0"/>
        <cfvo type="num" val="1"/>
        <cfvo type="num" val="2"/>
      </iconSet>
    </cfRule>
  </conditionalFormatting>
  <hyperlinks>
    <hyperlink ref="C14" r:id="rId1" xr:uid="{D5D24EB0-C93B-CC45-87F7-F89E0037D0BB}"/>
    <hyperlink ref="G21" r:id="rId2" display="https://matejero.es/download/admin-champions-25-26/" xr:uid="{58788961-23EE-BB45-8822-93C008049761}"/>
    <hyperlink ref="G21:G25" r:id="rId3" display="https://matejero.es/download/admin-champions-26-27/" xr:uid="{70686CB3-28CC-A14A-899F-5456E812E373}"/>
    <hyperlink ref="D29" r:id="rId4" display="https://matejero.es/porra-mundial-femenino-excel/" xr:uid="{B64BFFC0-5CBD-714F-BE00-3BC189BFBA46}"/>
    <hyperlink ref="E29" r:id="rId5" display="https://matejero.com/womens-world-cup-excel-schedule/" xr:uid="{C104A909-BC90-1446-B4BC-0CEF692930BB}"/>
    <hyperlink ref="E22" r:id="rId6" display="https://matejero.com/premier-league-excel-schedule/" xr:uid="{74F9C10F-9283-6040-8C0F-08500D5836E1}"/>
    <hyperlink ref="D20" r:id="rId7" display="https://matejero.es/excel-europa-league/" xr:uid="{31C79991-AE61-BE48-B1BF-48E5A998DEFD}"/>
    <hyperlink ref="E20" r:id="rId8" display="https://matejero.com/europa-league-excel-schedule/" xr:uid="{BDFF4CC1-1BEE-D847-B452-6BC9AA60ED40}"/>
    <hyperlink ref="D28" r:id="rId9" display="https://matejero.es/excel-copa-libertadores/" xr:uid="{FF96C88C-FF50-BF45-B843-17204DB1660E}"/>
    <hyperlink ref="D21" r:id="rId10" display="https://matejero.es/excel-conference-league/" xr:uid="{CB45344F-34EA-2A45-9869-D0390561D38F}"/>
    <hyperlink ref="E21" r:id="rId11" display="https://matejero.com/conference-league-excel-schedule/" xr:uid="{7153B5B5-2354-044A-A7C4-44EDB53ABC9C}"/>
    <hyperlink ref="D24" r:id="rId12" display="https://matejero.es/calendario-excel-liga/" xr:uid="{ED13A60D-9E75-F547-8A82-331C5DDAD7EB}"/>
    <hyperlink ref="D25:D27" r:id="rId13" display="https://matejero.es/download/excel-liga-25-26/" xr:uid="{375DF2D5-F66D-C549-A97C-94C3B6C7F084}"/>
    <hyperlink ref="D25" r:id="rId14" display="https://matejero.es/download/calendario-2a-division-26-27-excel" xr:uid="{9852D0B0-0A00-9B45-A1C6-782F85D9323C}"/>
    <hyperlink ref="D26" r:id="rId15" display="https://matejero.es/download/calendario-1a-federacion-26-27-excel/" xr:uid="{9F033144-739C-984D-AD0E-64A3ECBA7A2A}"/>
    <hyperlink ref="D27" r:id="rId16" display="https://matejero.es/download/calendario-liga-f-26-27-excel/" xr:uid="{F5272C03-07AE-504D-BF6C-25F28AA97C5A}"/>
    <hyperlink ref="E23" r:id="rId17" display="https://matejero.com/excel-championship-tracker-schedule/" xr:uid="{5C9DB8DF-AAD1-B04B-A221-BA82AFDE1456}"/>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42EC-1BB9-BB42-BC62-37A2666E44BC}">
  <sheetPr codeName="Hoja11"/>
  <dimension ref="A1:AK146"/>
  <sheetViews>
    <sheetView zoomScaleNormal="100" workbookViewId="0">
      <selection activeCell="S3" sqref="S3"/>
      <extLst>
        <ext xmlns:xlsdti="http://schemas.microsoft.com/office/spreadsheetml/2023/showDataTypeIcons" uri="{77bfe23e-c014-4d31-8a63-9c772dbf06b6}">
          <xlsdti:showDataTypeIcons visible="0"/>
        </ext>
      </extLst>
    </sheetView>
  </sheetViews>
  <sheetFormatPr baseColWidth="10" defaultColWidth="10.83203125" defaultRowHeight="16"/>
  <cols>
    <col min="1" max="1" width="15.1640625" style="440" bestFit="1" customWidth="1"/>
    <col min="2" max="2" width="10.83203125" style="397"/>
    <col min="3" max="3" width="14.1640625" style="397" bestFit="1" customWidth="1"/>
    <col min="4" max="4" width="10.83203125" style="397"/>
    <col min="5" max="5" width="12.33203125" style="397" bestFit="1" customWidth="1"/>
    <col min="6" max="15" width="10.83203125" style="397"/>
    <col min="16" max="16" width="4.83203125" style="397" bestFit="1" customWidth="1"/>
    <col min="17" max="17" width="17.83203125" style="397" bestFit="1" customWidth="1"/>
    <col min="18" max="18" width="11.1640625" style="397" bestFit="1" customWidth="1"/>
    <col min="19" max="19" width="11" style="397" bestFit="1" customWidth="1"/>
    <col min="20" max="20" width="10.33203125" style="397" bestFit="1" customWidth="1"/>
    <col min="21" max="21" width="8.1640625" style="397" bestFit="1" customWidth="1"/>
    <col min="22" max="22" width="10.33203125" style="397" customWidth="1"/>
    <col min="23" max="23" width="3.33203125" style="397" bestFit="1" customWidth="1"/>
    <col min="24" max="16384" width="10.83203125" style="397"/>
  </cols>
  <sheetData>
    <row r="1" spans="1:37" ht="17" thickBot="1">
      <c r="C1" s="397">
        <f>IFERROR(INDEX($P$3:$P$93,MATCH(Home!$C$10,Horarios!$Q$3:$Q$93,0)),1)</f>
        <v>17</v>
      </c>
      <c r="K1" s="441" t="s">
        <v>700</v>
      </c>
      <c r="L1" s="442" t="s">
        <v>57</v>
      </c>
      <c r="M1" s="442" t="s">
        <v>58</v>
      </c>
      <c r="N1" s="442" t="s">
        <v>59</v>
      </c>
    </row>
    <row r="2" spans="1:37" ht="17" thickBot="1">
      <c r="A2" s="443">
        <v>46273.78125</v>
      </c>
      <c r="C2" s="444" cm="1">
        <f t="array" ref="C2">A2+INDEX($V$3:V$93,$C$1)*INDEX($W$3:$W$93,$C$1)</f>
        <v>46273.78125</v>
      </c>
      <c r="K2" s="442" t="s">
        <v>60</v>
      </c>
      <c r="L2" s="442" t="str">
        <f>Idiomas!D190</f>
        <v>Alemania</v>
      </c>
      <c r="M2" s="442">
        <f>INDEX($R$3:$R$93,MATCH($L$2,$Q$3:$Q$93,0))</f>
        <v>2</v>
      </c>
      <c r="N2" s="445">
        <f>INDEX($S$3:$S$93,MATCH($L$2,$Q$3:$Q$93,0))</f>
        <v>8.3333333333333329E-2</v>
      </c>
      <c r="P2" s="446" t="s">
        <v>61</v>
      </c>
      <c r="Q2" s="446" t="s">
        <v>57</v>
      </c>
      <c r="R2" s="446" t="s">
        <v>62</v>
      </c>
      <c r="S2" s="446" t="s">
        <v>63</v>
      </c>
      <c r="T2" s="446" t="s">
        <v>64</v>
      </c>
      <c r="U2" s="446" t="s">
        <v>701</v>
      </c>
      <c r="V2" s="446" t="s">
        <v>65</v>
      </c>
      <c r="W2" s="447" t="s">
        <v>66</v>
      </c>
      <c r="Z2" s="446" t="s">
        <v>61</v>
      </c>
      <c r="AA2" s="446" t="s">
        <v>68</v>
      </c>
      <c r="AB2" s="446" t="s">
        <v>62</v>
      </c>
      <c r="AC2" s="446" t="s">
        <v>63</v>
      </c>
      <c r="AD2" s="446" t="s">
        <v>64</v>
      </c>
      <c r="AE2" s="446" t="s">
        <v>701</v>
      </c>
      <c r="AF2" s="446" t="s">
        <v>65</v>
      </c>
      <c r="AG2" s="447" t="s">
        <v>66</v>
      </c>
      <c r="AH2" s="446" t="s">
        <v>67</v>
      </c>
      <c r="AI2" s="446" t="s">
        <v>702</v>
      </c>
      <c r="AK2" s="397" t="s">
        <v>719</v>
      </c>
    </row>
    <row r="3" spans="1:37">
      <c r="A3" s="443">
        <v>46273.78125</v>
      </c>
      <c r="C3" s="444" cm="1">
        <f t="array" ref="C3">A3+INDEX($V$3:V$93,$C$1)*INDEX($W$3:$W$93,$C$1)</f>
        <v>46273.78125</v>
      </c>
      <c r="K3" s="397" t="s">
        <v>69</v>
      </c>
      <c r="P3" s="397">
        <v>1</v>
      </c>
      <c r="Q3" s="397" t="str">
        <f t="shared" ref="Q3:Q57" si="0">INDEX($AA$3:$AA$57,MATCH(P3,$AI$3:$AI$57,0))</f>
        <v>Albania</v>
      </c>
      <c r="R3" s="397">
        <f t="shared" ref="R3:W34" si="1">INDEX(AB$3:AB$93,MATCH($Q3,$AA$3:$AA$93,0))</f>
        <v>2</v>
      </c>
      <c r="S3" s="448">
        <f t="shared" si="1"/>
        <v>8.3333333333333329E-2</v>
      </c>
      <c r="T3" s="397">
        <f t="shared" si="1"/>
        <v>0</v>
      </c>
      <c r="U3" s="397">
        <f t="shared" si="1"/>
        <v>0</v>
      </c>
      <c r="V3" s="448">
        <f t="shared" si="1"/>
        <v>0</v>
      </c>
      <c r="W3" s="397">
        <f t="shared" si="1"/>
        <v>0</v>
      </c>
      <c r="Z3" s="397">
        <v>1</v>
      </c>
      <c r="AA3" s="397" t="str">
        <f>Idiomas!D130</f>
        <v>Albania</v>
      </c>
      <c r="AB3" s="397">
        <v>2</v>
      </c>
      <c r="AC3" s="448">
        <f>ABS(AB3/24)</f>
        <v>8.3333333333333329E-2</v>
      </c>
      <c r="AD3" s="397">
        <f>IF(AA3=$L$2,1,0)</f>
        <v>0</v>
      </c>
      <c r="AE3" s="397">
        <f>AB3-$M$2</f>
        <v>0</v>
      </c>
      <c r="AF3" s="448">
        <f>ABS(AE3/24)</f>
        <v>0</v>
      </c>
      <c r="AG3" s="397">
        <f>IF(AB3&gt;$M$2,1,IF(AB3=$M$2,0,-1))</f>
        <v>0</v>
      </c>
      <c r="AH3" s="397">
        <v>1</v>
      </c>
      <c r="AI3" s="397">
        <f>COUNTIF($AA$3:$AA$57,"&lt;="&amp;AA3)</f>
        <v>1</v>
      </c>
      <c r="AK3" s="397">
        <f>AB3-AH3</f>
        <v>1</v>
      </c>
    </row>
    <row r="4" spans="1:37">
      <c r="A4" s="443">
        <v>46273.875</v>
      </c>
      <c r="C4" s="444" cm="1">
        <f t="array" ref="C4">A4+INDEX($V$3:V$93,$C$1)*INDEX($W$3:$W$93,$C$1)</f>
        <v>46273.875</v>
      </c>
      <c r="E4" s="444"/>
      <c r="P4" s="397">
        <v>2</v>
      </c>
      <c r="Q4" s="397" t="str">
        <f t="shared" si="0"/>
        <v>Alemania</v>
      </c>
      <c r="R4" s="397">
        <f t="shared" si="1"/>
        <v>2</v>
      </c>
      <c r="S4" s="448">
        <f t="shared" si="1"/>
        <v>8.3333333333333329E-2</v>
      </c>
      <c r="T4" s="397">
        <f t="shared" si="1"/>
        <v>1</v>
      </c>
      <c r="U4" s="397">
        <f t="shared" si="1"/>
        <v>0</v>
      </c>
      <c r="V4" s="448">
        <f t="shared" si="1"/>
        <v>0</v>
      </c>
      <c r="W4" s="397">
        <f t="shared" si="1"/>
        <v>0</v>
      </c>
      <c r="Z4" s="397">
        <v>2</v>
      </c>
      <c r="AA4" s="397" t="str">
        <f>Idiomas!D131</f>
        <v>Alemania</v>
      </c>
      <c r="AB4" s="397">
        <v>2</v>
      </c>
      <c r="AC4" s="448">
        <f t="shared" ref="AC4:AC67" si="2">ABS(AB4/24)</f>
        <v>8.3333333333333329E-2</v>
      </c>
      <c r="AD4" s="397">
        <f t="shared" ref="AD4:AD67" si="3">IF(AA4=$L$2,1,0)</f>
        <v>1</v>
      </c>
      <c r="AE4" s="397">
        <f t="shared" ref="AE4:AE67" si="4">AB4-$M$2</f>
        <v>0</v>
      </c>
      <c r="AF4" s="448">
        <f t="shared" ref="AF4:AF67" si="5">ABS(AE4/24)</f>
        <v>0</v>
      </c>
      <c r="AG4" s="397">
        <f t="shared" ref="AG4:AG67" si="6">IF(AB4&gt;$M$2,1,IF(AB4=$M$2,0,-1))</f>
        <v>0</v>
      </c>
      <c r="AH4" s="397">
        <v>1</v>
      </c>
      <c r="AI4" s="397">
        <f t="shared" ref="AI4:AI57" si="7">COUNTIF($AA$3:$AA$57,"&lt;="&amp;AA4)</f>
        <v>2</v>
      </c>
      <c r="AK4" s="397">
        <f t="shared" ref="AK4:AK57" si="8">AB4-AH4</f>
        <v>1</v>
      </c>
    </row>
    <row r="5" spans="1:37">
      <c r="A5" s="443">
        <v>46273.875</v>
      </c>
      <c r="C5" s="444" cm="1">
        <f t="array" ref="C5">A5+INDEX($V$3:V$93,$C$1)*INDEX($W$3:$W$93,$C$1)</f>
        <v>46273.875</v>
      </c>
      <c r="E5" s="444"/>
      <c r="P5" s="397">
        <v>3</v>
      </c>
      <c r="Q5" s="397" t="str">
        <f t="shared" si="0"/>
        <v>Andorra</v>
      </c>
      <c r="R5" s="397">
        <f t="shared" si="1"/>
        <v>2</v>
      </c>
      <c r="S5" s="448">
        <f t="shared" si="1"/>
        <v>8.3333333333333329E-2</v>
      </c>
      <c r="T5" s="397">
        <f t="shared" si="1"/>
        <v>0</v>
      </c>
      <c r="U5" s="397">
        <f t="shared" si="1"/>
        <v>0</v>
      </c>
      <c r="V5" s="448">
        <f t="shared" si="1"/>
        <v>0</v>
      </c>
      <c r="W5" s="397">
        <f t="shared" si="1"/>
        <v>0</v>
      </c>
      <c r="Z5" s="397">
        <v>3</v>
      </c>
      <c r="AA5" s="397" t="str">
        <f>Idiomas!D132</f>
        <v>Andorra</v>
      </c>
      <c r="AB5" s="397">
        <v>2</v>
      </c>
      <c r="AC5" s="448">
        <f t="shared" si="2"/>
        <v>8.3333333333333329E-2</v>
      </c>
      <c r="AD5" s="397">
        <f t="shared" si="3"/>
        <v>0</v>
      </c>
      <c r="AE5" s="397">
        <f t="shared" si="4"/>
        <v>0</v>
      </c>
      <c r="AF5" s="448">
        <f t="shared" si="5"/>
        <v>0</v>
      </c>
      <c r="AG5" s="397">
        <f t="shared" si="6"/>
        <v>0</v>
      </c>
      <c r="AH5" s="397">
        <v>1</v>
      </c>
      <c r="AI5" s="397">
        <f t="shared" si="7"/>
        <v>3</v>
      </c>
      <c r="AK5" s="397">
        <f t="shared" si="8"/>
        <v>1</v>
      </c>
    </row>
    <row r="6" spans="1:37">
      <c r="A6" s="443">
        <v>46273.875</v>
      </c>
      <c r="C6" s="444" cm="1">
        <f t="array" ref="C6">A6+INDEX($V$3:V$93,$C$1)*INDEX($W$3:$W$93,$C$1)</f>
        <v>46273.875</v>
      </c>
      <c r="E6" s="444"/>
      <c r="P6" s="397">
        <v>4</v>
      </c>
      <c r="Q6" s="397" t="str">
        <f t="shared" si="0"/>
        <v>Armenia</v>
      </c>
      <c r="R6" s="397">
        <f t="shared" si="1"/>
        <v>4</v>
      </c>
      <c r="S6" s="448">
        <f t="shared" si="1"/>
        <v>0.16666666666666666</v>
      </c>
      <c r="T6" s="397">
        <f t="shared" si="1"/>
        <v>0</v>
      </c>
      <c r="U6" s="397">
        <f t="shared" si="1"/>
        <v>2</v>
      </c>
      <c r="V6" s="448">
        <f t="shared" si="1"/>
        <v>8.3333333333333329E-2</v>
      </c>
      <c r="W6" s="397">
        <f t="shared" si="1"/>
        <v>1</v>
      </c>
      <c r="Z6" s="397">
        <v>4</v>
      </c>
      <c r="AA6" s="397" t="str">
        <f>Idiomas!D133</f>
        <v>Armenia</v>
      </c>
      <c r="AB6" s="397">
        <v>4</v>
      </c>
      <c r="AC6" s="448">
        <f t="shared" si="2"/>
        <v>0.16666666666666666</v>
      </c>
      <c r="AD6" s="397">
        <f t="shared" si="3"/>
        <v>0</v>
      </c>
      <c r="AE6" s="397">
        <f t="shared" si="4"/>
        <v>2</v>
      </c>
      <c r="AF6" s="448">
        <f t="shared" si="5"/>
        <v>8.3333333333333329E-2</v>
      </c>
      <c r="AG6" s="397">
        <f t="shared" si="6"/>
        <v>1</v>
      </c>
      <c r="AH6" s="397">
        <v>4</v>
      </c>
      <c r="AI6" s="397">
        <f t="shared" si="7"/>
        <v>4</v>
      </c>
      <c r="AK6" s="397">
        <f t="shared" si="8"/>
        <v>0</v>
      </c>
    </row>
    <row r="7" spans="1:37">
      <c r="A7" s="443">
        <v>46273.875</v>
      </c>
      <c r="C7" s="444" cm="1">
        <f t="array" ref="C7">A7+INDEX($V$3:V$93,$C$1)*INDEX($W$3:$W$93,$C$1)</f>
        <v>46273.875</v>
      </c>
      <c r="E7" s="444"/>
      <c r="P7" s="397">
        <v>5</v>
      </c>
      <c r="Q7" s="397" t="str">
        <f t="shared" si="0"/>
        <v>Austria</v>
      </c>
      <c r="R7" s="397">
        <f t="shared" si="1"/>
        <v>2</v>
      </c>
      <c r="S7" s="448">
        <f t="shared" si="1"/>
        <v>8.3333333333333329E-2</v>
      </c>
      <c r="T7" s="397">
        <f t="shared" si="1"/>
        <v>0</v>
      </c>
      <c r="U7" s="397">
        <f t="shared" si="1"/>
        <v>0</v>
      </c>
      <c r="V7" s="448">
        <f t="shared" si="1"/>
        <v>0</v>
      </c>
      <c r="W7" s="397">
        <f t="shared" si="1"/>
        <v>0</v>
      </c>
      <c r="Z7" s="397">
        <v>5</v>
      </c>
      <c r="AA7" s="397" t="str">
        <f>Idiomas!D134</f>
        <v>Austria</v>
      </c>
      <c r="AB7" s="397">
        <v>2</v>
      </c>
      <c r="AC7" s="448">
        <f t="shared" si="2"/>
        <v>8.3333333333333329E-2</v>
      </c>
      <c r="AD7" s="397">
        <f t="shared" si="3"/>
        <v>0</v>
      </c>
      <c r="AE7" s="397">
        <f t="shared" si="4"/>
        <v>0</v>
      </c>
      <c r="AF7" s="448">
        <f t="shared" si="5"/>
        <v>0</v>
      </c>
      <c r="AG7" s="397">
        <f t="shared" si="6"/>
        <v>0</v>
      </c>
      <c r="AH7" s="397">
        <v>1</v>
      </c>
      <c r="AI7" s="397">
        <f t="shared" si="7"/>
        <v>5</v>
      </c>
      <c r="AK7" s="397">
        <f t="shared" si="8"/>
        <v>1</v>
      </c>
    </row>
    <row r="8" spans="1:37">
      <c r="A8" s="443">
        <v>46274.78125</v>
      </c>
      <c r="C8" s="444" cm="1">
        <f t="array" ref="C8">A8+INDEX($V$3:V$93,$C$1)*INDEX($W$3:$W$93,$C$1)</f>
        <v>46274.78125</v>
      </c>
      <c r="E8" s="444"/>
      <c r="P8" s="397">
        <v>6</v>
      </c>
      <c r="Q8" s="397" t="str">
        <f t="shared" si="0"/>
        <v>Azerbaiyán</v>
      </c>
      <c r="R8" s="397">
        <f t="shared" si="1"/>
        <v>4</v>
      </c>
      <c r="S8" s="448">
        <f t="shared" si="1"/>
        <v>0.16666666666666666</v>
      </c>
      <c r="T8" s="397">
        <f t="shared" si="1"/>
        <v>0</v>
      </c>
      <c r="U8" s="397">
        <f t="shared" si="1"/>
        <v>2</v>
      </c>
      <c r="V8" s="448">
        <f t="shared" si="1"/>
        <v>8.3333333333333329E-2</v>
      </c>
      <c r="W8" s="397">
        <f t="shared" si="1"/>
        <v>1</v>
      </c>
      <c r="Z8" s="397">
        <v>6</v>
      </c>
      <c r="AA8" s="397" t="str">
        <f>Idiomas!D135</f>
        <v>Azerbaiyán</v>
      </c>
      <c r="AB8" s="397">
        <v>4</v>
      </c>
      <c r="AC8" s="448">
        <f t="shared" si="2"/>
        <v>0.16666666666666666</v>
      </c>
      <c r="AD8" s="397">
        <f t="shared" si="3"/>
        <v>0</v>
      </c>
      <c r="AE8" s="397">
        <f t="shared" si="4"/>
        <v>2</v>
      </c>
      <c r="AF8" s="448">
        <f t="shared" si="5"/>
        <v>8.3333333333333329E-2</v>
      </c>
      <c r="AG8" s="397">
        <f t="shared" si="6"/>
        <v>1</v>
      </c>
      <c r="AH8" s="397">
        <v>4</v>
      </c>
      <c r="AI8" s="397">
        <f t="shared" si="7"/>
        <v>6</v>
      </c>
      <c r="AK8" s="397">
        <f t="shared" si="8"/>
        <v>0</v>
      </c>
    </row>
    <row r="9" spans="1:37">
      <c r="A9" s="443">
        <v>46274.78125</v>
      </c>
      <c r="C9" s="444" cm="1">
        <f t="array" ref="C9">A9+INDEX($V$3:V$93,$C$1)*INDEX($W$3:$W$93,$C$1)</f>
        <v>46274.78125</v>
      </c>
      <c r="E9" s="444"/>
      <c r="P9" s="397">
        <v>7</v>
      </c>
      <c r="Q9" s="397" t="str">
        <f t="shared" si="0"/>
        <v>Bélgica</v>
      </c>
      <c r="R9" s="397">
        <f t="shared" si="1"/>
        <v>2</v>
      </c>
      <c r="S9" s="448">
        <f t="shared" si="1"/>
        <v>8.3333333333333329E-2</v>
      </c>
      <c r="T9" s="397">
        <f t="shared" si="1"/>
        <v>0</v>
      </c>
      <c r="U9" s="397">
        <f t="shared" si="1"/>
        <v>0</v>
      </c>
      <c r="V9" s="448">
        <f t="shared" si="1"/>
        <v>0</v>
      </c>
      <c r="W9" s="397">
        <f t="shared" si="1"/>
        <v>0</v>
      </c>
      <c r="Z9" s="397">
        <v>7</v>
      </c>
      <c r="AA9" s="397" t="str">
        <f>Idiomas!D136</f>
        <v>Bélgica</v>
      </c>
      <c r="AB9" s="397">
        <v>2</v>
      </c>
      <c r="AC9" s="448">
        <f t="shared" si="2"/>
        <v>8.3333333333333329E-2</v>
      </c>
      <c r="AD9" s="397">
        <f t="shared" si="3"/>
        <v>0</v>
      </c>
      <c r="AE9" s="397">
        <f t="shared" si="4"/>
        <v>0</v>
      </c>
      <c r="AF9" s="448">
        <f t="shared" si="5"/>
        <v>0</v>
      </c>
      <c r="AG9" s="397">
        <f t="shared" si="6"/>
        <v>0</v>
      </c>
      <c r="AH9" s="397">
        <v>1</v>
      </c>
      <c r="AI9" s="397">
        <f t="shared" si="7"/>
        <v>7</v>
      </c>
      <c r="AK9" s="397">
        <f t="shared" si="8"/>
        <v>1</v>
      </c>
    </row>
    <row r="10" spans="1:37">
      <c r="A10" s="443">
        <v>46274.875</v>
      </c>
      <c r="C10" s="444" cm="1">
        <f t="array" ref="C10">A10+INDEX($V$3:V$93,$C$1)*INDEX($W$3:$W$93,$C$1)</f>
        <v>46274.875</v>
      </c>
      <c r="E10" s="444"/>
      <c r="P10" s="397">
        <v>8</v>
      </c>
      <c r="Q10" s="397" t="str">
        <f t="shared" si="0"/>
        <v>Bielorrusia</v>
      </c>
      <c r="R10" s="397">
        <f t="shared" si="1"/>
        <v>3</v>
      </c>
      <c r="S10" s="448">
        <f t="shared" si="1"/>
        <v>0.125</v>
      </c>
      <c r="T10" s="397">
        <f t="shared" si="1"/>
        <v>0</v>
      </c>
      <c r="U10" s="397">
        <f t="shared" si="1"/>
        <v>1</v>
      </c>
      <c r="V10" s="448">
        <f t="shared" si="1"/>
        <v>4.1666666666666664E-2</v>
      </c>
      <c r="W10" s="397">
        <f t="shared" si="1"/>
        <v>1</v>
      </c>
      <c r="Z10" s="397">
        <v>8</v>
      </c>
      <c r="AA10" s="397" t="str">
        <f>Idiomas!D137</f>
        <v>Bielorrusia</v>
      </c>
      <c r="AB10" s="397">
        <v>3</v>
      </c>
      <c r="AC10" s="448">
        <f t="shared" si="2"/>
        <v>0.125</v>
      </c>
      <c r="AD10" s="397">
        <f t="shared" si="3"/>
        <v>0</v>
      </c>
      <c r="AE10" s="397">
        <f t="shared" si="4"/>
        <v>1</v>
      </c>
      <c r="AF10" s="448">
        <f t="shared" si="5"/>
        <v>4.1666666666666664E-2</v>
      </c>
      <c r="AG10" s="397">
        <f t="shared" si="6"/>
        <v>1</v>
      </c>
      <c r="AH10" s="397">
        <v>3</v>
      </c>
      <c r="AI10" s="397">
        <f t="shared" si="7"/>
        <v>8</v>
      </c>
      <c r="AK10" s="397">
        <f t="shared" si="8"/>
        <v>0</v>
      </c>
    </row>
    <row r="11" spans="1:37">
      <c r="A11" s="443">
        <v>46274.875</v>
      </c>
      <c r="C11" s="444" cm="1">
        <f t="array" ref="C11">A11+INDEX($V$3:V$93,$C$1)*INDEX($W$3:$W$93,$C$1)</f>
        <v>46274.875</v>
      </c>
      <c r="E11" s="444"/>
      <c r="P11" s="397">
        <v>9</v>
      </c>
      <c r="Q11" s="397" t="str">
        <f t="shared" si="0"/>
        <v>Bosnia y Herzegovina</v>
      </c>
      <c r="R11" s="397">
        <f t="shared" si="1"/>
        <v>2</v>
      </c>
      <c r="S11" s="448">
        <f t="shared" si="1"/>
        <v>8.3333333333333329E-2</v>
      </c>
      <c r="T11" s="397">
        <f t="shared" si="1"/>
        <v>0</v>
      </c>
      <c r="U11" s="397">
        <f t="shared" si="1"/>
        <v>0</v>
      </c>
      <c r="V11" s="448">
        <f t="shared" si="1"/>
        <v>0</v>
      </c>
      <c r="W11" s="397">
        <f t="shared" si="1"/>
        <v>0</v>
      </c>
      <c r="Z11" s="397">
        <v>9</v>
      </c>
      <c r="AA11" s="397" t="str">
        <f>Idiomas!D138</f>
        <v>Bosnia y Herzegovina</v>
      </c>
      <c r="AB11" s="397">
        <v>2</v>
      </c>
      <c r="AC11" s="448">
        <f t="shared" si="2"/>
        <v>8.3333333333333329E-2</v>
      </c>
      <c r="AD11" s="397">
        <f t="shared" si="3"/>
        <v>0</v>
      </c>
      <c r="AE11" s="397">
        <f t="shared" si="4"/>
        <v>0</v>
      </c>
      <c r="AF11" s="448">
        <f t="shared" si="5"/>
        <v>0</v>
      </c>
      <c r="AG11" s="397">
        <f t="shared" si="6"/>
        <v>0</v>
      </c>
      <c r="AH11" s="397">
        <v>1</v>
      </c>
      <c r="AI11" s="397">
        <f t="shared" si="7"/>
        <v>9</v>
      </c>
      <c r="AK11" s="397">
        <f t="shared" si="8"/>
        <v>1</v>
      </c>
    </row>
    <row r="12" spans="1:37">
      <c r="A12" s="443">
        <v>46274.875</v>
      </c>
      <c r="C12" s="444" cm="1">
        <f t="array" ref="C12">A12+INDEX($V$3:V$93,$C$1)*INDEX($W$3:$W$93,$C$1)</f>
        <v>46274.875</v>
      </c>
      <c r="E12" s="444"/>
      <c r="P12" s="397">
        <v>10</v>
      </c>
      <c r="Q12" s="397" t="str">
        <f t="shared" si="0"/>
        <v>Bulgaria</v>
      </c>
      <c r="R12" s="397">
        <f t="shared" si="1"/>
        <v>3</v>
      </c>
      <c r="S12" s="448">
        <f t="shared" si="1"/>
        <v>0.125</v>
      </c>
      <c r="T12" s="397">
        <f t="shared" si="1"/>
        <v>0</v>
      </c>
      <c r="U12" s="397">
        <f t="shared" si="1"/>
        <v>1</v>
      </c>
      <c r="V12" s="448">
        <f t="shared" si="1"/>
        <v>4.1666666666666664E-2</v>
      </c>
      <c r="W12" s="397">
        <f t="shared" si="1"/>
        <v>1</v>
      </c>
      <c r="Z12" s="397">
        <v>10</v>
      </c>
      <c r="AA12" s="397" t="str">
        <f>Idiomas!D139</f>
        <v>Bulgaria</v>
      </c>
      <c r="AB12" s="397">
        <v>3</v>
      </c>
      <c r="AC12" s="448">
        <f t="shared" si="2"/>
        <v>0.125</v>
      </c>
      <c r="AD12" s="397">
        <f t="shared" si="3"/>
        <v>0</v>
      </c>
      <c r="AE12" s="397">
        <f t="shared" si="4"/>
        <v>1</v>
      </c>
      <c r="AF12" s="448">
        <f t="shared" si="5"/>
        <v>4.1666666666666664E-2</v>
      </c>
      <c r="AG12" s="397">
        <f t="shared" si="6"/>
        <v>1</v>
      </c>
      <c r="AH12" s="397">
        <v>2</v>
      </c>
      <c r="AI12" s="397">
        <f t="shared" si="7"/>
        <v>10</v>
      </c>
      <c r="AK12" s="397">
        <f t="shared" si="8"/>
        <v>1</v>
      </c>
    </row>
    <row r="13" spans="1:37">
      <c r="A13" s="443">
        <v>46274.875</v>
      </c>
      <c r="C13" s="444" cm="1">
        <f t="array" ref="C13">A13+INDEX($V$3:V$93,$C$1)*INDEX($W$3:$W$93,$C$1)</f>
        <v>46274.875</v>
      </c>
      <c r="E13" s="444"/>
      <c r="P13" s="397">
        <v>11</v>
      </c>
      <c r="Q13" s="397" t="str">
        <f t="shared" si="0"/>
        <v>Chipre</v>
      </c>
      <c r="R13" s="397">
        <f t="shared" si="1"/>
        <v>3</v>
      </c>
      <c r="S13" s="448">
        <f t="shared" si="1"/>
        <v>0.125</v>
      </c>
      <c r="T13" s="397">
        <f t="shared" si="1"/>
        <v>0</v>
      </c>
      <c r="U13" s="397">
        <f t="shared" si="1"/>
        <v>1</v>
      </c>
      <c r="V13" s="448">
        <f t="shared" si="1"/>
        <v>4.1666666666666664E-2</v>
      </c>
      <c r="W13" s="397">
        <f t="shared" si="1"/>
        <v>1</v>
      </c>
      <c r="Z13" s="397">
        <v>11</v>
      </c>
      <c r="AA13" s="397" t="str">
        <f>Idiomas!D140</f>
        <v>Chipre</v>
      </c>
      <c r="AB13" s="397">
        <v>3</v>
      </c>
      <c r="AC13" s="448">
        <f t="shared" si="2"/>
        <v>0.125</v>
      </c>
      <c r="AD13" s="397">
        <f t="shared" si="3"/>
        <v>0</v>
      </c>
      <c r="AE13" s="397">
        <f t="shared" si="4"/>
        <v>1</v>
      </c>
      <c r="AF13" s="448">
        <f t="shared" si="5"/>
        <v>4.1666666666666664E-2</v>
      </c>
      <c r="AG13" s="397">
        <f t="shared" si="6"/>
        <v>1</v>
      </c>
      <c r="AH13" s="397">
        <v>2</v>
      </c>
      <c r="AI13" s="397">
        <f t="shared" si="7"/>
        <v>11</v>
      </c>
      <c r="AK13" s="397">
        <f t="shared" si="8"/>
        <v>1</v>
      </c>
    </row>
    <row r="14" spans="1:37">
      <c r="A14" s="443">
        <v>46275.78125</v>
      </c>
      <c r="C14" s="444" cm="1">
        <f t="array" ref="C14">A14+INDEX($V$3:V$93,$C$1)*INDEX($W$3:$W$93,$C$1)</f>
        <v>46275.78125</v>
      </c>
      <c r="E14" s="444"/>
      <c r="P14" s="397">
        <v>12</v>
      </c>
      <c r="Q14" s="397" t="str">
        <f t="shared" si="0"/>
        <v>Croacia</v>
      </c>
      <c r="R14" s="397">
        <f t="shared" si="1"/>
        <v>2</v>
      </c>
      <c r="S14" s="448">
        <f t="shared" si="1"/>
        <v>8.3333333333333329E-2</v>
      </c>
      <c r="T14" s="397">
        <f t="shared" si="1"/>
        <v>0</v>
      </c>
      <c r="U14" s="397">
        <f t="shared" si="1"/>
        <v>0</v>
      </c>
      <c r="V14" s="448">
        <f t="shared" si="1"/>
        <v>0</v>
      </c>
      <c r="W14" s="397">
        <f t="shared" si="1"/>
        <v>0</v>
      </c>
      <c r="Z14" s="397">
        <v>12</v>
      </c>
      <c r="AA14" s="397" t="str">
        <f>Idiomas!D141</f>
        <v>Croacia</v>
      </c>
      <c r="AB14" s="397">
        <v>2</v>
      </c>
      <c r="AC14" s="448">
        <f t="shared" si="2"/>
        <v>8.3333333333333329E-2</v>
      </c>
      <c r="AD14" s="397">
        <f t="shared" si="3"/>
        <v>0</v>
      </c>
      <c r="AE14" s="397">
        <f t="shared" si="4"/>
        <v>0</v>
      </c>
      <c r="AF14" s="448">
        <f t="shared" si="5"/>
        <v>0</v>
      </c>
      <c r="AG14" s="397">
        <f t="shared" si="6"/>
        <v>0</v>
      </c>
      <c r="AH14" s="397">
        <v>1</v>
      </c>
      <c r="AI14" s="397">
        <f t="shared" si="7"/>
        <v>12</v>
      </c>
      <c r="AK14" s="397">
        <f t="shared" si="8"/>
        <v>1</v>
      </c>
    </row>
    <row r="15" spans="1:37">
      <c r="A15" s="443">
        <v>46275.78125</v>
      </c>
      <c r="C15" s="444" cm="1">
        <f t="array" ref="C15">A15+INDEX($V$3:V$93,$C$1)*INDEX($W$3:$W$93,$C$1)</f>
        <v>46275.78125</v>
      </c>
      <c r="E15" s="444"/>
      <c r="P15" s="397">
        <v>13</v>
      </c>
      <c r="Q15" s="397" t="str">
        <f t="shared" si="0"/>
        <v>Dinamarca</v>
      </c>
      <c r="R15" s="397">
        <f t="shared" si="1"/>
        <v>2</v>
      </c>
      <c r="S15" s="448">
        <f t="shared" si="1"/>
        <v>8.3333333333333329E-2</v>
      </c>
      <c r="T15" s="397">
        <f t="shared" si="1"/>
        <v>0</v>
      </c>
      <c r="U15" s="397">
        <f t="shared" si="1"/>
        <v>0</v>
      </c>
      <c r="V15" s="448">
        <f t="shared" si="1"/>
        <v>0</v>
      </c>
      <c r="W15" s="397">
        <f t="shared" si="1"/>
        <v>0</v>
      </c>
      <c r="Z15" s="397">
        <v>13</v>
      </c>
      <c r="AA15" s="397" t="str">
        <f>Idiomas!D142</f>
        <v>Dinamarca</v>
      </c>
      <c r="AB15" s="397">
        <v>2</v>
      </c>
      <c r="AC15" s="448">
        <f t="shared" si="2"/>
        <v>8.3333333333333329E-2</v>
      </c>
      <c r="AD15" s="397">
        <f t="shared" si="3"/>
        <v>0</v>
      </c>
      <c r="AE15" s="397">
        <f t="shared" si="4"/>
        <v>0</v>
      </c>
      <c r="AF15" s="448">
        <f t="shared" si="5"/>
        <v>0</v>
      </c>
      <c r="AG15" s="397">
        <f t="shared" si="6"/>
        <v>0</v>
      </c>
      <c r="AH15" s="397">
        <v>1</v>
      </c>
      <c r="AI15" s="397">
        <f t="shared" si="7"/>
        <v>13</v>
      </c>
      <c r="AK15" s="397">
        <f t="shared" si="8"/>
        <v>1</v>
      </c>
    </row>
    <row r="16" spans="1:37">
      <c r="A16" s="443">
        <v>46275.875</v>
      </c>
      <c r="C16" s="444" cm="1">
        <f t="array" ref="C16">A16+INDEX($V$3:V$93,$C$1)*INDEX($W$3:$W$93,$C$1)</f>
        <v>46275.875</v>
      </c>
      <c r="E16" s="444"/>
      <c r="P16" s="397">
        <v>14</v>
      </c>
      <c r="Q16" s="397" t="str">
        <f t="shared" si="0"/>
        <v>Escocia</v>
      </c>
      <c r="R16" s="397">
        <f t="shared" si="1"/>
        <v>1</v>
      </c>
      <c r="S16" s="448">
        <f t="shared" si="1"/>
        <v>4.1666666666666664E-2</v>
      </c>
      <c r="T16" s="397">
        <f t="shared" si="1"/>
        <v>0</v>
      </c>
      <c r="U16" s="397">
        <f t="shared" si="1"/>
        <v>-1</v>
      </c>
      <c r="V16" s="448">
        <f t="shared" si="1"/>
        <v>4.1666666666666664E-2</v>
      </c>
      <c r="W16" s="397">
        <f t="shared" si="1"/>
        <v>-1</v>
      </c>
      <c r="Z16" s="397">
        <v>14</v>
      </c>
      <c r="AA16" s="397" t="str">
        <f>Idiomas!D143</f>
        <v>Escocia</v>
      </c>
      <c r="AB16" s="397">
        <v>1</v>
      </c>
      <c r="AC16" s="448">
        <f t="shared" si="2"/>
        <v>4.1666666666666664E-2</v>
      </c>
      <c r="AD16" s="397">
        <f t="shared" si="3"/>
        <v>0</v>
      </c>
      <c r="AE16" s="397">
        <f t="shared" si="4"/>
        <v>-1</v>
      </c>
      <c r="AF16" s="448">
        <f t="shared" si="5"/>
        <v>4.1666666666666664E-2</v>
      </c>
      <c r="AG16" s="397">
        <f t="shared" si="6"/>
        <v>-1</v>
      </c>
      <c r="AH16" s="397">
        <v>0</v>
      </c>
      <c r="AI16" s="397">
        <f t="shared" si="7"/>
        <v>14</v>
      </c>
      <c r="AK16" s="397">
        <f t="shared" si="8"/>
        <v>1</v>
      </c>
    </row>
    <row r="17" spans="1:37">
      <c r="A17" s="443">
        <v>46275.875</v>
      </c>
      <c r="C17" s="444" cm="1">
        <f t="array" ref="C17">A17+INDEX($V$3:V$93,$C$1)*INDEX($W$3:$W$93,$C$1)</f>
        <v>46275.875</v>
      </c>
      <c r="E17" s="444"/>
      <c r="P17" s="397">
        <v>15</v>
      </c>
      <c r="Q17" s="397" t="str">
        <f t="shared" si="0"/>
        <v>Eslovaquia</v>
      </c>
      <c r="R17" s="397">
        <f t="shared" si="1"/>
        <v>2</v>
      </c>
      <c r="S17" s="448">
        <f t="shared" si="1"/>
        <v>8.3333333333333329E-2</v>
      </c>
      <c r="T17" s="397">
        <f t="shared" si="1"/>
        <v>0</v>
      </c>
      <c r="U17" s="397">
        <f t="shared" si="1"/>
        <v>0</v>
      </c>
      <c r="V17" s="448">
        <f t="shared" si="1"/>
        <v>0</v>
      </c>
      <c r="W17" s="397">
        <f t="shared" si="1"/>
        <v>0</v>
      </c>
      <c r="Z17" s="397">
        <v>15</v>
      </c>
      <c r="AA17" s="397" t="str">
        <f>Idiomas!D144</f>
        <v>Eslovaquia</v>
      </c>
      <c r="AB17" s="397">
        <v>2</v>
      </c>
      <c r="AC17" s="448">
        <f t="shared" si="2"/>
        <v>8.3333333333333329E-2</v>
      </c>
      <c r="AD17" s="397">
        <f t="shared" si="3"/>
        <v>0</v>
      </c>
      <c r="AE17" s="397">
        <f t="shared" si="4"/>
        <v>0</v>
      </c>
      <c r="AF17" s="448">
        <f t="shared" si="5"/>
        <v>0</v>
      </c>
      <c r="AG17" s="397">
        <f t="shared" si="6"/>
        <v>0</v>
      </c>
      <c r="AH17" s="397">
        <v>1</v>
      </c>
      <c r="AI17" s="397">
        <f t="shared" si="7"/>
        <v>15</v>
      </c>
      <c r="AK17" s="397">
        <f t="shared" si="8"/>
        <v>1</v>
      </c>
    </row>
    <row r="18" spans="1:37">
      <c r="A18" s="443">
        <v>46275.875</v>
      </c>
      <c r="C18" s="444" cm="1">
        <f t="array" ref="C18">A18+INDEX($V$3:V$93,$C$1)*INDEX($W$3:$W$93,$C$1)</f>
        <v>46275.875</v>
      </c>
      <c r="E18" s="444"/>
      <c r="P18" s="397">
        <v>16</v>
      </c>
      <c r="Q18" s="397" t="str">
        <f t="shared" si="0"/>
        <v>Eslovenia</v>
      </c>
      <c r="R18" s="397">
        <f t="shared" si="1"/>
        <v>2</v>
      </c>
      <c r="S18" s="448">
        <f t="shared" si="1"/>
        <v>8.3333333333333329E-2</v>
      </c>
      <c r="T18" s="397">
        <f t="shared" si="1"/>
        <v>0</v>
      </c>
      <c r="U18" s="397">
        <f t="shared" si="1"/>
        <v>0</v>
      </c>
      <c r="V18" s="448">
        <f t="shared" si="1"/>
        <v>0</v>
      </c>
      <c r="W18" s="397">
        <f t="shared" si="1"/>
        <v>0</v>
      </c>
      <c r="Z18" s="397">
        <v>16</v>
      </c>
      <c r="AA18" s="397" t="str">
        <f>Idiomas!D145</f>
        <v>Eslovenia</v>
      </c>
      <c r="AB18" s="397">
        <v>2</v>
      </c>
      <c r="AC18" s="448">
        <f t="shared" si="2"/>
        <v>8.3333333333333329E-2</v>
      </c>
      <c r="AD18" s="397">
        <f t="shared" si="3"/>
        <v>0</v>
      </c>
      <c r="AE18" s="397">
        <f t="shared" si="4"/>
        <v>0</v>
      </c>
      <c r="AF18" s="448">
        <f t="shared" si="5"/>
        <v>0</v>
      </c>
      <c r="AG18" s="397">
        <f t="shared" si="6"/>
        <v>0</v>
      </c>
      <c r="AH18" s="397">
        <v>1</v>
      </c>
      <c r="AI18" s="397">
        <f t="shared" si="7"/>
        <v>16</v>
      </c>
      <c r="AK18" s="397">
        <f t="shared" si="8"/>
        <v>1</v>
      </c>
    </row>
    <row r="19" spans="1:37" ht="17" thickBot="1">
      <c r="A19" s="449">
        <v>46275.875</v>
      </c>
      <c r="C19" s="444" cm="1">
        <f t="array" ref="C19">A19+INDEX($V$3:V$93,$C$1)*INDEX($W$3:$W$93,$C$1)</f>
        <v>46275.875</v>
      </c>
      <c r="E19" s="444"/>
      <c r="P19" s="397">
        <v>17</v>
      </c>
      <c r="Q19" s="397" t="str">
        <f t="shared" si="0"/>
        <v>España</v>
      </c>
      <c r="R19" s="397">
        <f t="shared" si="1"/>
        <v>2</v>
      </c>
      <c r="S19" s="448">
        <f t="shared" si="1"/>
        <v>8.3333333333333329E-2</v>
      </c>
      <c r="T19" s="397">
        <f t="shared" si="1"/>
        <v>0</v>
      </c>
      <c r="U19" s="397">
        <f t="shared" si="1"/>
        <v>0</v>
      </c>
      <c r="V19" s="448">
        <f t="shared" si="1"/>
        <v>0</v>
      </c>
      <c r="W19" s="397">
        <f t="shared" si="1"/>
        <v>0</v>
      </c>
      <c r="Z19" s="397">
        <v>17</v>
      </c>
      <c r="AA19" s="397" t="str">
        <f>Idiomas!D146</f>
        <v>España</v>
      </c>
      <c r="AB19" s="397">
        <v>2</v>
      </c>
      <c r="AC19" s="448">
        <f t="shared" si="2"/>
        <v>8.3333333333333329E-2</v>
      </c>
      <c r="AD19" s="397">
        <f t="shared" si="3"/>
        <v>0</v>
      </c>
      <c r="AE19" s="397">
        <f t="shared" si="4"/>
        <v>0</v>
      </c>
      <c r="AF19" s="448">
        <f t="shared" si="5"/>
        <v>0</v>
      </c>
      <c r="AG19" s="397">
        <f t="shared" si="6"/>
        <v>0</v>
      </c>
      <c r="AH19" s="397">
        <v>1</v>
      </c>
      <c r="AI19" s="397">
        <f t="shared" si="7"/>
        <v>17</v>
      </c>
      <c r="AK19" s="397">
        <f t="shared" si="8"/>
        <v>1</v>
      </c>
    </row>
    <row r="20" spans="1:37">
      <c r="A20" s="443">
        <v>46308.78125</v>
      </c>
      <c r="C20" s="444" cm="1">
        <f t="array" ref="C20">A20+INDEX($V$3:V$93,$C$1)*INDEX($W$3:$W$93,$C$1)</f>
        <v>46308.78125</v>
      </c>
      <c r="E20" s="444"/>
      <c r="P20" s="397">
        <v>18</v>
      </c>
      <c r="Q20" s="397" t="str">
        <f t="shared" si="0"/>
        <v>Estonia</v>
      </c>
      <c r="R20" s="397">
        <f t="shared" si="1"/>
        <v>3</v>
      </c>
      <c r="S20" s="448">
        <f t="shared" si="1"/>
        <v>0.125</v>
      </c>
      <c r="T20" s="397">
        <f t="shared" si="1"/>
        <v>0</v>
      </c>
      <c r="U20" s="397">
        <f t="shared" si="1"/>
        <v>1</v>
      </c>
      <c r="V20" s="448">
        <f t="shared" si="1"/>
        <v>4.1666666666666664E-2</v>
      </c>
      <c r="W20" s="397">
        <f t="shared" si="1"/>
        <v>1</v>
      </c>
      <c r="Z20" s="397">
        <v>18</v>
      </c>
      <c r="AA20" s="397" t="str">
        <f>Idiomas!D147</f>
        <v>Estonia</v>
      </c>
      <c r="AB20" s="397">
        <v>3</v>
      </c>
      <c r="AC20" s="448">
        <f t="shared" si="2"/>
        <v>0.125</v>
      </c>
      <c r="AD20" s="397">
        <f t="shared" si="3"/>
        <v>0</v>
      </c>
      <c r="AE20" s="397">
        <f t="shared" si="4"/>
        <v>1</v>
      </c>
      <c r="AF20" s="448">
        <f t="shared" si="5"/>
        <v>4.1666666666666664E-2</v>
      </c>
      <c r="AG20" s="397">
        <f t="shared" si="6"/>
        <v>1</v>
      </c>
      <c r="AH20" s="397">
        <v>2</v>
      </c>
      <c r="AI20" s="397">
        <f t="shared" si="7"/>
        <v>18</v>
      </c>
      <c r="AK20" s="397">
        <f t="shared" si="8"/>
        <v>1</v>
      </c>
    </row>
    <row r="21" spans="1:37">
      <c r="A21" s="443">
        <v>46308.78125</v>
      </c>
      <c r="C21" s="444" cm="1">
        <f t="array" ref="C21">A21+INDEX($V$3:V$93,$C$1)*INDEX($W$3:$W$93,$C$1)</f>
        <v>46308.78125</v>
      </c>
      <c r="E21" s="444"/>
      <c r="P21" s="397">
        <v>19</v>
      </c>
      <c r="Q21" s="397" t="str">
        <f t="shared" si="0"/>
        <v>Finlandia</v>
      </c>
      <c r="R21" s="397">
        <f t="shared" si="1"/>
        <v>3</v>
      </c>
      <c r="S21" s="448">
        <f t="shared" si="1"/>
        <v>0.125</v>
      </c>
      <c r="T21" s="397">
        <f t="shared" si="1"/>
        <v>0</v>
      </c>
      <c r="U21" s="397">
        <f t="shared" si="1"/>
        <v>1</v>
      </c>
      <c r="V21" s="448">
        <f t="shared" si="1"/>
        <v>4.1666666666666664E-2</v>
      </c>
      <c r="W21" s="397">
        <f t="shared" si="1"/>
        <v>1</v>
      </c>
      <c r="Z21" s="397">
        <v>19</v>
      </c>
      <c r="AA21" s="397" t="str">
        <f>Idiomas!D148</f>
        <v>Finlandia</v>
      </c>
      <c r="AB21" s="397">
        <v>3</v>
      </c>
      <c r="AC21" s="448">
        <f t="shared" si="2"/>
        <v>0.125</v>
      </c>
      <c r="AD21" s="397">
        <f t="shared" si="3"/>
        <v>0</v>
      </c>
      <c r="AE21" s="397">
        <f t="shared" si="4"/>
        <v>1</v>
      </c>
      <c r="AF21" s="448">
        <f t="shared" si="5"/>
        <v>4.1666666666666664E-2</v>
      </c>
      <c r="AG21" s="397">
        <f t="shared" si="6"/>
        <v>1</v>
      </c>
      <c r="AH21" s="397">
        <v>2</v>
      </c>
      <c r="AI21" s="397">
        <f t="shared" si="7"/>
        <v>19</v>
      </c>
      <c r="AK21" s="397">
        <f t="shared" si="8"/>
        <v>1</v>
      </c>
    </row>
    <row r="22" spans="1:37">
      <c r="A22" s="443">
        <v>46308.875</v>
      </c>
      <c r="C22" s="444" cm="1">
        <f t="array" ref="C22">A22+INDEX($V$3:V$93,$C$1)*INDEX($W$3:$W$93,$C$1)</f>
        <v>46308.875</v>
      </c>
      <c r="E22" s="444"/>
      <c r="P22" s="397">
        <v>20</v>
      </c>
      <c r="Q22" s="397" t="str">
        <f t="shared" si="0"/>
        <v>Francia</v>
      </c>
      <c r="R22" s="397">
        <f t="shared" si="1"/>
        <v>2</v>
      </c>
      <c r="S22" s="448">
        <f t="shared" si="1"/>
        <v>8.3333333333333329E-2</v>
      </c>
      <c r="T22" s="397">
        <f t="shared" si="1"/>
        <v>0</v>
      </c>
      <c r="U22" s="397">
        <f t="shared" si="1"/>
        <v>0</v>
      </c>
      <c r="V22" s="448">
        <f t="shared" si="1"/>
        <v>0</v>
      </c>
      <c r="W22" s="397">
        <f t="shared" si="1"/>
        <v>0</v>
      </c>
      <c r="Z22" s="397">
        <v>20</v>
      </c>
      <c r="AA22" s="397" t="str">
        <f>Idiomas!D149</f>
        <v>Francia</v>
      </c>
      <c r="AB22" s="397">
        <v>2</v>
      </c>
      <c r="AC22" s="448">
        <f t="shared" si="2"/>
        <v>8.3333333333333329E-2</v>
      </c>
      <c r="AD22" s="397">
        <f t="shared" si="3"/>
        <v>0</v>
      </c>
      <c r="AE22" s="397">
        <f t="shared" si="4"/>
        <v>0</v>
      </c>
      <c r="AF22" s="448">
        <f t="shared" si="5"/>
        <v>0</v>
      </c>
      <c r="AG22" s="397">
        <f t="shared" si="6"/>
        <v>0</v>
      </c>
      <c r="AH22" s="397">
        <v>1</v>
      </c>
      <c r="AI22" s="397">
        <f t="shared" si="7"/>
        <v>20</v>
      </c>
      <c r="AK22" s="397">
        <f t="shared" si="8"/>
        <v>1</v>
      </c>
    </row>
    <row r="23" spans="1:37">
      <c r="A23" s="443">
        <v>46308.875</v>
      </c>
      <c r="C23" s="444" cm="1">
        <f t="array" ref="C23">A23+INDEX($V$3:V$93,$C$1)*INDEX($W$3:$W$93,$C$1)</f>
        <v>46308.875</v>
      </c>
      <c r="E23" s="444"/>
      <c r="P23" s="397">
        <v>21</v>
      </c>
      <c r="Q23" s="397" t="str">
        <f t="shared" si="0"/>
        <v>Gales</v>
      </c>
      <c r="R23" s="397">
        <f t="shared" si="1"/>
        <v>1</v>
      </c>
      <c r="S23" s="448">
        <f t="shared" si="1"/>
        <v>4.1666666666666664E-2</v>
      </c>
      <c r="T23" s="397">
        <f t="shared" si="1"/>
        <v>0</v>
      </c>
      <c r="U23" s="397">
        <f t="shared" si="1"/>
        <v>-1</v>
      </c>
      <c r="V23" s="448">
        <f t="shared" si="1"/>
        <v>4.1666666666666664E-2</v>
      </c>
      <c r="W23" s="397">
        <f t="shared" si="1"/>
        <v>-1</v>
      </c>
      <c r="Z23" s="397">
        <v>21</v>
      </c>
      <c r="AA23" s="397" t="str">
        <f>Idiomas!D150</f>
        <v>Gales</v>
      </c>
      <c r="AB23" s="397">
        <v>1</v>
      </c>
      <c r="AC23" s="448">
        <f t="shared" si="2"/>
        <v>4.1666666666666664E-2</v>
      </c>
      <c r="AD23" s="397">
        <f t="shared" si="3"/>
        <v>0</v>
      </c>
      <c r="AE23" s="397">
        <f t="shared" si="4"/>
        <v>-1</v>
      </c>
      <c r="AF23" s="448">
        <f t="shared" si="5"/>
        <v>4.1666666666666664E-2</v>
      </c>
      <c r="AG23" s="397">
        <f t="shared" si="6"/>
        <v>-1</v>
      </c>
      <c r="AH23" s="397">
        <v>0</v>
      </c>
      <c r="AI23" s="397">
        <f t="shared" si="7"/>
        <v>21</v>
      </c>
      <c r="AK23" s="397">
        <f t="shared" si="8"/>
        <v>1</v>
      </c>
    </row>
    <row r="24" spans="1:37">
      <c r="A24" s="443">
        <v>46308.875</v>
      </c>
      <c r="C24" s="444" cm="1">
        <f t="array" ref="C24">A24+INDEX($V$3:V$93,$C$1)*INDEX($W$3:$W$93,$C$1)</f>
        <v>46308.875</v>
      </c>
      <c r="E24" s="444"/>
      <c r="P24" s="397">
        <v>22</v>
      </c>
      <c r="Q24" s="397" t="str">
        <f t="shared" si="0"/>
        <v>Georgia</v>
      </c>
      <c r="R24" s="397">
        <f t="shared" si="1"/>
        <v>4</v>
      </c>
      <c r="S24" s="448">
        <f t="shared" si="1"/>
        <v>0.16666666666666666</v>
      </c>
      <c r="T24" s="397">
        <f t="shared" si="1"/>
        <v>0</v>
      </c>
      <c r="U24" s="397">
        <f t="shared" si="1"/>
        <v>2</v>
      </c>
      <c r="V24" s="448">
        <f t="shared" si="1"/>
        <v>8.3333333333333329E-2</v>
      </c>
      <c r="W24" s="397">
        <f t="shared" si="1"/>
        <v>1</v>
      </c>
      <c r="Z24" s="397">
        <v>22</v>
      </c>
      <c r="AA24" s="397" t="str">
        <f>Idiomas!D151</f>
        <v>Georgia</v>
      </c>
      <c r="AB24" s="397">
        <v>4</v>
      </c>
      <c r="AC24" s="448">
        <f t="shared" si="2"/>
        <v>0.16666666666666666</v>
      </c>
      <c r="AD24" s="397">
        <f t="shared" si="3"/>
        <v>0</v>
      </c>
      <c r="AE24" s="397">
        <f t="shared" si="4"/>
        <v>2</v>
      </c>
      <c r="AF24" s="448">
        <f t="shared" si="5"/>
        <v>8.3333333333333329E-2</v>
      </c>
      <c r="AG24" s="397">
        <f t="shared" si="6"/>
        <v>1</v>
      </c>
      <c r="AH24" s="397">
        <v>4</v>
      </c>
      <c r="AI24" s="397">
        <f t="shared" si="7"/>
        <v>22</v>
      </c>
      <c r="AK24" s="397">
        <f t="shared" si="8"/>
        <v>0</v>
      </c>
    </row>
    <row r="25" spans="1:37">
      <c r="A25" s="443">
        <v>46308.875</v>
      </c>
      <c r="C25" s="444" cm="1">
        <f t="array" ref="C25">A25+INDEX($V$3:V$93,$C$1)*INDEX($W$3:$W$93,$C$1)</f>
        <v>46308.875</v>
      </c>
      <c r="E25" s="444"/>
      <c r="P25" s="397">
        <v>23</v>
      </c>
      <c r="Q25" s="397" t="str">
        <f t="shared" si="0"/>
        <v>Gibraltar</v>
      </c>
      <c r="R25" s="397">
        <f t="shared" si="1"/>
        <v>2</v>
      </c>
      <c r="S25" s="448">
        <f t="shared" si="1"/>
        <v>8.3333333333333329E-2</v>
      </c>
      <c r="T25" s="397">
        <f t="shared" si="1"/>
        <v>0</v>
      </c>
      <c r="U25" s="397">
        <f t="shared" si="1"/>
        <v>0</v>
      </c>
      <c r="V25" s="448">
        <f t="shared" si="1"/>
        <v>0</v>
      </c>
      <c r="W25" s="397">
        <f t="shared" si="1"/>
        <v>0</v>
      </c>
      <c r="Z25" s="397">
        <v>23</v>
      </c>
      <c r="AA25" s="397" t="str">
        <f>Idiomas!D152</f>
        <v>Gibraltar</v>
      </c>
      <c r="AB25" s="397">
        <v>2</v>
      </c>
      <c r="AC25" s="448">
        <f t="shared" si="2"/>
        <v>8.3333333333333329E-2</v>
      </c>
      <c r="AD25" s="397">
        <f t="shared" si="3"/>
        <v>0</v>
      </c>
      <c r="AE25" s="397">
        <f t="shared" si="4"/>
        <v>0</v>
      </c>
      <c r="AF25" s="448">
        <f t="shared" si="5"/>
        <v>0</v>
      </c>
      <c r="AG25" s="397">
        <f t="shared" si="6"/>
        <v>0</v>
      </c>
      <c r="AH25" s="397">
        <v>1</v>
      </c>
      <c r="AI25" s="397">
        <f t="shared" si="7"/>
        <v>23</v>
      </c>
      <c r="AK25" s="397">
        <f t="shared" si="8"/>
        <v>1</v>
      </c>
    </row>
    <row r="26" spans="1:37">
      <c r="A26" s="443">
        <v>46308.875</v>
      </c>
      <c r="C26" s="444" cm="1">
        <f t="array" ref="C26">A26+INDEX($V$3:V$93,$C$1)*INDEX($W$3:$W$93,$C$1)</f>
        <v>46308.875</v>
      </c>
      <c r="E26" s="444"/>
      <c r="P26" s="397">
        <v>24</v>
      </c>
      <c r="Q26" s="397" t="str">
        <f t="shared" si="0"/>
        <v>Grecia</v>
      </c>
      <c r="R26" s="397">
        <f t="shared" si="1"/>
        <v>3</v>
      </c>
      <c r="S26" s="448">
        <f t="shared" si="1"/>
        <v>0.125</v>
      </c>
      <c r="T26" s="397">
        <f t="shared" si="1"/>
        <v>0</v>
      </c>
      <c r="U26" s="397">
        <f t="shared" si="1"/>
        <v>1</v>
      </c>
      <c r="V26" s="448">
        <f t="shared" si="1"/>
        <v>4.1666666666666664E-2</v>
      </c>
      <c r="W26" s="397">
        <f t="shared" si="1"/>
        <v>1</v>
      </c>
      <c r="Z26" s="397">
        <v>24</v>
      </c>
      <c r="AA26" s="397" t="str">
        <f>Idiomas!D153</f>
        <v>Grecia</v>
      </c>
      <c r="AB26" s="397">
        <v>3</v>
      </c>
      <c r="AC26" s="448">
        <f t="shared" si="2"/>
        <v>0.125</v>
      </c>
      <c r="AD26" s="397">
        <f t="shared" si="3"/>
        <v>0</v>
      </c>
      <c r="AE26" s="397">
        <f t="shared" si="4"/>
        <v>1</v>
      </c>
      <c r="AF26" s="448">
        <f t="shared" si="5"/>
        <v>4.1666666666666664E-2</v>
      </c>
      <c r="AG26" s="397">
        <f t="shared" si="6"/>
        <v>1</v>
      </c>
      <c r="AH26" s="397">
        <v>2</v>
      </c>
      <c r="AI26" s="397">
        <f t="shared" si="7"/>
        <v>24</v>
      </c>
      <c r="AK26" s="397">
        <f t="shared" si="8"/>
        <v>1</v>
      </c>
    </row>
    <row r="27" spans="1:37">
      <c r="A27" s="443">
        <v>46308.875</v>
      </c>
      <c r="C27" s="444" cm="1">
        <f t="array" ref="C27">A27+INDEX($V$3:V$93,$C$1)*INDEX($W$3:$W$93,$C$1)</f>
        <v>46308.875</v>
      </c>
      <c r="E27" s="444"/>
      <c r="P27" s="397">
        <v>25</v>
      </c>
      <c r="Q27" s="397" t="str">
        <f t="shared" si="0"/>
        <v>Hungría</v>
      </c>
      <c r="R27" s="397">
        <f t="shared" si="1"/>
        <v>2</v>
      </c>
      <c r="S27" s="448">
        <f t="shared" si="1"/>
        <v>8.3333333333333329E-2</v>
      </c>
      <c r="T27" s="397">
        <f t="shared" si="1"/>
        <v>0</v>
      </c>
      <c r="U27" s="397">
        <f t="shared" si="1"/>
        <v>0</v>
      </c>
      <c r="V27" s="448">
        <f t="shared" si="1"/>
        <v>0</v>
      </c>
      <c r="W27" s="397">
        <f t="shared" si="1"/>
        <v>0</v>
      </c>
      <c r="Z27" s="397">
        <v>25</v>
      </c>
      <c r="AA27" s="397" t="str">
        <f>Idiomas!D154</f>
        <v>Hungría</v>
      </c>
      <c r="AB27" s="397">
        <v>2</v>
      </c>
      <c r="AC27" s="448">
        <f t="shared" si="2"/>
        <v>8.3333333333333329E-2</v>
      </c>
      <c r="AD27" s="397">
        <f t="shared" si="3"/>
        <v>0</v>
      </c>
      <c r="AE27" s="397">
        <f t="shared" si="4"/>
        <v>0</v>
      </c>
      <c r="AF27" s="448">
        <f t="shared" si="5"/>
        <v>0</v>
      </c>
      <c r="AG27" s="397">
        <f t="shared" si="6"/>
        <v>0</v>
      </c>
      <c r="AH27" s="397">
        <v>1</v>
      </c>
      <c r="AI27" s="397">
        <f t="shared" si="7"/>
        <v>25</v>
      </c>
      <c r="AK27" s="397">
        <f t="shared" si="8"/>
        <v>1</v>
      </c>
    </row>
    <row r="28" spans="1:37">
      <c r="A28" s="443">
        <v>46308.875</v>
      </c>
      <c r="C28" s="444" cm="1">
        <f t="array" ref="C28">A28+INDEX($V$3:V$93,$C$1)*INDEX($W$3:$W$93,$C$1)</f>
        <v>46308.875</v>
      </c>
      <c r="E28" s="444"/>
      <c r="P28" s="397">
        <v>26</v>
      </c>
      <c r="Q28" s="397" t="str">
        <f t="shared" si="0"/>
        <v>Inglaterra</v>
      </c>
      <c r="R28" s="397">
        <f t="shared" si="1"/>
        <v>1</v>
      </c>
      <c r="S28" s="448">
        <f t="shared" si="1"/>
        <v>4.1666666666666664E-2</v>
      </c>
      <c r="T28" s="397">
        <f t="shared" si="1"/>
        <v>0</v>
      </c>
      <c r="U28" s="397">
        <f t="shared" si="1"/>
        <v>-1</v>
      </c>
      <c r="V28" s="448">
        <f t="shared" si="1"/>
        <v>4.1666666666666664E-2</v>
      </c>
      <c r="W28" s="397">
        <f t="shared" si="1"/>
        <v>-1</v>
      </c>
      <c r="Z28" s="397">
        <v>26</v>
      </c>
      <c r="AA28" s="397" t="str">
        <f>Idiomas!D155</f>
        <v>Inglaterra</v>
      </c>
      <c r="AB28" s="397">
        <v>1</v>
      </c>
      <c r="AC28" s="448">
        <f t="shared" si="2"/>
        <v>4.1666666666666664E-2</v>
      </c>
      <c r="AD28" s="397">
        <f t="shared" si="3"/>
        <v>0</v>
      </c>
      <c r="AE28" s="397">
        <f t="shared" si="4"/>
        <v>-1</v>
      </c>
      <c r="AF28" s="448">
        <f t="shared" si="5"/>
        <v>4.1666666666666664E-2</v>
      </c>
      <c r="AG28" s="397">
        <f t="shared" si="6"/>
        <v>-1</v>
      </c>
      <c r="AH28" s="397">
        <v>0</v>
      </c>
      <c r="AI28" s="397">
        <f t="shared" si="7"/>
        <v>26</v>
      </c>
      <c r="AK28" s="397">
        <f t="shared" si="8"/>
        <v>1</v>
      </c>
    </row>
    <row r="29" spans="1:37">
      <c r="A29" s="443">
        <v>46309.78125</v>
      </c>
      <c r="C29" s="444" cm="1">
        <f t="array" ref="C29">A29+INDEX($V$3:V$93,$C$1)*INDEX($W$3:$W$93,$C$1)</f>
        <v>46309.78125</v>
      </c>
      <c r="E29" s="444"/>
      <c r="P29" s="397">
        <v>27</v>
      </c>
      <c r="Q29" s="397" t="str">
        <f t="shared" si="0"/>
        <v>Irlanda</v>
      </c>
      <c r="R29" s="397">
        <f t="shared" si="1"/>
        <v>1</v>
      </c>
      <c r="S29" s="448">
        <f t="shared" si="1"/>
        <v>4.1666666666666664E-2</v>
      </c>
      <c r="T29" s="397">
        <f t="shared" si="1"/>
        <v>0</v>
      </c>
      <c r="U29" s="397">
        <f t="shared" si="1"/>
        <v>-1</v>
      </c>
      <c r="V29" s="448">
        <f t="shared" si="1"/>
        <v>4.1666666666666664E-2</v>
      </c>
      <c r="W29" s="397">
        <f t="shared" si="1"/>
        <v>-1</v>
      </c>
      <c r="Z29" s="397">
        <v>27</v>
      </c>
      <c r="AA29" s="397" t="str">
        <f>Idiomas!D156</f>
        <v>Irlanda</v>
      </c>
      <c r="AB29" s="397">
        <v>1</v>
      </c>
      <c r="AC29" s="448">
        <f t="shared" si="2"/>
        <v>4.1666666666666664E-2</v>
      </c>
      <c r="AD29" s="397">
        <f t="shared" si="3"/>
        <v>0</v>
      </c>
      <c r="AE29" s="397">
        <f t="shared" si="4"/>
        <v>-1</v>
      </c>
      <c r="AF29" s="448">
        <f t="shared" si="5"/>
        <v>4.1666666666666664E-2</v>
      </c>
      <c r="AG29" s="397">
        <f t="shared" si="6"/>
        <v>-1</v>
      </c>
      <c r="AH29" s="397">
        <v>0</v>
      </c>
      <c r="AI29" s="397">
        <f t="shared" si="7"/>
        <v>27</v>
      </c>
      <c r="AK29" s="397">
        <f t="shared" si="8"/>
        <v>1</v>
      </c>
    </row>
    <row r="30" spans="1:37">
      <c r="A30" s="443">
        <v>46309.78125</v>
      </c>
      <c r="C30" s="444" cm="1">
        <f t="array" ref="C30">A30+INDEX($V$3:V$93,$C$1)*INDEX($W$3:$W$93,$C$1)</f>
        <v>46309.78125</v>
      </c>
      <c r="E30" s="444"/>
      <c r="P30" s="397">
        <v>28</v>
      </c>
      <c r="Q30" s="397" t="str">
        <f t="shared" si="0"/>
        <v>Irlanda del Norte</v>
      </c>
      <c r="R30" s="397">
        <f t="shared" si="1"/>
        <v>1</v>
      </c>
      <c r="S30" s="448">
        <f t="shared" si="1"/>
        <v>4.1666666666666664E-2</v>
      </c>
      <c r="T30" s="397">
        <f t="shared" si="1"/>
        <v>0</v>
      </c>
      <c r="U30" s="397">
        <f t="shared" si="1"/>
        <v>-1</v>
      </c>
      <c r="V30" s="448">
        <f t="shared" si="1"/>
        <v>4.1666666666666664E-2</v>
      </c>
      <c r="W30" s="397">
        <f t="shared" si="1"/>
        <v>-1</v>
      </c>
      <c r="Z30" s="397">
        <v>28</v>
      </c>
      <c r="AA30" s="397" t="str">
        <f>Idiomas!D157</f>
        <v>Irlanda del Norte</v>
      </c>
      <c r="AB30" s="397">
        <v>1</v>
      </c>
      <c r="AC30" s="448">
        <f t="shared" si="2"/>
        <v>4.1666666666666664E-2</v>
      </c>
      <c r="AD30" s="397">
        <f t="shared" si="3"/>
        <v>0</v>
      </c>
      <c r="AE30" s="397">
        <f t="shared" si="4"/>
        <v>-1</v>
      </c>
      <c r="AF30" s="448">
        <f t="shared" si="5"/>
        <v>4.1666666666666664E-2</v>
      </c>
      <c r="AG30" s="397">
        <f t="shared" si="6"/>
        <v>-1</v>
      </c>
      <c r="AH30" s="397">
        <v>0</v>
      </c>
      <c r="AI30" s="397">
        <f t="shared" si="7"/>
        <v>28</v>
      </c>
      <c r="AK30" s="397">
        <f t="shared" si="8"/>
        <v>1</v>
      </c>
    </row>
    <row r="31" spans="1:37">
      <c r="A31" s="443">
        <v>46309.875</v>
      </c>
      <c r="C31" s="444" cm="1">
        <f t="array" ref="C31">A31+INDEX($V$3:V$93,$C$1)*INDEX($W$3:$W$93,$C$1)</f>
        <v>46309.875</v>
      </c>
      <c r="E31" s="444"/>
      <c r="P31" s="397">
        <v>29</v>
      </c>
      <c r="Q31" s="397" t="str">
        <f t="shared" si="0"/>
        <v>Islandia</v>
      </c>
      <c r="R31" s="397">
        <f t="shared" si="1"/>
        <v>0</v>
      </c>
      <c r="S31" s="448">
        <f t="shared" si="1"/>
        <v>0</v>
      </c>
      <c r="T31" s="397">
        <f t="shared" si="1"/>
        <v>0</v>
      </c>
      <c r="U31" s="397">
        <f t="shared" si="1"/>
        <v>-2</v>
      </c>
      <c r="V31" s="448">
        <f t="shared" si="1"/>
        <v>8.3333333333333329E-2</v>
      </c>
      <c r="W31" s="397">
        <f t="shared" si="1"/>
        <v>-1</v>
      </c>
      <c r="Z31" s="397">
        <v>29</v>
      </c>
      <c r="AA31" s="397" t="str">
        <f>Idiomas!D158</f>
        <v>Islandia</v>
      </c>
      <c r="AB31" s="397">
        <v>0</v>
      </c>
      <c r="AC31" s="448">
        <f t="shared" si="2"/>
        <v>0</v>
      </c>
      <c r="AD31" s="397">
        <f t="shared" si="3"/>
        <v>0</v>
      </c>
      <c r="AE31" s="397">
        <f t="shared" si="4"/>
        <v>-2</v>
      </c>
      <c r="AF31" s="448">
        <f t="shared" si="5"/>
        <v>8.3333333333333329E-2</v>
      </c>
      <c r="AG31" s="397">
        <f t="shared" si="6"/>
        <v>-1</v>
      </c>
      <c r="AH31" s="397">
        <v>0</v>
      </c>
      <c r="AI31" s="397">
        <f t="shared" si="7"/>
        <v>29</v>
      </c>
      <c r="AK31" s="397">
        <f t="shared" si="8"/>
        <v>0</v>
      </c>
    </row>
    <row r="32" spans="1:37">
      <c r="A32" s="443">
        <v>46309.875</v>
      </c>
      <c r="C32" s="444" cm="1">
        <f t="array" ref="C32">A32+INDEX($V$3:V$93,$C$1)*INDEX($W$3:$W$93,$C$1)</f>
        <v>46309.875</v>
      </c>
      <c r="E32" s="444"/>
      <c r="P32" s="397">
        <v>30</v>
      </c>
      <c r="Q32" s="397" t="str">
        <f t="shared" si="0"/>
        <v>Islas Feroe</v>
      </c>
      <c r="R32" s="397">
        <f t="shared" si="1"/>
        <v>1</v>
      </c>
      <c r="S32" s="448">
        <f t="shared" si="1"/>
        <v>4.1666666666666664E-2</v>
      </c>
      <c r="T32" s="397">
        <f t="shared" si="1"/>
        <v>0</v>
      </c>
      <c r="U32" s="397">
        <f t="shared" si="1"/>
        <v>-1</v>
      </c>
      <c r="V32" s="448">
        <f t="shared" si="1"/>
        <v>4.1666666666666664E-2</v>
      </c>
      <c r="W32" s="397">
        <f t="shared" si="1"/>
        <v>-1</v>
      </c>
      <c r="Z32" s="397">
        <v>30</v>
      </c>
      <c r="AA32" s="397" t="str">
        <f>Idiomas!D159</f>
        <v>Islas Feroe</v>
      </c>
      <c r="AB32" s="397">
        <v>1</v>
      </c>
      <c r="AC32" s="448">
        <f t="shared" si="2"/>
        <v>4.1666666666666664E-2</v>
      </c>
      <c r="AD32" s="397">
        <f t="shared" si="3"/>
        <v>0</v>
      </c>
      <c r="AE32" s="397">
        <f t="shared" si="4"/>
        <v>-1</v>
      </c>
      <c r="AF32" s="448">
        <f t="shared" si="5"/>
        <v>4.1666666666666664E-2</v>
      </c>
      <c r="AG32" s="397">
        <f t="shared" si="6"/>
        <v>-1</v>
      </c>
      <c r="AH32" s="397">
        <v>0</v>
      </c>
      <c r="AI32" s="397">
        <f t="shared" si="7"/>
        <v>30</v>
      </c>
      <c r="AK32" s="397">
        <f t="shared" si="8"/>
        <v>1</v>
      </c>
    </row>
    <row r="33" spans="1:37">
      <c r="A33" s="443">
        <v>46309.875</v>
      </c>
      <c r="C33" s="444" cm="1">
        <f t="array" ref="C33">A33+INDEX($V$3:V$93,$C$1)*INDEX($W$3:$W$93,$C$1)</f>
        <v>46309.875</v>
      </c>
      <c r="E33" s="444"/>
      <c r="P33" s="397">
        <v>31</v>
      </c>
      <c r="Q33" s="397" t="str">
        <f t="shared" si="0"/>
        <v>Israel</v>
      </c>
      <c r="R33" s="397">
        <f t="shared" si="1"/>
        <v>3</v>
      </c>
      <c r="S33" s="448">
        <f t="shared" si="1"/>
        <v>0.125</v>
      </c>
      <c r="T33" s="397">
        <f t="shared" si="1"/>
        <v>0</v>
      </c>
      <c r="U33" s="397">
        <f t="shared" si="1"/>
        <v>1</v>
      </c>
      <c r="V33" s="448">
        <f t="shared" si="1"/>
        <v>4.1666666666666664E-2</v>
      </c>
      <c r="W33" s="397">
        <f t="shared" si="1"/>
        <v>1</v>
      </c>
      <c r="Z33" s="397">
        <v>31</v>
      </c>
      <c r="AA33" s="397" t="str">
        <f>Idiomas!D160</f>
        <v>Israel</v>
      </c>
      <c r="AB33" s="397">
        <v>3</v>
      </c>
      <c r="AC33" s="448">
        <f t="shared" si="2"/>
        <v>0.125</v>
      </c>
      <c r="AD33" s="397">
        <f t="shared" si="3"/>
        <v>0</v>
      </c>
      <c r="AE33" s="397">
        <f t="shared" si="4"/>
        <v>1</v>
      </c>
      <c r="AF33" s="448">
        <f t="shared" si="5"/>
        <v>4.1666666666666664E-2</v>
      </c>
      <c r="AG33" s="397">
        <f t="shared" si="6"/>
        <v>1</v>
      </c>
      <c r="AH33" s="397">
        <v>3</v>
      </c>
      <c r="AI33" s="397">
        <f t="shared" si="7"/>
        <v>31</v>
      </c>
      <c r="AK33" s="397">
        <f t="shared" si="8"/>
        <v>0</v>
      </c>
    </row>
    <row r="34" spans="1:37">
      <c r="A34" s="443">
        <v>46309.875</v>
      </c>
      <c r="C34" s="444" cm="1">
        <f t="array" ref="C34">A34+INDEX($V$3:V$93,$C$1)*INDEX($W$3:$W$93,$C$1)</f>
        <v>46309.875</v>
      </c>
      <c r="E34" s="444"/>
      <c r="P34" s="397">
        <v>32</v>
      </c>
      <c r="Q34" s="397" t="str">
        <f t="shared" si="0"/>
        <v>Italia</v>
      </c>
      <c r="R34" s="397">
        <f t="shared" si="1"/>
        <v>2</v>
      </c>
      <c r="S34" s="448">
        <f t="shared" si="1"/>
        <v>8.3333333333333329E-2</v>
      </c>
      <c r="T34" s="397">
        <f t="shared" si="1"/>
        <v>0</v>
      </c>
      <c r="U34" s="397">
        <f t="shared" si="1"/>
        <v>0</v>
      </c>
      <c r="V34" s="448">
        <f t="shared" si="1"/>
        <v>0</v>
      </c>
      <c r="W34" s="397">
        <f t="shared" si="1"/>
        <v>0</v>
      </c>
      <c r="Z34" s="397">
        <v>32</v>
      </c>
      <c r="AA34" s="397" t="str">
        <f>Idiomas!D161</f>
        <v>Italia</v>
      </c>
      <c r="AB34" s="397">
        <v>2</v>
      </c>
      <c r="AC34" s="448">
        <f t="shared" si="2"/>
        <v>8.3333333333333329E-2</v>
      </c>
      <c r="AD34" s="397">
        <f t="shared" si="3"/>
        <v>0</v>
      </c>
      <c r="AE34" s="397">
        <f t="shared" si="4"/>
        <v>0</v>
      </c>
      <c r="AF34" s="448">
        <f t="shared" si="5"/>
        <v>0</v>
      </c>
      <c r="AG34" s="397">
        <f t="shared" si="6"/>
        <v>0</v>
      </c>
      <c r="AH34" s="397">
        <v>1</v>
      </c>
      <c r="AI34" s="397">
        <f t="shared" si="7"/>
        <v>32</v>
      </c>
      <c r="AK34" s="397">
        <f t="shared" si="8"/>
        <v>1</v>
      </c>
    </row>
    <row r="35" spans="1:37">
      <c r="A35" s="443">
        <v>46309.875</v>
      </c>
      <c r="C35" s="444" cm="1">
        <f t="array" ref="C35">A35+INDEX($V$3:V$93,$C$1)*INDEX($W$3:$W$93,$C$1)</f>
        <v>46309.875</v>
      </c>
      <c r="E35" s="444"/>
      <c r="P35" s="397">
        <v>33</v>
      </c>
      <c r="Q35" s="397" t="str">
        <f t="shared" si="0"/>
        <v>Kazajistán</v>
      </c>
      <c r="R35" s="397">
        <f t="shared" ref="R35:W66" si="9">INDEX(AB$3:AB$93,MATCH($Q35,$AA$3:$AA$93,0))</f>
        <v>6</v>
      </c>
      <c r="S35" s="448">
        <f t="shared" si="9"/>
        <v>0.25</v>
      </c>
      <c r="T35" s="397">
        <f t="shared" si="9"/>
        <v>0</v>
      </c>
      <c r="U35" s="397">
        <f t="shared" si="9"/>
        <v>4</v>
      </c>
      <c r="V35" s="448">
        <f t="shared" si="9"/>
        <v>0.16666666666666666</v>
      </c>
      <c r="W35" s="397">
        <f t="shared" si="9"/>
        <v>1</v>
      </c>
      <c r="Z35" s="397">
        <v>33</v>
      </c>
      <c r="AA35" s="397" t="str">
        <f>Idiomas!D162</f>
        <v>Kazajistán</v>
      </c>
      <c r="AB35" s="397">
        <v>6</v>
      </c>
      <c r="AC35" s="448">
        <f t="shared" si="2"/>
        <v>0.25</v>
      </c>
      <c r="AD35" s="397">
        <f t="shared" si="3"/>
        <v>0</v>
      </c>
      <c r="AE35" s="397">
        <f t="shared" si="4"/>
        <v>4</v>
      </c>
      <c r="AF35" s="448">
        <f t="shared" si="5"/>
        <v>0.16666666666666666</v>
      </c>
      <c r="AG35" s="397">
        <f t="shared" si="6"/>
        <v>1</v>
      </c>
      <c r="AH35" s="397">
        <v>6</v>
      </c>
      <c r="AI35" s="397">
        <f t="shared" si="7"/>
        <v>33</v>
      </c>
      <c r="AK35" s="397">
        <f t="shared" si="8"/>
        <v>0</v>
      </c>
    </row>
    <row r="36" spans="1:37">
      <c r="A36" s="443">
        <v>46309.875</v>
      </c>
      <c r="C36" s="444" cm="1">
        <f t="array" ref="C36">A36+INDEX($V$3:V$93,$C$1)*INDEX($W$3:$W$93,$C$1)</f>
        <v>46309.875</v>
      </c>
      <c r="E36" s="444"/>
      <c r="P36" s="397">
        <v>34</v>
      </c>
      <c r="Q36" s="397" t="str">
        <f t="shared" si="0"/>
        <v>Kosovo</v>
      </c>
      <c r="R36" s="397">
        <f t="shared" si="9"/>
        <v>2</v>
      </c>
      <c r="S36" s="448">
        <f t="shared" si="9"/>
        <v>8.3333333333333329E-2</v>
      </c>
      <c r="T36" s="397">
        <f t="shared" si="9"/>
        <v>0</v>
      </c>
      <c r="U36" s="397">
        <f t="shared" si="9"/>
        <v>0</v>
      </c>
      <c r="V36" s="448">
        <f t="shared" si="9"/>
        <v>0</v>
      </c>
      <c r="W36" s="397">
        <f t="shared" si="9"/>
        <v>0</v>
      </c>
      <c r="Z36" s="397">
        <v>34</v>
      </c>
      <c r="AA36" s="397" t="str">
        <f>Idiomas!D163</f>
        <v>Kosovo</v>
      </c>
      <c r="AB36" s="397">
        <v>2</v>
      </c>
      <c r="AC36" s="448">
        <f t="shared" si="2"/>
        <v>8.3333333333333329E-2</v>
      </c>
      <c r="AD36" s="397">
        <f t="shared" si="3"/>
        <v>0</v>
      </c>
      <c r="AE36" s="397">
        <f t="shared" si="4"/>
        <v>0</v>
      </c>
      <c r="AF36" s="448">
        <f t="shared" si="5"/>
        <v>0</v>
      </c>
      <c r="AG36" s="397">
        <f t="shared" si="6"/>
        <v>0</v>
      </c>
      <c r="AH36" s="397">
        <v>1</v>
      </c>
      <c r="AI36" s="397">
        <f t="shared" si="7"/>
        <v>34</v>
      </c>
      <c r="AK36" s="397">
        <f t="shared" si="8"/>
        <v>1</v>
      </c>
    </row>
    <row r="37" spans="1:37" ht="17" thickBot="1">
      <c r="A37" s="449">
        <v>46309.875</v>
      </c>
      <c r="C37" s="444" cm="1">
        <f t="array" ref="C37">A37+INDEX($V$3:V$93,$C$1)*INDEX($W$3:$W$93,$C$1)</f>
        <v>46309.875</v>
      </c>
      <c r="E37" s="444"/>
      <c r="P37" s="397">
        <v>35</v>
      </c>
      <c r="Q37" s="397" t="str">
        <f t="shared" si="0"/>
        <v>Letonia</v>
      </c>
      <c r="R37" s="397">
        <f t="shared" si="9"/>
        <v>3</v>
      </c>
      <c r="S37" s="448">
        <f t="shared" si="9"/>
        <v>0.125</v>
      </c>
      <c r="T37" s="397">
        <f t="shared" si="9"/>
        <v>0</v>
      </c>
      <c r="U37" s="397">
        <f t="shared" si="9"/>
        <v>1</v>
      </c>
      <c r="V37" s="448">
        <f t="shared" si="9"/>
        <v>4.1666666666666664E-2</v>
      </c>
      <c r="W37" s="397">
        <f t="shared" si="9"/>
        <v>1</v>
      </c>
      <c r="Z37" s="397">
        <v>35</v>
      </c>
      <c r="AA37" s="397" t="str">
        <f>Idiomas!D164</f>
        <v>Letonia</v>
      </c>
      <c r="AB37" s="397">
        <v>3</v>
      </c>
      <c r="AC37" s="448">
        <f t="shared" si="2"/>
        <v>0.125</v>
      </c>
      <c r="AD37" s="397">
        <f t="shared" si="3"/>
        <v>0</v>
      </c>
      <c r="AE37" s="397">
        <f t="shared" si="4"/>
        <v>1</v>
      </c>
      <c r="AF37" s="448">
        <f t="shared" si="5"/>
        <v>4.1666666666666664E-2</v>
      </c>
      <c r="AG37" s="397">
        <f t="shared" si="6"/>
        <v>1</v>
      </c>
      <c r="AH37" s="397">
        <v>2</v>
      </c>
      <c r="AI37" s="397">
        <f t="shared" si="7"/>
        <v>35</v>
      </c>
      <c r="AK37" s="397">
        <f t="shared" si="8"/>
        <v>1</v>
      </c>
    </row>
    <row r="38" spans="1:37">
      <c r="A38" s="443">
        <v>46315.78125</v>
      </c>
      <c r="C38" s="444" cm="1">
        <f t="array" ref="C38">A38+INDEX($V$3:V$93,$C$1)*INDEX($W$3:$W$93,$C$1)</f>
        <v>46315.78125</v>
      </c>
      <c r="E38" s="444"/>
      <c r="P38" s="397">
        <v>36</v>
      </c>
      <c r="Q38" s="397" t="str">
        <f t="shared" si="0"/>
        <v>Liechtenstein</v>
      </c>
      <c r="R38" s="397">
        <f t="shared" si="9"/>
        <v>2</v>
      </c>
      <c r="S38" s="448">
        <f t="shared" si="9"/>
        <v>8.3333333333333329E-2</v>
      </c>
      <c r="T38" s="397">
        <f t="shared" si="9"/>
        <v>0</v>
      </c>
      <c r="U38" s="397">
        <f t="shared" si="9"/>
        <v>0</v>
      </c>
      <c r="V38" s="448">
        <f t="shared" si="9"/>
        <v>0</v>
      </c>
      <c r="W38" s="397">
        <f t="shared" si="9"/>
        <v>0</v>
      </c>
      <c r="Z38" s="397">
        <v>36</v>
      </c>
      <c r="AA38" s="397" t="str">
        <f>Idiomas!D165</f>
        <v>Liechtenstein</v>
      </c>
      <c r="AB38" s="397">
        <v>2</v>
      </c>
      <c r="AC38" s="448">
        <f t="shared" si="2"/>
        <v>8.3333333333333329E-2</v>
      </c>
      <c r="AD38" s="397">
        <f t="shared" si="3"/>
        <v>0</v>
      </c>
      <c r="AE38" s="397">
        <f t="shared" si="4"/>
        <v>0</v>
      </c>
      <c r="AF38" s="448">
        <f t="shared" si="5"/>
        <v>0</v>
      </c>
      <c r="AG38" s="397">
        <f t="shared" si="6"/>
        <v>0</v>
      </c>
      <c r="AH38" s="397">
        <v>1</v>
      </c>
      <c r="AI38" s="397">
        <f t="shared" si="7"/>
        <v>36</v>
      </c>
      <c r="AK38" s="397">
        <f t="shared" si="8"/>
        <v>1</v>
      </c>
    </row>
    <row r="39" spans="1:37">
      <c r="A39" s="443">
        <v>46315.78125</v>
      </c>
      <c r="C39" s="444" cm="1">
        <f t="array" ref="C39">A39+INDEX($V$3:V$93,$C$1)*INDEX($W$3:$W$93,$C$1)</f>
        <v>46315.78125</v>
      </c>
      <c r="E39" s="444"/>
      <c r="P39" s="397">
        <v>37</v>
      </c>
      <c r="Q39" s="397" t="str">
        <f t="shared" si="0"/>
        <v>Lituania</v>
      </c>
      <c r="R39" s="397">
        <f t="shared" si="9"/>
        <v>3</v>
      </c>
      <c r="S39" s="448">
        <f t="shared" si="9"/>
        <v>0.125</v>
      </c>
      <c r="T39" s="397">
        <f t="shared" si="9"/>
        <v>0</v>
      </c>
      <c r="U39" s="397">
        <f t="shared" si="9"/>
        <v>1</v>
      </c>
      <c r="V39" s="448">
        <f t="shared" si="9"/>
        <v>4.1666666666666664E-2</v>
      </c>
      <c r="W39" s="397">
        <f t="shared" si="9"/>
        <v>1</v>
      </c>
      <c r="Z39" s="397">
        <v>37</v>
      </c>
      <c r="AA39" s="397" t="str">
        <f>Idiomas!D166</f>
        <v>Lituania</v>
      </c>
      <c r="AB39" s="397">
        <v>3</v>
      </c>
      <c r="AC39" s="448">
        <f t="shared" si="2"/>
        <v>0.125</v>
      </c>
      <c r="AD39" s="397">
        <f t="shared" si="3"/>
        <v>0</v>
      </c>
      <c r="AE39" s="397">
        <f t="shared" si="4"/>
        <v>1</v>
      </c>
      <c r="AF39" s="448">
        <f t="shared" si="5"/>
        <v>4.1666666666666664E-2</v>
      </c>
      <c r="AG39" s="397">
        <f t="shared" si="6"/>
        <v>1</v>
      </c>
      <c r="AH39" s="397">
        <v>2</v>
      </c>
      <c r="AI39" s="397">
        <f t="shared" si="7"/>
        <v>37</v>
      </c>
      <c r="AK39" s="397">
        <f t="shared" si="8"/>
        <v>1</v>
      </c>
    </row>
    <row r="40" spans="1:37">
      <c r="A40" s="443">
        <v>46315.875</v>
      </c>
      <c r="C40" s="444" cm="1">
        <f t="array" ref="C40">A40+INDEX($V$3:V$93,$C$1)*INDEX($W$3:$W$93,$C$1)</f>
        <v>46315.875</v>
      </c>
      <c r="E40" s="444"/>
      <c r="P40" s="397">
        <v>38</v>
      </c>
      <c r="Q40" s="397" t="str">
        <f t="shared" si="0"/>
        <v>Luxemburgo</v>
      </c>
      <c r="R40" s="397">
        <f t="shared" si="9"/>
        <v>2</v>
      </c>
      <c r="S40" s="448">
        <f t="shared" si="9"/>
        <v>8.3333333333333329E-2</v>
      </c>
      <c r="T40" s="397">
        <f t="shared" si="9"/>
        <v>0</v>
      </c>
      <c r="U40" s="397">
        <f t="shared" si="9"/>
        <v>0</v>
      </c>
      <c r="V40" s="448">
        <f t="shared" si="9"/>
        <v>0</v>
      </c>
      <c r="W40" s="397">
        <f t="shared" si="9"/>
        <v>0</v>
      </c>
      <c r="Z40" s="397">
        <v>38</v>
      </c>
      <c r="AA40" s="397" t="str">
        <f>Idiomas!D167</f>
        <v>Luxemburgo</v>
      </c>
      <c r="AB40" s="397">
        <v>2</v>
      </c>
      <c r="AC40" s="448">
        <f t="shared" si="2"/>
        <v>8.3333333333333329E-2</v>
      </c>
      <c r="AD40" s="397">
        <f t="shared" si="3"/>
        <v>0</v>
      </c>
      <c r="AE40" s="397">
        <f t="shared" si="4"/>
        <v>0</v>
      </c>
      <c r="AF40" s="448">
        <f t="shared" si="5"/>
        <v>0</v>
      </c>
      <c r="AG40" s="397">
        <f t="shared" si="6"/>
        <v>0</v>
      </c>
      <c r="AH40" s="397">
        <v>1</v>
      </c>
      <c r="AI40" s="397">
        <f t="shared" si="7"/>
        <v>38</v>
      </c>
      <c r="AK40" s="397">
        <f t="shared" si="8"/>
        <v>1</v>
      </c>
    </row>
    <row r="41" spans="1:37">
      <c r="A41" s="443">
        <v>46315.875</v>
      </c>
      <c r="C41" s="444" cm="1">
        <f t="array" ref="C41">A41+INDEX($V$3:V$93,$C$1)*INDEX($W$3:$W$93,$C$1)</f>
        <v>46315.875</v>
      </c>
      <c r="E41" s="444"/>
      <c r="P41" s="397">
        <v>39</v>
      </c>
      <c r="Q41" s="397" t="str">
        <f t="shared" si="0"/>
        <v>Macedonia del Norte</v>
      </c>
      <c r="R41" s="397">
        <f t="shared" si="9"/>
        <v>2</v>
      </c>
      <c r="S41" s="448">
        <f t="shared" si="9"/>
        <v>8.3333333333333329E-2</v>
      </c>
      <c r="T41" s="397">
        <f t="shared" si="9"/>
        <v>0</v>
      </c>
      <c r="U41" s="397">
        <f t="shared" si="9"/>
        <v>0</v>
      </c>
      <c r="V41" s="448">
        <f t="shared" si="9"/>
        <v>0</v>
      </c>
      <c r="W41" s="397">
        <f t="shared" si="9"/>
        <v>0</v>
      </c>
      <c r="Z41" s="397">
        <v>39</v>
      </c>
      <c r="AA41" s="397" t="str">
        <f>Idiomas!D168</f>
        <v>Macedonia del Norte</v>
      </c>
      <c r="AB41" s="397">
        <v>2</v>
      </c>
      <c r="AC41" s="448">
        <f t="shared" si="2"/>
        <v>8.3333333333333329E-2</v>
      </c>
      <c r="AD41" s="397">
        <f t="shared" si="3"/>
        <v>0</v>
      </c>
      <c r="AE41" s="397">
        <f t="shared" si="4"/>
        <v>0</v>
      </c>
      <c r="AF41" s="448">
        <f t="shared" si="5"/>
        <v>0</v>
      </c>
      <c r="AG41" s="397">
        <f t="shared" si="6"/>
        <v>0</v>
      </c>
      <c r="AH41" s="397">
        <v>1</v>
      </c>
      <c r="AI41" s="397">
        <f t="shared" si="7"/>
        <v>39</v>
      </c>
      <c r="AK41" s="397">
        <f t="shared" si="8"/>
        <v>1</v>
      </c>
    </row>
    <row r="42" spans="1:37">
      <c r="A42" s="443">
        <v>46315.875</v>
      </c>
      <c r="C42" s="444" cm="1">
        <f t="array" ref="C42">A42+INDEX($V$3:V$93,$C$1)*INDEX($W$3:$W$93,$C$1)</f>
        <v>46315.875</v>
      </c>
      <c r="E42" s="444"/>
      <c r="P42" s="397">
        <v>40</v>
      </c>
      <c r="Q42" s="397" t="str">
        <f t="shared" si="0"/>
        <v>Malta</v>
      </c>
      <c r="R42" s="397">
        <f t="shared" si="9"/>
        <v>2</v>
      </c>
      <c r="S42" s="448">
        <f t="shared" si="9"/>
        <v>8.3333333333333329E-2</v>
      </c>
      <c r="T42" s="397">
        <f t="shared" si="9"/>
        <v>0</v>
      </c>
      <c r="U42" s="397">
        <f t="shared" si="9"/>
        <v>0</v>
      </c>
      <c r="V42" s="448">
        <f t="shared" si="9"/>
        <v>0</v>
      </c>
      <c r="W42" s="397">
        <f t="shared" si="9"/>
        <v>0</v>
      </c>
      <c r="Z42" s="397">
        <v>40</v>
      </c>
      <c r="AA42" s="397" t="str">
        <f>Idiomas!D169</f>
        <v>Malta</v>
      </c>
      <c r="AB42" s="397">
        <v>2</v>
      </c>
      <c r="AC42" s="448">
        <f t="shared" si="2"/>
        <v>8.3333333333333329E-2</v>
      </c>
      <c r="AD42" s="397">
        <f t="shared" si="3"/>
        <v>0</v>
      </c>
      <c r="AE42" s="397">
        <f t="shared" si="4"/>
        <v>0</v>
      </c>
      <c r="AF42" s="448">
        <f t="shared" si="5"/>
        <v>0</v>
      </c>
      <c r="AG42" s="397">
        <f t="shared" si="6"/>
        <v>0</v>
      </c>
      <c r="AH42" s="397">
        <v>1</v>
      </c>
      <c r="AI42" s="397">
        <f t="shared" si="7"/>
        <v>40</v>
      </c>
      <c r="AK42" s="397">
        <f t="shared" si="8"/>
        <v>1</v>
      </c>
    </row>
    <row r="43" spans="1:37">
      <c r="A43" s="443">
        <v>46315.875</v>
      </c>
      <c r="C43" s="444" cm="1">
        <f t="array" ref="C43">A43+INDEX($V$3:V$93,$C$1)*INDEX($W$3:$W$93,$C$1)</f>
        <v>46315.875</v>
      </c>
      <c r="E43" s="444"/>
      <c r="P43" s="397">
        <v>41</v>
      </c>
      <c r="Q43" s="397" t="str">
        <f t="shared" si="0"/>
        <v>Moldavia</v>
      </c>
      <c r="R43" s="397">
        <f t="shared" si="9"/>
        <v>3</v>
      </c>
      <c r="S43" s="448">
        <f t="shared" si="9"/>
        <v>0.125</v>
      </c>
      <c r="T43" s="397">
        <f t="shared" si="9"/>
        <v>0</v>
      </c>
      <c r="U43" s="397">
        <f t="shared" si="9"/>
        <v>1</v>
      </c>
      <c r="V43" s="448">
        <f t="shared" si="9"/>
        <v>4.1666666666666664E-2</v>
      </c>
      <c r="W43" s="397">
        <f t="shared" si="9"/>
        <v>1</v>
      </c>
      <c r="Z43" s="397">
        <v>41</v>
      </c>
      <c r="AA43" s="397" t="str">
        <f>Idiomas!D170</f>
        <v>Moldavia</v>
      </c>
      <c r="AB43" s="397">
        <v>3</v>
      </c>
      <c r="AC43" s="448">
        <f t="shared" si="2"/>
        <v>0.125</v>
      </c>
      <c r="AD43" s="397">
        <f t="shared" si="3"/>
        <v>0</v>
      </c>
      <c r="AE43" s="397">
        <f t="shared" si="4"/>
        <v>1</v>
      </c>
      <c r="AF43" s="448">
        <f t="shared" si="5"/>
        <v>4.1666666666666664E-2</v>
      </c>
      <c r="AG43" s="397">
        <f t="shared" si="6"/>
        <v>1</v>
      </c>
      <c r="AH43" s="397">
        <v>2</v>
      </c>
      <c r="AI43" s="397">
        <f t="shared" si="7"/>
        <v>41</v>
      </c>
      <c r="AK43" s="397">
        <f t="shared" si="8"/>
        <v>1</v>
      </c>
    </row>
    <row r="44" spans="1:37">
      <c r="A44" s="443">
        <v>46315.875</v>
      </c>
      <c r="C44" s="444" cm="1">
        <f t="array" ref="C44">A44+INDEX($V$3:V$93,$C$1)*INDEX($W$3:$W$93,$C$1)</f>
        <v>46315.875</v>
      </c>
      <c r="E44" s="444"/>
      <c r="P44" s="397">
        <v>42</v>
      </c>
      <c r="Q44" s="397" t="str">
        <f t="shared" si="0"/>
        <v>Montenegro</v>
      </c>
      <c r="R44" s="397">
        <f t="shared" si="9"/>
        <v>2</v>
      </c>
      <c r="S44" s="448">
        <f t="shared" si="9"/>
        <v>8.3333333333333329E-2</v>
      </c>
      <c r="T44" s="397">
        <f t="shared" si="9"/>
        <v>0</v>
      </c>
      <c r="U44" s="397">
        <f t="shared" si="9"/>
        <v>0</v>
      </c>
      <c r="V44" s="448">
        <f t="shared" si="9"/>
        <v>0</v>
      </c>
      <c r="W44" s="397">
        <f t="shared" si="9"/>
        <v>0</v>
      </c>
      <c r="Z44" s="397">
        <v>42</v>
      </c>
      <c r="AA44" s="397" t="str">
        <f>Idiomas!D171</f>
        <v>Montenegro</v>
      </c>
      <c r="AB44" s="397">
        <v>2</v>
      </c>
      <c r="AC44" s="448">
        <f t="shared" si="2"/>
        <v>8.3333333333333329E-2</v>
      </c>
      <c r="AD44" s="397">
        <f t="shared" si="3"/>
        <v>0</v>
      </c>
      <c r="AE44" s="397">
        <f t="shared" si="4"/>
        <v>0</v>
      </c>
      <c r="AF44" s="448">
        <f t="shared" si="5"/>
        <v>0</v>
      </c>
      <c r="AG44" s="397">
        <f t="shared" si="6"/>
        <v>0</v>
      </c>
      <c r="AH44" s="397">
        <v>1</v>
      </c>
      <c r="AI44" s="397">
        <f t="shared" si="7"/>
        <v>42</v>
      </c>
      <c r="AK44" s="397">
        <f t="shared" si="8"/>
        <v>1</v>
      </c>
    </row>
    <row r="45" spans="1:37">
      <c r="A45" s="443">
        <v>46315.875</v>
      </c>
      <c r="C45" s="444" cm="1">
        <f t="array" ref="C45">A45+INDEX($V$3:V$93,$C$1)*INDEX($W$3:$W$93,$C$1)</f>
        <v>46315.875</v>
      </c>
      <c r="E45" s="444"/>
      <c r="P45" s="397">
        <v>43</v>
      </c>
      <c r="Q45" s="397" t="str">
        <f t="shared" si="0"/>
        <v>Noruega</v>
      </c>
      <c r="R45" s="397">
        <f t="shared" si="9"/>
        <v>2</v>
      </c>
      <c r="S45" s="448">
        <f t="shared" si="9"/>
        <v>8.3333333333333329E-2</v>
      </c>
      <c r="T45" s="397">
        <f t="shared" si="9"/>
        <v>0</v>
      </c>
      <c r="U45" s="397">
        <f t="shared" si="9"/>
        <v>0</v>
      </c>
      <c r="V45" s="448">
        <f t="shared" si="9"/>
        <v>0</v>
      </c>
      <c r="W45" s="397">
        <f t="shared" si="9"/>
        <v>0</v>
      </c>
      <c r="Z45" s="397">
        <v>43</v>
      </c>
      <c r="AA45" s="397" t="str">
        <f>Idiomas!D172</f>
        <v>Noruega</v>
      </c>
      <c r="AB45" s="397">
        <v>2</v>
      </c>
      <c r="AC45" s="448">
        <f t="shared" si="2"/>
        <v>8.3333333333333329E-2</v>
      </c>
      <c r="AD45" s="397">
        <f t="shared" si="3"/>
        <v>0</v>
      </c>
      <c r="AE45" s="397">
        <f t="shared" si="4"/>
        <v>0</v>
      </c>
      <c r="AF45" s="448">
        <f t="shared" si="5"/>
        <v>0</v>
      </c>
      <c r="AG45" s="397">
        <f t="shared" si="6"/>
        <v>0</v>
      </c>
      <c r="AH45" s="397">
        <v>1</v>
      </c>
      <c r="AI45" s="397">
        <f t="shared" si="7"/>
        <v>43</v>
      </c>
      <c r="AK45" s="397">
        <f t="shared" si="8"/>
        <v>1</v>
      </c>
    </row>
    <row r="46" spans="1:37">
      <c r="A46" s="443">
        <v>46315.875</v>
      </c>
      <c r="C46" s="444" cm="1">
        <f t="array" ref="C46">A46+INDEX($V$3:V$93,$C$1)*INDEX($W$3:$W$93,$C$1)</f>
        <v>46315.875</v>
      </c>
      <c r="E46" s="444"/>
      <c r="P46" s="397">
        <v>44</v>
      </c>
      <c r="Q46" s="397" t="str">
        <f t="shared" si="0"/>
        <v>Países Bajos</v>
      </c>
      <c r="R46" s="397">
        <f t="shared" si="9"/>
        <v>2</v>
      </c>
      <c r="S46" s="448">
        <f t="shared" si="9"/>
        <v>8.3333333333333329E-2</v>
      </c>
      <c r="T46" s="397">
        <f t="shared" si="9"/>
        <v>0</v>
      </c>
      <c r="U46" s="397">
        <f t="shared" si="9"/>
        <v>0</v>
      </c>
      <c r="V46" s="448">
        <f t="shared" si="9"/>
        <v>0</v>
      </c>
      <c r="W46" s="397">
        <f t="shared" si="9"/>
        <v>0</v>
      </c>
      <c r="Z46" s="397">
        <v>44</v>
      </c>
      <c r="AA46" s="397" t="str">
        <f>Idiomas!D173</f>
        <v>Países Bajos</v>
      </c>
      <c r="AB46" s="397">
        <v>2</v>
      </c>
      <c r="AC46" s="448">
        <f t="shared" si="2"/>
        <v>8.3333333333333329E-2</v>
      </c>
      <c r="AD46" s="397">
        <f t="shared" si="3"/>
        <v>0</v>
      </c>
      <c r="AE46" s="397">
        <f t="shared" si="4"/>
        <v>0</v>
      </c>
      <c r="AF46" s="448">
        <f t="shared" si="5"/>
        <v>0</v>
      </c>
      <c r="AG46" s="397">
        <f t="shared" si="6"/>
        <v>0</v>
      </c>
      <c r="AH46" s="397">
        <v>1</v>
      </c>
      <c r="AI46" s="397">
        <f t="shared" si="7"/>
        <v>44</v>
      </c>
      <c r="AK46" s="397">
        <f t="shared" si="8"/>
        <v>1</v>
      </c>
    </row>
    <row r="47" spans="1:37">
      <c r="A47" s="443">
        <v>46316.78125</v>
      </c>
      <c r="C47" s="444" cm="1">
        <f t="array" ref="C47">A47+INDEX($V$3:V$93,$C$1)*INDEX($W$3:$W$93,$C$1)</f>
        <v>46316.78125</v>
      </c>
      <c r="E47" s="444"/>
      <c r="P47" s="397">
        <v>45</v>
      </c>
      <c r="Q47" s="397" t="str">
        <f t="shared" si="0"/>
        <v>Polonia</v>
      </c>
      <c r="R47" s="397">
        <f t="shared" si="9"/>
        <v>2</v>
      </c>
      <c r="S47" s="448">
        <f t="shared" si="9"/>
        <v>8.3333333333333329E-2</v>
      </c>
      <c r="T47" s="397">
        <f t="shared" si="9"/>
        <v>0</v>
      </c>
      <c r="U47" s="397">
        <f t="shared" si="9"/>
        <v>0</v>
      </c>
      <c r="V47" s="448">
        <f t="shared" si="9"/>
        <v>0</v>
      </c>
      <c r="W47" s="397">
        <f t="shared" si="9"/>
        <v>0</v>
      </c>
      <c r="Z47" s="397">
        <v>45</v>
      </c>
      <c r="AA47" s="397" t="str">
        <f>Idiomas!D174</f>
        <v>Polonia</v>
      </c>
      <c r="AB47" s="397">
        <v>2</v>
      </c>
      <c r="AC47" s="448">
        <f t="shared" si="2"/>
        <v>8.3333333333333329E-2</v>
      </c>
      <c r="AD47" s="397">
        <f t="shared" si="3"/>
        <v>0</v>
      </c>
      <c r="AE47" s="397">
        <f t="shared" si="4"/>
        <v>0</v>
      </c>
      <c r="AF47" s="448">
        <f t="shared" si="5"/>
        <v>0</v>
      </c>
      <c r="AG47" s="397">
        <f t="shared" si="6"/>
        <v>0</v>
      </c>
      <c r="AH47" s="397">
        <v>1</v>
      </c>
      <c r="AI47" s="397">
        <f t="shared" si="7"/>
        <v>45</v>
      </c>
      <c r="AK47" s="397">
        <f t="shared" si="8"/>
        <v>1</v>
      </c>
    </row>
    <row r="48" spans="1:37">
      <c r="A48" s="443">
        <v>46316.78125</v>
      </c>
      <c r="C48" s="444" cm="1">
        <f t="array" ref="C48">A48+INDEX($V$3:V$93,$C$1)*INDEX($W$3:$W$93,$C$1)</f>
        <v>46316.78125</v>
      </c>
      <c r="E48" s="444"/>
      <c r="P48" s="397">
        <v>46</v>
      </c>
      <c r="Q48" s="397" t="str">
        <f t="shared" si="0"/>
        <v>Portugal</v>
      </c>
      <c r="R48" s="397">
        <f t="shared" si="9"/>
        <v>1</v>
      </c>
      <c r="S48" s="448">
        <f t="shared" si="9"/>
        <v>4.1666666666666664E-2</v>
      </c>
      <c r="T48" s="397">
        <f t="shared" si="9"/>
        <v>0</v>
      </c>
      <c r="U48" s="397">
        <f t="shared" si="9"/>
        <v>-1</v>
      </c>
      <c r="V48" s="448">
        <f t="shared" si="9"/>
        <v>4.1666666666666664E-2</v>
      </c>
      <c r="W48" s="397">
        <f t="shared" si="9"/>
        <v>-1</v>
      </c>
      <c r="Z48" s="397">
        <v>46</v>
      </c>
      <c r="AA48" s="397" t="str">
        <f>Idiomas!D175</f>
        <v>Portugal</v>
      </c>
      <c r="AB48" s="397">
        <v>1</v>
      </c>
      <c r="AC48" s="448">
        <f t="shared" si="2"/>
        <v>4.1666666666666664E-2</v>
      </c>
      <c r="AD48" s="397">
        <f t="shared" si="3"/>
        <v>0</v>
      </c>
      <c r="AE48" s="397">
        <f t="shared" si="4"/>
        <v>-1</v>
      </c>
      <c r="AF48" s="448">
        <f t="shared" si="5"/>
        <v>4.1666666666666664E-2</v>
      </c>
      <c r="AG48" s="397">
        <f t="shared" si="6"/>
        <v>-1</v>
      </c>
      <c r="AH48" s="397">
        <v>0</v>
      </c>
      <c r="AI48" s="397">
        <f t="shared" si="7"/>
        <v>46</v>
      </c>
      <c r="AK48" s="397">
        <f t="shared" si="8"/>
        <v>1</v>
      </c>
    </row>
    <row r="49" spans="1:37">
      <c r="A49" s="443">
        <v>46316.875</v>
      </c>
      <c r="C49" s="444" cm="1">
        <f t="array" ref="C49">A49+INDEX($V$3:V$93,$C$1)*INDEX($W$3:$W$93,$C$1)</f>
        <v>46316.875</v>
      </c>
      <c r="E49" s="444"/>
      <c r="P49" s="397">
        <v>47</v>
      </c>
      <c r="Q49" s="397" t="str">
        <f t="shared" si="0"/>
        <v>República Checa</v>
      </c>
      <c r="R49" s="397">
        <f t="shared" si="9"/>
        <v>2</v>
      </c>
      <c r="S49" s="448">
        <f t="shared" si="9"/>
        <v>8.3333333333333329E-2</v>
      </c>
      <c r="T49" s="397">
        <f t="shared" si="9"/>
        <v>0</v>
      </c>
      <c r="U49" s="397">
        <f t="shared" si="9"/>
        <v>0</v>
      </c>
      <c r="V49" s="448">
        <f t="shared" si="9"/>
        <v>0</v>
      </c>
      <c r="W49" s="397">
        <f t="shared" si="9"/>
        <v>0</v>
      </c>
      <c r="Z49" s="397">
        <v>47</v>
      </c>
      <c r="AA49" s="397" t="str">
        <f>Idiomas!D176</f>
        <v>República Checa</v>
      </c>
      <c r="AB49" s="397">
        <v>2</v>
      </c>
      <c r="AC49" s="448">
        <f t="shared" si="2"/>
        <v>8.3333333333333329E-2</v>
      </c>
      <c r="AD49" s="397">
        <f t="shared" si="3"/>
        <v>0</v>
      </c>
      <c r="AE49" s="397">
        <f t="shared" si="4"/>
        <v>0</v>
      </c>
      <c r="AF49" s="448">
        <f t="shared" si="5"/>
        <v>0</v>
      </c>
      <c r="AG49" s="397">
        <f t="shared" si="6"/>
        <v>0</v>
      </c>
      <c r="AH49" s="397">
        <v>1</v>
      </c>
      <c r="AI49" s="397">
        <f t="shared" si="7"/>
        <v>47</v>
      </c>
      <c r="AK49" s="397">
        <f t="shared" si="8"/>
        <v>1</v>
      </c>
    </row>
    <row r="50" spans="1:37">
      <c r="A50" s="443">
        <v>46316.875</v>
      </c>
      <c r="C50" s="444" cm="1">
        <f t="array" ref="C50">A50+INDEX($V$3:V$93,$C$1)*INDEX($W$3:$W$93,$C$1)</f>
        <v>46316.875</v>
      </c>
      <c r="E50" s="444"/>
      <c r="P50" s="397">
        <v>48</v>
      </c>
      <c r="Q50" s="397" t="str">
        <f t="shared" si="0"/>
        <v>Rumanía</v>
      </c>
      <c r="R50" s="397">
        <f t="shared" si="9"/>
        <v>3</v>
      </c>
      <c r="S50" s="448">
        <f t="shared" si="9"/>
        <v>0.125</v>
      </c>
      <c r="T50" s="397">
        <f t="shared" si="9"/>
        <v>0</v>
      </c>
      <c r="U50" s="397">
        <f t="shared" si="9"/>
        <v>1</v>
      </c>
      <c r="V50" s="448">
        <f t="shared" si="9"/>
        <v>4.1666666666666664E-2</v>
      </c>
      <c r="W50" s="397">
        <f t="shared" si="9"/>
        <v>1</v>
      </c>
      <c r="Z50" s="397">
        <v>48</v>
      </c>
      <c r="AA50" s="397" t="str">
        <f>Idiomas!D177</f>
        <v>Rumanía</v>
      </c>
      <c r="AB50" s="397">
        <v>3</v>
      </c>
      <c r="AC50" s="448">
        <f t="shared" si="2"/>
        <v>0.125</v>
      </c>
      <c r="AD50" s="397">
        <f t="shared" si="3"/>
        <v>0</v>
      </c>
      <c r="AE50" s="397">
        <f t="shared" si="4"/>
        <v>1</v>
      </c>
      <c r="AF50" s="448">
        <f t="shared" si="5"/>
        <v>4.1666666666666664E-2</v>
      </c>
      <c r="AG50" s="397">
        <f t="shared" si="6"/>
        <v>1</v>
      </c>
      <c r="AH50" s="397">
        <v>2</v>
      </c>
      <c r="AI50" s="397">
        <f t="shared" si="7"/>
        <v>48</v>
      </c>
      <c r="AK50" s="397">
        <f t="shared" si="8"/>
        <v>1</v>
      </c>
    </row>
    <row r="51" spans="1:37">
      <c r="A51" s="443">
        <v>46316.875</v>
      </c>
      <c r="C51" s="444" cm="1">
        <f t="array" ref="C51">A51+INDEX($V$3:V$93,$C$1)*INDEX($W$3:$W$93,$C$1)</f>
        <v>46316.875</v>
      </c>
      <c r="E51" s="444"/>
      <c r="P51" s="397">
        <v>49</v>
      </c>
      <c r="Q51" s="397" t="str">
        <f t="shared" si="0"/>
        <v>Rusia</v>
      </c>
      <c r="R51" s="397">
        <f t="shared" si="9"/>
        <v>3</v>
      </c>
      <c r="S51" s="448">
        <f t="shared" si="9"/>
        <v>0.125</v>
      </c>
      <c r="T51" s="397">
        <f t="shared" si="9"/>
        <v>0</v>
      </c>
      <c r="U51" s="397">
        <f t="shared" si="9"/>
        <v>1</v>
      </c>
      <c r="V51" s="448">
        <f t="shared" si="9"/>
        <v>4.1666666666666664E-2</v>
      </c>
      <c r="W51" s="397">
        <f t="shared" si="9"/>
        <v>1</v>
      </c>
      <c r="Z51" s="397">
        <v>49</v>
      </c>
      <c r="AA51" s="397" t="str">
        <f>Idiomas!D178</f>
        <v>Rusia</v>
      </c>
      <c r="AB51" s="397">
        <v>3</v>
      </c>
      <c r="AC51" s="448">
        <f t="shared" si="2"/>
        <v>0.125</v>
      </c>
      <c r="AD51" s="397">
        <f t="shared" si="3"/>
        <v>0</v>
      </c>
      <c r="AE51" s="397">
        <f t="shared" si="4"/>
        <v>1</v>
      </c>
      <c r="AF51" s="448">
        <f t="shared" si="5"/>
        <v>4.1666666666666664E-2</v>
      </c>
      <c r="AG51" s="397">
        <f t="shared" si="6"/>
        <v>1</v>
      </c>
      <c r="AH51" s="397">
        <v>3</v>
      </c>
      <c r="AI51" s="397">
        <f t="shared" si="7"/>
        <v>49</v>
      </c>
      <c r="AK51" s="397">
        <f t="shared" si="8"/>
        <v>0</v>
      </c>
    </row>
    <row r="52" spans="1:37">
      <c r="A52" s="443">
        <v>46316.875</v>
      </c>
      <c r="C52" s="444" cm="1">
        <f t="array" ref="C52">A52+INDEX($V$3:V$93,$C$1)*INDEX($W$3:$W$93,$C$1)</f>
        <v>46316.875</v>
      </c>
      <c r="E52" s="444"/>
      <c r="P52" s="397">
        <v>50</v>
      </c>
      <c r="Q52" s="397" t="str">
        <f t="shared" si="0"/>
        <v>San Marino</v>
      </c>
      <c r="R52" s="397">
        <f t="shared" si="9"/>
        <v>2</v>
      </c>
      <c r="S52" s="448">
        <f t="shared" si="9"/>
        <v>8.3333333333333329E-2</v>
      </c>
      <c r="T52" s="397">
        <f t="shared" si="9"/>
        <v>0</v>
      </c>
      <c r="U52" s="397">
        <f t="shared" si="9"/>
        <v>0</v>
      </c>
      <c r="V52" s="448">
        <f t="shared" si="9"/>
        <v>0</v>
      </c>
      <c r="W52" s="397">
        <f t="shared" si="9"/>
        <v>0</v>
      </c>
      <c r="Z52" s="397">
        <v>50</v>
      </c>
      <c r="AA52" s="397" t="str">
        <f>Idiomas!D179</f>
        <v>San Marino</v>
      </c>
      <c r="AB52" s="397">
        <v>2</v>
      </c>
      <c r="AC52" s="448">
        <f t="shared" si="2"/>
        <v>8.3333333333333329E-2</v>
      </c>
      <c r="AD52" s="397">
        <f t="shared" si="3"/>
        <v>0</v>
      </c>
      <c r="AE52" s="397">
        <f t="shared" si="4"/>
        <v>0</v>
      </c>
      <c r="AF52" s="448">
        <f t="shared" si="5"/>
        <v>0</v>
      </c>
      <c r="AG52" s="397">
        <f t="shared" si="6"/>
        <v>0</v>
      </c>
      <c r="AH52" s="397">
        <v>1</v>
      </c>
      <c r="AI52" s="397">
        <f t="shared" si="7"/>
        <v>50</v>
      </c>
      <c r="AK52" s="397">
        <f t="shared" si="8"/>
        <v>1</v>
      </c>
    </row>
    <row r="53" spans="1:37">
      <c r="A53" s="443">
        <v>46316.875</v>
      </c>
      <c r="C53" s="444" cm="1">
        <f t="array" ref="C53">A53+INDEX($V$3:V$93,$C$1)*INDEX($W$3:$W$93,$C$1)</f>
        <v>46316.875</v>
      </c>
      <c r="E53" s="444"/>
      <c r="P53" s="397">
        <v>51</v>
      </c>
      <c r="Q53" s="397" t="str">
        <f t="shared" si="0"/>
        <v>Serbia</v>
      </c>
      <c r="R53" s="397">
        <f t="shared" si="9"/>
        <v>2</v>
      </c>
      <c r="S53" s="448">
        <f t="shared" si="9"/>
        <v>8.3333333333333329E-2</v>
      </c>
      <c r="T53" s="397">
        <f t="shared" si="9"/>
        <v>0</v>
      </c>
      <c r="U53" s="397">
        <f t="shared" si="9"/>
        <v>0</v>
      </c>
      <c r="V53" s="448">
        <f t="shared" si="9"/>
        <v>0</v>
      </c>
      <c r="W53" s="397">
        <f t="shared" si="9"/>
        <v>0</v>
      </c>
      <c r="Z53" s="397">
        <v>51</v>
      </c>
      <c r="AA53" s="397" t="str">
        <f>Idiomas!D180</f>
        <v>Serbia</v>
      </c>
      <c r="AB53" s="397">
        <v>2</v>
      </c>
      <c r="AC53" s="448">
        <f t="shared" si="2"/>
        <v>8.3333333333333329E-2</v>
      </c>
      <c r="AD53" s="397">
        <f t="shared" si="3"/>
        <v>0</v>
      </c>
      <c r="AE53" s="397">
        <f t="shared" si="4"/>
        <v>0</v>
      </c>
      <c r="AF53" s="448">
        <f t="shared" si="5"/>
        <v>0</v>
      </c>
      <c r="AG53" s="397">
        <f t="shared" si="6"/>
        <v>0</v>
      </c>
      <c r="AH53" s="397">
        <v>1</v>
      </c>
      <c r="AI53" s="397">
        <f t="shared" si="7"/>
        <v>51</v>
      </c>
      <c r="AK53" s="397">
        <f t="shared" si="8"/>
        <v>1</v>
      </c>
    </row>
    <row r="54" spans="1:37">
      <c r="A54" s="443">
        <v>46316.875</v>
      </c>
      <c r="C54" s="444" cm="1">
        <f t="array" ref="C54">A54+INDEX($V$3:V$93,$C$1)*INDEX($W$3:$W$93,$C$1)</f>
        <v>46316.875</v>
      </c>
      <c r="E54" s="444"/>
      <c r="P54" s="397">
        <v>52</v>
      </c>
      <c r="Q54" s="397" t="str">
        <f t="shared" si="0"/>
        <v>Suecia</v>
      </c>
      <c r="R54" s="397">
        <f t="shared" si="9"/>
        <v>2</v>
      </c>
      <c r="S54" s="448">
        <f t="shared" si="9"/>
        <v>8.3333333333333329E-2</v>
      </c>
      <c r="T54" s="397">
        <f t="shared" si="9"/>
        <v>0</v>
      </c>
      <c r="U54" s="397">
        <f t="shared" si="9"/>
        <v>0</v>
      </c>
      <c r="V54" s="448">
        <f t="shared" si="9"/>
        <v>0</v>
      </c>
      <c r="W54" s="397">
        <f t="shared" si="9"/>
        <v>0</v>
      </c>
      <c r="Z54" s="397">
        <v>52</v>
      </c>
      <c r="AA54" s="397" t="str">
        <f>Idiomas!D181</f>
        <v>Suecia</v>
      </c>
      <c r="AB54" s="397">
        <v>2</v>
      </c>
      <c r="AC54" s="448">
        <f t="shared" si="2"/>
        <v>8.3333333333333329E-2</v>
      </c>
      <c r="AD54" s="397">
        <f t="shared" si="3"/>
        <v>0</v>
      </c>
      <c r="AE54" s="397">
        <f t="shared" si="4"/>
        <v>0</v>
      </c>
      <c r="AF54" s="448">
        <f t="shared" si="5"/>
        <v>0</v>
      </c>
      <c r="AG54" s="397">
        <f t="shared" si="6"/>
        <v>0</v>
      </c>
      <c r="AH54" s="397">
        <v>1</v>
      </c>
      <c r="AI54" s="397">
        <f t="shared" si="7"/>
        <v>52</v>
      </c>
      <c r="AK54" s="397">
        <f t="shared" si="8"/>
        <v>1</v>
      </c>
    </row>
    <row r="55" spans="1:37" ht="17" thickBot="1">
      <c r="A55" s="449">
        <v>46316.875</v>
      </c>
      <c r="C55" s="444" cm="1">
        <f t="array" ref="C55">A55+INDEX($V$3:V$93,$C$1)*INDEX($W$3:$W$93,$C$1)</f>
        <v>46316.875</v>
      </c>
      <c r="E55" s="444"/>
      <c r="P55" s="397">
        <v>53</v>
      </c>
      <c r="Q55" s="397" t="str">
        <f t="shared" si="0"/>
        <v>Suiza</v>
      </c>
      <c r="R55" s="397">
        <f t="shared" si="9"/>
        <v>2</v>
      </c>
      <c r="S55" s="448">
        <f t="shared" si="9"/>
        <v>8.3333333333333329E-2</v>
      </c>
      <c r="T55" s="397">
        <f t="shared" si="9"/>
        <v>0</v>
      </c>
      <c r="U55" s="397">
        <f t="shared" si="9"/>
        <v>0</v>
      </c>
      <c r="V55" s="448">
        <f t="shared" si="9"/>
        <v>0</v>
      </c>
      <c r="W55" s="397">
        <f t="shared" si="9"/>
        <v>0</v>
      </c>
      <c r="Z55" s="397">
        <v>53</v>
      </c>
      <c r="AA55" s="397" t="str">
        <f>Idiomas!D182</f>
        <v>Suiza</v>
      </c>
      <c r="AB55" s="397">
        <v>2</v>
      </c>
      <c r="AC55" s="448">
        <f t="shared" si="2"/>
        <v>8.3333333333333329E-2</v>
      </c>
      <c r="AD55" s="397">
        <f t="shared" si="3"/>
        <v>0</v>
      </c>
      <c r="AE55" s="397">
        <f t="shared" si="4"/>
        <v>0</v>
      </c>
      <c r="AF55" s="448">
        <f t="shared" si="5"/>
        <v>0</v>
      </c>
      <c r="AG55" s="397">
        <f t="shared" si="6"/>
        <v>0</v>
      </c>
      <c r="AH55" s="397">
        <v>1</v>
      </c>
      <c r="AI55" s="397">
        <f t="shared" si="7"/>
        <v>53</v>
      </c>
      <c r="AK55" s="397">
        <f t="shared" si="8"/>
        <v>1</v>
      </c>
    </row>
    <row r="56" spans="1:37">
      <c r="A56" s="443">
        <v>46329.78125</v>
      </c>
      <c r="C56" s="444" cm="1">
        <f t="array" ref="C56">A56+INDEX($V$3:V$93,$C$1)*INDEX($W$3:$W$93,$C$1)</f>
        <v>46329.78125</v>
      </c>
      <c r="E56" s="444"/>
      <c r="P56" s="397">
        <v>54</v>
      </c>
      <c r="Q56" s="397" t="str">
        <f t="shared" si="0"/>
        <v>Turquía</v>
      </c>
      <c r="R56" s="397">
        <f t="shared" si="9"/>
        <v>3</v>
      </c>
      <c r="S56" s="448">
        <f t="shared" si="9"/>
        <v>0.125</v>
      </c>
      <c r="T56" s="397">
        <f t="shared" si="9"/>
        <v>0</v>
      </c>
      <c r="U56" s="397">
        <f t="shared" si="9"/>
        <v>1</v>
      </c>
      <c r="V56" s="448">
        <f t="shared" si="9"/>
        <v>4.1666666666666664E-2</v>
      </c>
      <c r="W56" s="397">
        <f t="shared" si="9"/>
        <v>1</v>
      </c>
      <c r="Z56" s="397">
        <v>54</v>
      </c>
      <c r="AA56" s="397" t="str">
        <f>Idiomas!D183</f>
        <v>Turquía</v>
      </c>
      <c r="AB56" s="397">
        <v>3</v>
      </c>
      <c r="AC56" s="448">
        <f t="shared" si="2"/>
        <v>0.125</v>
      </c>
      <c r="AD56" s="397">
        <f t="shared" si="3"/>
        <v>0</v>
      </c>
      <c r="AE56" s="397">
        <f t="shared" si="4"/>
        <v>1</v>
      </c>
      <c r="AF56" s="448">
        <f t="shared" si="5"/>
        <v>4.1666666666666664E-2</v>
      </c>
      <c r="AG56" s="397">
        <f t="shared" si="6"/>
        <v>1</v>
      </c>
      <c r="AH56" s="397">
        <v>3</v>
      </c>
      <c r="AI56" s="397">
        <f t="shared" si="7"/>
        <v>54</v>
      </c>
      <c r="AK56" s="397">
        <f t="shared" si="8"/>
        <v>0</v>
      </c>
    </row>
    <row r="57" spans="1:37">
      <c r="A57" s="443">
        <v>46329.78125</v>
      </c>
      <c r="C57" s="444" cm="1">
        <f t="array" ref="C57">A57+INDEX($V$3:V$93,$C$1)*INDEX($W$3:$W$93,$C$1)</f>
        <v>46329.78125</v>
      </c>
      <c r="E57" s="444"/>
      <c r="P57" s="397">
        <v>55</v>
      </c>
      <c r="Q57" s="397" t="str">
        <f t="shared" si="0"/>
        <v>Ucrania</v>
      </c>
      <c r="R57" s="397">
        <f t="shared" si="9"/>
        <v>3</v>
      </c>
      <c r="S57" s="448">
        <f t="shared" si="9"/>
        <v>0.125</v>
      </c>
      <c r="T57" s="397">
        <f t="shared" si="9"/>
        <v>0</v>
      </c>
      <c r="U57" s="397">
        <f t="shared" si="9"/>
        <v>1</v>
      </c>
      <c r="V57" s="448">
        <f t="shared" si="9"/>
        <v>4.1666666666666664E-2</v>
      </c>
      <c r="W57" s="397">
        <f t="shared" si="9"/>
        <v>1</v>
      </c>
      <c r="Z57" s="397">
        <v>55</v>
      </c>
      <c r="AA57" s="397" t="str">
        <f>Idiomas!D184</f>
        <v>Ucrania</v>
      </c>
      <c r="AB57" s="397">
        <v>3</v>
      </c>
      <c r="AC57" s="448">
        <f t="shared" si="2"/>
        <v>0.125</v>
      </c>
      <c r="AD57" s="397">
        <f t="shared" si="3"/>
        <v>0</v>
      </c>
      <c r="AE57" s="397">
        <f t="shared" si="4"/>
        <v>1</v>
      </c>
      <c r="AF57" s="448">
        <f t="shared" si="5"/>
        <v>4.1666666666666664E-2</v>
      </c>
      <c r="AG57" s="397">
        <f t="shared" si="6"/>
        <v>1</v>
      </c>
      <c r="AH57" s="397">
        <v>2</v>
      </c>
      <c r="AI57" s="397">
        <f t="shared" si="7"/>
        <v>55</v>
      </c>
      <c r="AK57" s="397">
        <f t="shared" si="8"/>
        <v>1</v>
      </c>
    </row>
    <row r="58" spans="1:37">
      <c r="A58" s="443">
        <v>46329.875</v>
      </c>
      <c r="C58" s="444" cm="1">
        <f t="array" ref="C58">A58+INDEX($V$3:V$93,$C$1)*INDEX($W$3:$W$93,$C$1)</f>
        <v>46329.875</v>
      </c>
      <c r="E58" s="444"/>
      <c r="P58" s="397">
        <v>56</v>
      </c>
      <c r="Q58" s="397" t="s">
        <v>71</v>
      </c>
      <c r="R58" s="397">
        <f t="shared" si="9"/>
        <v>-12</v>
      </c>
      <c r="S58" s="448">
        <f t="shared" si="9"/>
        <v>0.5</v>
      </c>
      <c r="T58" s="397">
        <f t="shared" si="9"/>
        <v>0</v>
      </c>
      <c r="U58" s="397">
        <f t="shared" si="9"/>
        <v>-14</v>
      </c>
      <c r="V58" s="448">
        <f t="shared" si="9"/>
        <v>0.58333333333333337</v>
      </c>
      <c r="W58" s="397">
        <f t="shared" si="9"/>
        <v>-1</v>
      </c>
      <c r="Z58" s="397">
        <v>56</v>
      </c>
      <c r="AA58" s="397" t="s">
        <v>71</v>
      </c>
      <c r="AB58" s="397">
        <v>-12</v>
      </c>
      <c r="AC58" s="448">
        <f t="shared" si="2"/>
        <v>0.5</v>
      </c>
      <c r="AD58" s="397">
        <f t="shared" si="3"/>
        <v>0</v>
      </c>
      <c r="AE58" s="397">
        <f t="shared" si="4"/>
        <v>-14</v>
      </c>
      <c r="AF58" s="448">
        <f t="shared" si="5"/>
        <v>0.58333333333333337</v>
      </c>
      <c r="AG58" s="397">
        <f t="shared" si="6"/>
        <v>-1</v>
      </c>
    </row>
    <row r="59" spans="1:37">
      <c r="A59" s="443">
        <v>46329.875</v>
      </c>
      <c r="C59" s="444" cm="1">
        <f t="array" ref="C59">A59+INDEX($V$3:V$93,$C$1)*INDEX($W$3:$W$93,$C$1)</f>
        <v>46329.875</v>
      </c>
      <c r="E59" s="444"/>
      <c r="P59" s="397">
        <v>57</v>
      </c>
      <c r="Q59" s="397" t="s">
        <v>72</v>
      </c>
      <c r="R59" s="397">
        <f t="shared" si="9"/>
        <v>-11</v>
      </c>
      <c r="S59" s="448">
        <f t="shared" si="9"/>
        <v>0.45833333333333331</v>
      </c>
      <c r="T59" s="397">
        <f t="shared" si="9"/>
        <v>0</v>
      </c>
      <c r="U59" s="397">
        <f t="shared" si="9"/>
        <v>-13</v>
      </c>
      <c r="V59" s="448">
        <f t="shared" si="9"/>
        <v>0.54166666666666663</v>
      </c>
      <c r="W59" s="397">
        <f t="shared" si="9"/>
        <v>-1</v>
      </c>
      <c r="Z59" s="397">
        <v>57</v>
      </c>
      <c r="AA59" s="397" t="s">
        <v>72</v>
      </c>
      <c r="AB59" s="397">
        <v>-11</v>
      </c>
      <c r="AC59" s="448">
        <f t="shared" si="2"/>
        <v>0.45833333333333331</v>
      </c>
      <c r="AD59" s="397">
        <f t="shared" si="3"/>
        <v>0</v>
      </c>
      <c r="AE59" s="397">
        <f t="shared" si="4"/>
        <v>-13</v>
      </c>
      <c r="AF59" s="448">
        <f t="shared" si="5"/>
        <v>0.54166666666666663</v>
      </c>
      <c r="AG59" s="397">
        <f t="shared" si="6"/>
        <v>-1</v>
      </c>
    </row>
    <row r="60" spans="1:37">
      <c r="A60" s="443">
        <v>46329.875</v>
      </c>
      <c r="C60" s="444" cm="1">
        <f t="array" ref="C60">A60+INDEX($V$3:V$93,$C$1)*INDEX($W$3:$W$93,$C$1)</f>
        <v>46329.875</v>
      </c>
      <c r="E60" s="444"/>
      <c r="P60" s="397">
        <v>58</v>
      </c>
      <c r="Q60" s="397" t="s">
        <v>73</v>
      </c>
      <c r="R60" s="397">
        <f t="shared" si="9"/>
        <v>-10</v>
      </c>
      <c r="S60" s="448">
        <f t="shared" si="9"/>
        <v>0.41666666666666669</v>
      </c>
      <c r="T60" s="397">
        <f t="shared" si="9"/>
        <v>0</v>
      </c>
      <c r="U60" s="397">
        <f t="shared" si="9"/>
        <v>-12</v>
      </c>
      <c r="V60" s="448">
        <f t="shared" si="9"/>
        <v>0.5</v>
      </c>
      <c r="W60" s="397">
        <f t="shared" si="9"/>
        <v>-1</v>
      </c>
      <c r="Z60" s="397">
        <v>58</v>
      </c>
      <c r="AA60" s="397" t="s">
        <v>73</v>
      </c>
      <c r="AB60" s="397">
        <v>-10</v>
      </c>
      <c r="AC60" s="448">
        <f t="shared" si="2"/>
        <v>0.41666666666666669</v>
      </c>
      <c r="AD60" s="397">
        <f t="shared" si="3"/>
        <v>0</v>
      </c>
      <c r="AE60" s="397">
        <f t="shared" si="4"/>
        <v>-12</v>
      </c>
      <c r="AF60" s="448">
        <f t="shared" si="5"/>
        <v>0.5</v>
      </c>
      <c r="AG60" s="397">
        <f t="shared" si="6"/>
        <v>-1</v>
      </c>
    </row>
    <row r="61" spans="1:37">
      <c r="A61" s="443">
        <v>46329.875</v>
      </c>
      <c r="C61" s="444" cm="1">
        <f t="array" ref="C61">A61+INDEX($V$3:V$93,$C$1)*INDEX($W$3:$W$93,$C$1)</f>
        <v>46329.875</v>
      </c>
      <c r="E61" s="444"/>
      <c r="P61" s="397">
        <v>59</v>
      </c>
      <c r="Q61" s="397" t="s">
        <v>74</v>
      </c>
      <c r="R61" s="397">
        <f t="shared" si="9"/>
        <v>-9</v>
      </c>
      <c r="S61" s="448">
        <f t="shared" si="9"/>
        <v>0.375</v>
      </c>
      <c r="T61" s="397">
        <f t="shared" si="9"/>
        <v>0</v>
      </c>
      <c r="U61" s="397">
        <f t="shared" si="9"/>
        <v>-11</v>
      </c>
      <c r="V61" s="448">
        <f t="shared" si="9"/>
        <v>0.45833333333333331</v>
      </c>
      <c r="W61" s="397">
        <f t="shared" si="9"/>
        <v>-1</v>
      </c>
      <c r="Z61" s="397">
        <v>59</v>
      </c>
      <c r="AA61" s="397" t="s">
        <v>74</v>
      </c>
      <c r="AB61" s="397">
        <v>-9</v>
      </c>
      <c r="AC61" s="448">
        <f t="shared" si="2"/>
        <v>0.375</v>
      </c>
      <c r="AD61" s="397">
        <f t="shared" si="3"/>
        <v>0</v>
      </c>
      <c r="AE61" s="397">
        <f t="shared" si="4"/>
        <v>-11</v>
      </c>
      <c r="AF61" s="448">
        <f t="shared" si="5"/>
        <v>0.45833333333333331</v>
      </c>
      <c r="AG61" s="397">
        <f t="shared" si="6"/>
        <v>-1</v>
      </c>
    </row>
    <row r="62" spans="1:37">
      <c r="A62" s="443">
        <v>46329.875</v>
      </c>
      <c r="C62" s="444" cm="1">
        <f t="array" ref="C62">A62+INDEX($V$3:V$93,$C$1)*INDEX($W$3:$W$93,$C$1)</f>
        <v>46329.875</v>
      </c>
      <c r="E62" s="444"/>
      <c r="P62" s="397">
        <v>60</v>
      </c>
      <c r="Q62" s="397" t="s">
        <v>75</v>
      </c>
      <c r="R62" s="397">
        <f t="shared" si="9"/>
        <v>-8</v>
      </c>
      <c r="S62" s="448">
        <f t="shared" si="9"/>
        <v>0.33333333333333331</v>
      </c>
      <c r="T62" s="397">
        <f t="shared" si="9"/>
        <v>0</v>
      </c>
      <c r="U62" s="397">
        <f t="shared" si="9"/>
        <v>-10</v>
      </c>
      <c r="V62" s="448">
        <f t="shared" si="9"/>
        <v>0.41666666666666669</v>
      </c>
      <c r="W62" s="397">
        <f t="shared" si="9"/>
        <v>-1</v>
      </c>
      <c r="Z62" s="397">
        <v>60</v>
      </c>
      <c r="AA62" s="397" t="s">
        <v>75</v>
      </c>
      <c r="AB62" s="397">
        <v>-8</v>
      </c>
      <c r="AC62" s="448">
        <f t="shared" si="2"/>
        <v>0.33333333333333331</v>
      </c>
      <c r="AD62" s="397">
        <f t="shared" si="3"/>
        <v>0</v>
      </c>
      <c r="AE62" s="397">
        <f t="shared" si="4"/>
        <v>-10</v>
      </c>
      <c r="AF62" s="448">
        <f t="shared" si="5"/>
        <v>0.41666666666666669</v>
      </c>
      <c r="AG62" s="397">
        <f t="shared" si="6"/>
        <v>-1</v>
      </c>
    </row>
    <row r="63" spans="1:37">
      <c r="A63" s="443">
        <v>46329.875</v>
      </c>
      <c r="C63" s="444" cm="1">
        <f t="array" ref="C63">A63+INDEX($V$3:V$93,$C$1)*INDEX($W$3:$W$93,$C$1)</f>
        <v>46329.875</v>
      </c>
      <c r="E63" s="444"/>
      <c r="P63" s="397">
        <v>61</v>
      </c>
      <c r="Q63" s="397" t="s">
        <v>76</v>
      </c>
      <c r="R63" s="397">
        <f t="shared" si="9"/>
        <v>-7</v>
      </c>
      <c r="S63" s="448">
        <f t="shared" si="9"/>
        <v>0.29166666666666669</v>
      </c>
      <c r="T63" s="397">
        <f t="shared" si="9"/>
        <v>0</v>
      </c>
      <c r="U63" s="397">
        <f t="shared" si="9"/>
        <v>-9</v>
      </c>
      <c r="V63" s="448">
        <f t="shared" si="9"/>
        <v>0.375</v>
      </c>
      <c r="W63" s="397">
        <f t="shared" si="9"/>
        <v>-1</v>
      </c>
      <c r="Z63" s="397">
        <v>61</v>
      </c>
      <c r="AA63" s="397" t="s">
        <v>76</v>
      </c>
      <c r="AB63" s="397">
        <v>-7</v>
      </c>
      <c r="AC63" s="448">
        <f t="shared" si="2"/>
        <v>0.29166666666666669</v>
      </c>
      <c r="AD63" s="397">
        <f t="shared" si="3"/>
        <v>0</v>
      </c>
      <c r="AE63" s="397">
        <f t="shared" si="4"/>
        <v>-9</v>
      </c>
      <c r="AF63" s="448">
        <f t="shared" si="5"/>
        <v>0.375</v>
      </c>
      <c r="AG63" s="397">
        <f t="shared" si="6"/>
        <v>-1</v>
      </c>
    </row>
    <row r="64" spans="1:37">
      <c r="A64" s="443">
        <v>46329.875</v>
      </c>
      <c r="C64" s="444" cm="1">
        <f t="array" ref="C64">A64+INDEX($V$3:V$93,$C$1)*INDEX($W$3:$W$93,$C$1)</f>
        <v>46329.875</v>
      </c>
      <c r="E64" s="444"/>
      <c r="P64" s="397">
        <v>62</v>
      </c>
      <c r="Q64" s="397" t="s">
        <v>77</v>
      </c>
      <c r="R64" s="397">
        <f t="shared" si="9"/>
        <v>-6</v>
      </c>
      <c r="S64" s="448">
        <f t="shared" si="9"/>
        <v>0.25</v>
      </c>
      <c r="T64" s="397">
        <f t="shared" si="9"/>
        <v>0</v>
      </c>
      <c r="U64" s="397">
        <f t="shared" si="9"/>
        <v>-8</v>
      </c>
      <c r="V64" s="448">
        <f t="shared" si="9"/>
        <v>0.33333333333333331</v>
      </c>
      <c r="W64" s="397">
        <f t="shared" si="9"/>
        <v>-1</v>
      </c>
      <c r="Z64" s="397">
        <v>62</v>
      </c>
      <c r="AA64" s="397" t="s">
        <v>77</v>
      </c>
      <c r="AB64" s="397">
        <v>-6</v>
      </c>
      <c r="AC64" s="448">
        <f t="shared" si="2"/>
        <v>0.25</v>
      </c>
      <c r="AD64" s="397">
        <f t="shared" si="3"/>
        <v>0</v>
      </c>
      <c r="AE64" s="397">
        <f t="shared" si="4"/>
        <v>-8</v>
      </c>
      <c r="AF64" s="448">
        <f t="shared" si="5"/>
        <v>0.33333333333333331</v>
      </c>
      <c r="AG64" s="397">
        <f t="shared" si="6"/>
        <v>-1</v>
      </c>
    </row>
    <row r="65" spans="1:33">
      <c r="A65" s="443">
        <v>46330.78125</v>
      </c>
      <c r="C65" s="444" cm="1">
        <f t="array" ref="C65">A65+INDEX($V$3:V$93,$C$1)*INDEX($W$3:$W$93,$C$1)</f>
        <v>46330.78125</v>
      </c>
      <c r="E65" s="444"/>
      <c r="P65" s="397">
        <v>63</v>
      </c>
      <c r="Q65" s="397" t="s">
        <v>78</v>
      </c>
      <c r="R65" s="397">
        <f t="shared" si="9"/>
        <v>-5</v>
      </c>
      <c r="S65" s="448">
        <f t="shared" si="9"/>
        <v>0.20833333333333334</v>
      </c>
      <c r="T65" s="397">
        <f t="shared" si="9"/>
        <v>0</v>
      </c>
      <c r="U65" s="397">
        <f t="shared" si="9"/>
        <v>-7</v>
      </c>
      <c r="V65" s="448">
        <f t="shared" si="9"/>
        <v>0.29166666666666669</v>
      </c>
      <c r="W65" s="397">
        <f t="shared" si="9"/>
        <v>-1</v>
      </c>
      <c r="Z65" s="397">
        <v>63</v>
      </c>
      <c r="AA65" s="397" t="s">
        <v>78</v>
      </c>
      <c r="AB65" s="397">
        <v>-5</v>
      </c>
      <c r="AC65" s="448">
        <f t="shared" si="2"/>
        <v>0.20833333333333334</v>
      </c>
      <c r="AD65" s="397">
        <f t="shared" si="3"/>
        <v>0</v>
      </c>
      <c r="AE65" s="397">
        <f t="shared" si="4"/>
        <v>-7</v>
      </c>
      <c r="AF65" s="448">
        <f t="shared" si="5"/>
        <v>0.29166666666666669</v>
      </c>
      <c r="AG65" s="397">
        <f t="shared" si="6"/>
        <v>-1</v>
      </c>
    </row>
    <row r="66" spans="1:33">
      <c r="A66" s="443">
        <v>46330.78125</v>
      </c>
      <c r="C66" s="444" cm="1">
        <f t="array" ref="C66">A66+INDEX($V$3:V$93,$C$1)*INDEX($W$3:$W$93,$C$1)</f>
        <v>46330.78125</v>
      </c>
      <c r="E66" s="444"/>
      <c r="P66" s="397">
        <v>64</v>
      </c>
      <c r="Q66" s="397" t="s">
        <v>79</v>
      </c>
      <c r="R66" s="397">
        <f t="shared" si="9"/>
        <v>-4</v>
      </c>
      <c r="S66" s="448">
        <f t="shared" si="9"/>
        <v>0.16666666666666666</v>
      </c>
      <c r="T66" s="397">
        <f t="shared" si="9"/>
        <v>0</v>
      </c>
      <c r="U66" s="397">
        <f t="shared" si="9"/>
        <v>-6</v>
      </c>
      <c r="V66" s="448">
        <f t="shared" si="9"/>
        <v>0.25</v>
      </c>
      <c r="W66" s="397">
        <f t="shared" si="9"/>
        <v>-1</v>
      </c>
      <c r="Z66" s="397">
        <v>64</v>
      </c>
      <c r="AA66" s="397" t="s">
        <v>79</v>
      </c>
      <c r="AB66" s="397">
        <v>-4</v>
      </c>
      <c r="AC66" s="448">
        <f t="shared" si="2"/>
        <v>0.16666666666666666</v>
      </c>
      <c r="AD66" s="397">
        <f t="shared" si="3"/>
        <v>0</v>
      </c>
      <c r="AE66" s="397">
        <f t="shared" si="4"/>
        <v>-6</v>
      </c>
      <c r="AF66" s="448">
        <f t="shared" si="5"/>
        <v>0.25</v>
      </c>
      <c r="AG66" s="397">
        <f t="shared" si="6"/>
        <v>-1</v>
      </c>
    </row>
    <row r="67" spans="1:33">
      <c r="A67" s="443">
        <v>46330.875</v>
      </c>
      <c r="C67" s="444" cm="1">
        <f t="array" ref="C67">A67+INDEX($V$3:V$93,$C$1)*INDEX($W$3:$W$93,$C$1)</f>
        <v>46330.875</v>
      </c>
      <c r="E67" s="444"/>
      <c r="P67" s="397">
        <v>65</v>
      </c>
      <c r="Q67" s="397" t="s">
        <v>80</v>
      </c>
      <c r="R67" s="397">
        <f t="shared" ref="R67:W93" si="10">INDEX(AB$3:AB$93,MATCH($Q67,$AA$3:$AA$93,0))</f>
        <v>-3.5</v>
      </c>
      <c r="S67" s="448">
        <f t="shared" si="10"/>
        <v>0.14583333333333334</v>
      </c>
      <c r="T67" s="397">
        <f t="shared" si="10"/>
        <v>0</v>
      </c>
      <c r="U67" s="397">
        <f t="shared" si="10"/>
        <v>-5.5</v>
      </c>
      <c r="V67" s="448">
        <f t="shared" si="10"/>
        <v>0.22916666666666666</v>
      </c>
      <c r="W67" s="397">
        <f t="shared" si="10"/>
        <v>-1</v>
      </c>
      <c r="Z67" s="397">
        <v>65</v>
      </c>
      <c r="AA67" s="397" t="s">
        <v>80</v>
      </c>
      <c r="AB67" s="397">
        <v>-3.5</v>
      </c>
      <c r="AC67" s="448">
        <f t="shared" si="2"/>
        <v>0.14583333333333334</v>
      </c>
      <c r="AD67" s="397">
        <f t="shared" si="3"/>
        <v>0</v>
      </c>
      <c r="AE67" s="397">
        <f t="shared" si="4"/>
        <v>-5.5</v>
      </c>
      <c r="AF67" s="448">
        <f t="shared" si="5"/>
        <v>0.22916666666666666</v>
      </c>
      <c r="AG67" s="397">
        <f t="shared" si="6"/>
        <v>-1</v>
      </c>
    </row>
    <row r="68" spans="1:33">
      <c r="A68" s="443">
        <v>46330.875</v>
      </c>
      <c r="C68" s="444" cm="1">
        <f t="array" ref="C68">A68+INDEX($V$3:V$93,$C$1)*INDEX($W$3:$W$93,$C$1)</f>
        <v>46330.875</v>
      </c>
      <c r="E68" s="444"/>
      <c r="P68" s="397">
        <v>66</v>
      </c>
      <c r="Q68" s="397" t="s">
        <v>81</v>
      </c>
      <c r="R68" s="397">
        <f t="shared" si="10"/>
        <v>-3</v>
      </c>
      <c r="S68" s="448">
        <f t="shared" si="10"/>
        <v>0.125</v>
      </c>
      <c r="T68" s="397">
        <f t="shared" si="10"/>
        <v>0</v>
      </c>
      <c r="U68" s="397">
        <f t="shared" si="10"/>
        <v>-5</v>
      </c>
      <c r="V68" s="448">
        <f t="shared" si="10"/>
        <v>0.20833333333333334</v>
      </c>
      <c r="W68" s="397">
        <f t="shared" si="10"/>
        <v>-1</v>
      </c>
      <c r="Z68" s="397">
        <v>66</v>
      </c>
      <c r="AA68" s="397" t="s">
        <v>81</v>
      </c>
      <c r="AB68" s="397">
        <v>-3</v>
      </c>
      <c r="AC68" s="448">
        <f t="shared" ref="AC68:AC93" si="11">ABS(AB68/24)</f>
        <v>0.125</v>
      </c>
      <c r="AD68" s="397">
        <f t="shared" ref="AD68:AD93" si="12">IF(AA68=$L$2,1,0)</f>
        <v>0</v>
      </c>
      <c r="AE68" s="397">
        <f t="shared" ref="AE68:AE93" si="13">AB68-$M$2</f>
        <v>-5</v>
      </c>
      <c r="AF68" s="448">
        <f t="shared" ref="AF68:AF93" si="14">ABS(AE68/24)</f>
        <v>0.20833333333333334</v>
      </c>
      <c r="AG68" s="397">
        <f t="shared" ref="AG68:AG93" si="15">IF(AB68&gt;$M$2,1,IF(AB68=$M$2,0,-1))</f>
        <v>-1</v>
      </c>
    </row>
    <row r="69" spans="1:33">
      <c r="A69" s="443">
        <v>46330.875</v>
      </c>
      <c r="C69" s="444" cm="1">
        <f t="array" ref="C69">A69+INDEX($V$3:V$93,$C$1)*INDEX($W$3:$W$93,$C$1)</f>
        <v>46330.875</v>
      </c>
      <c r="E69" s="444"/>
      <c r="P69" s="397">
        <v>67</v>
      </c>
      <c r="Q69" s="397" t="s">
        <v>82</v>
      </c>
      <c r="R69" s="397">
        <f t="shared" si="10"/>
        <v>-2</v>
      </c>
      <c r="S69" s="448">
        <f t="shared" si="10"/>
        <v>8.3333333333333329E-2</v>
      </c>
      <c r="T69" s="397">
        <f t="shared" si="10"/>
        <v>0</v>
      </c>
      <c r="U69" s="397">
        <f t="shared" si="10"/>
        <v>-4</v>
      </c>
      <c r="V69" s="448">
        <f t="shared" si="10"/>
        <v>0.16666666666666666</v>
      </c>
      <c r="W69" s="397">
        <f t="shared" si="10"/>
        <v>-1</v>
      </c>
      <c r="Z69" s="397">
        <v>67</v>
      </c>
      <c r="AA69" s="397" t="s">
        <v>82</v>
      </c>
      <c r="AB69" s="397">
        <v>-2</v>
      </c>
      <c r="AC69" s="448">
        <f t="shared" si="11"/>
        <v>8.3333333333333329E-2</v>
      </c>
      <c r="AD69" s="397">
        <f t="shared" si="12"/>
        <v>0</v>
      </c>
      <c r="AE69" s="397">
        <f t="shared" si="13"/>
        <v>-4</v>
      </c>
      <c r="AF69" s="448">
        <f t="shared" si="14"/>
        <v>0.16666666666666666</v>
      </c>
      <c r="AG69" s="397">
        <f t="shared" si="15"/>
        <v>-1</v>
      </c>
    </row>
    <row r="70" spans="1:33">
      <c r="A70" s="443">
        <v>46330.875</v>
      </c>
      <c r="C70" s="444" cm="1">
        <f t="array" ref="C70">A70+INDEX($V$3:V$93,$C$1)*INDEX($W$3:$W$93,$C$1)</f>
        <v>46330.875</v>
      </c>
      <c r="E70" s="444"/>
      <c r="P70" s="397">
        <v>68</v>
      </c>
      <c r="Q70" s="397" t="s">
        <v>83</v>
      </c>
      <c r="R70" s="397">
        <f t="shared" si="10"/>
        <v>-1</v>
      </c>
      <c r="S70" s="448">
        <f t="shared" si="10"/>
        <v>4.1666666666666664E-2</v>
      </c>
      <c r="T70" s="397">
        <f t="shared" si="10"/>
        <v>0</v>
      </c>
      <c r="U70" s="397">
        <f t="shared" si="10"/>
        <v>-3</v>
      </c>
      <c r="V70" s="448">
        <f t="shared" si="10"/>
        <v>0.125</v>
      </c>
      <c r="W70" s="397">
        <f t="shared" si="10"/>
        <v>-1</v>
      </c>
      <c r="Z70" s="397">
        <v>68</v>
      </c>
      <c r="AA70" s="397" t="s">
        <v>83</v>
      </c>
      <c r="AB70" s="397">
        <v>-1</v>
      </c>
      <c r="AC70" s="448">
        <f t="shared" si="11"/>
        <v>4.1666666666666664E-2</v>
      </c>
      <c r="AD70" s="397">
        <f t="shared" si="12"/>
        <v>0</v>
      </c>
      <c r="AE70" s="397">
        <f t="shared" si="13"/>
        <v>-3</v>
      </c>
      <c r="AF70" s="448">
        <f t="shared" si="14"/>
        <v>0.125</v>
      </c>
      <c r="AG70" s="397">
        <f t="shared" si="15"/>
        <v>-1</v>
      </c>
    </row>
    <row r="71" spans="1:33">
      <c r="A71" s="443">
        <v>46330.875</v>
      </c>
      <c r="C71" s="444" cm="1">
        <f t="array" ref="C71">A71+INDEX($V$3:V$93,$C$1)*INDEX($W$3:$W$93,$C$1)</f>
        <v>46330.875</v>
      </c>
      <c r="E71" s="444"/>
      <c r="P71" s="397">
        <v>69</v>
      </c>
      <c r="Q71" s="397" t="s">
        <v>58</v>
      </c>
      <c r="R71" s="397">
        <f t="shared" si="10"/>
        <v>0</v>
      </c>
      <c r="S71" s="448">
        <f t="shared" si="10"/>
        <v>0</v>
      </c>
      <c r="T71" s="397">
        <f t="shared" si="10"/>
        <v>0</v>
      </c>
      <c r="U71" s="397">
        <f t="shared" si="10"/>
        <v>-2</v>
      </c>
      <c r="V71" s="448">
        <f t="shared" si="10"/>
        <v>8.3333333333333329E-2</v>
      </c>
      <c r="W71" s="397">
        <f t="shared" si="10"/>
        <v>-1</v>
      </c>
      <c r="Z71" s="397">
        <v>69</v>
      </c>
      <c r="AA71" s="397" t="s">
        <v>58</v>
      </c>
      <c r="AB71" s="397">
        <v>0</v>
      </c>
      <c r="AC71" s="448">
        <f t="shared" si="11"/>
        <v>0</v>
      </c>
      <c r="AD71" s="397">
        <f t="shared" si="12"/>
        <v>0</v>
      </c>
      <c r="AE71" s="397">
        <f t="shared" si="13"/>
        <v>-2</v>
      </c>
      <c r="AF71" s="448">
        <f t="shared" si="14"/>
        <v>8.3333333333333329E-2</v>
      </c>
      <c r="AG71" s="397">
        <f t="shared" si="15"/>
        <v>-1</v>
      </c>
    </row>
    <row r="72" spans="1:33">
      <c r="A72" s="443">
        <v>46330.875</v>
      </c>
      <c r="C72" s="444" cm="1">
        <f t="array" ref="C72">A72+INDEX($V$3:V$93,$C$1)*INDEX($W$3:$W$93,$C$1)</f>
        <v>46330.875</v>
      </c>
      <c r="E72" s="444"/>
      <c r="P72" s="397">
        <v>70</v>
      </c>
      <c r="Q72" s="397" t="s">
        <v>84</v>
      </c>
      <c r="R72" s="397">
        <f t="shared" si="10"/>
        <v>1</v>
      </c>
      <c r="S72" s="448">
        <f t="shared" si="10"/>
        <v>4.1666666666666664E-2</v>
      </c>
      <c r="T72" s="397">
        <f t="shared" si="10"/>
        <v>0</v>
      </c>
      <c r="U72" s="397">
        <f t="shared" si="10"/>
        <v>-1</v>
      </c>
      <c r="V72" s="448">
        <f t="shared" si="10"/>
        <v>4.1666666666666664E-2</v>
      </c>
      <c r="W72" s="397">
        <f t="shared" si="10"/>
        <v>-1</v>
      </c>
      <c r="Z72" s="397">
        <v>70</v>
      </c>
      <c r="AA72" s="397" t="s">
        <v>84</v>
      </c>
      <c r="AB72" s="397">
        <v>1</v>
      </c>
      <c r="AC72" s="448">
        <f t="shared" si="11"/>
        <v>4.1666666666666664E-2</v>
      </c>
      <c r="AD72" s="397">
        <f t="shared" si="12"/>
        <v>0</v>
      </c>
      <c r="AE72" s="397">
        <f t="shared" si="13"/>
        <v>-1</v>
      </c>
      <c r="AF72" s="448">
        <f t="shared" si="14"/>
        <v>4.1666666666666664E-2</v>
      </c>
      <c r="AG72" s="397">
        <f t="shared" si="15"/>
        <v>-1</v>
      </c>
    </row>
    <row r="73" spans="1:33" ht="17" thickBot="1">
      <c r="A73" s="449">
        <v>46330.875</v>
      </c>
      <c r="C73" s="444" cm="1">
        <f t="array" ref="C73">A73+INDEX($V$3:V$93,$C$1)*INDEX($W$3:$W$93,$C$1)</f>
        <v>46330.875</v>
      </c>
      <c r="E73" s="444"/>
      <c r="P73" s="397">
        <v>71</v>
      </c>
      <c r="Q73" s="397" t="s">
        <v>85</v>
      </c>
      <c r="R73" s="397">
        <f t="shared" si="10"/>
        <v>2</v>
      </c>
      <c r="S73" s="448">
        <f t="shared" si="10"/>
        <v>8.3333333333333329E-2</v>
      </c>
      <c r="T73" s="397">
        <f t="shared" si="10"/>
        <v>0</v>
      </c>
      <c r="U73" s="397">
        <f t="shared" si="10"/>
        <v>0</v>
      </c>
      <c r="V73" s="448">
        <f t="shared" si="10"/>
        <v>0</v>
      </c>
      <c r="W73" s="397">
        <f t="shared" si="10"/>
        <v>0</v>
      </c>
      <c r="Z73" s="397">
        <v>71</v>
      </c>
      <c r="AA73" s="397" t="s">
        <v>85</v>
      </c>
      <c r="AB73" s="397">
        <v>2</v>
      </c>
      <c r="AC73" s="448">
        <f t="shared" si="11"/>
        <v>8.3333333333333329E-2</v>
      </c>
      <c r="AD73" s="397">
        <f t="shared" si="12"/>
        <v>0</v>
      </c>
      <c r="AE73" s="397">
        <f t="shared" si="13"/>
        <v>0</v>
      </c>
      <c r="AF73" s="448">
        <f t="shared" si="14"/>
        <v>0</v>
      </c>
      <c r="AG73" s="397">
        <f t="shared" si="15"/>
        <v>0</v>
      </c>
    </row>
    <row r="74" spans="1:33">
      <c r="A74" s="443">
        <v>46350.78125</v>
      </c>
      <c r="C74" s="444" cm="1">
        <f t="array" ref="C74">A74+INDEX($V$3:V$93,$C$1)*INDEX($W$3:$W$93,$C$1)</f>
        <v>46350.78125</v>
      </c>
      <c r="E74" s="444"/>
      <c r="P74" s="397">
        <v>72</v>
      </c>
      <c r="Q74" s="397" t="s">
        <v>86</v>
      </c>
      <c r="R74" s="397">
        <f t="shared" si="10"/>
        <v>3</v>
      </c>
      <c r="S74" s="448">
        <f t="shared" si="10"/>
        <v>0.125</v>
      </c>
      <c r="T74" s="397">
        <f t="shared" si="10"/>
        <v>0</v>
      </c>
      <c r="U74" s="397">
        <f t="shared" si="10"/>
        <v>1</v>
      </c>
      <c r="V74" s="448">
        <f t="shared" si="10"/>
        <v>4.1666666666666664E-2</v>
      </c>
      <c r="W74" s="397">
        <f t="shared" si="10"/>
        <v>1</v>
      </c>
      <c r="Z74" s="397">
        <v>72</v>
      </c>
      <c r="AA74" s="397" t="s">
        <v>86</v>
      </c>
      <c r="AB74" s="397">
        <v>3</v>
      </c>
      <c r="AC74" s="448">
        <f t="shared" si="11"/>
        <v>0.125</v>
      </c>
      <c r="AD74" s="397">
        <f t="shared" si="12"/>
        <v>0</v>
      </c>
      <c r="AE74" s="397">
        <f t="shared" si="13"/>
        <v>1</v>
      </c>
      <c r="AF74" s="448">
        <f t="shared" si="14"/>
        <v>4.1666666666666664E-2</v>
      </c>
      <c r="AG74" s="397">
        <f t="shared" si="15"/>
        <v>1</v>
      </c>
    </row>
    <row r="75" spans="1:33">
      <c r="A75" s="443">
        <v>46350.78125</v>
      </c>
      <c r="C75" s="444" cm="1">
        <f t="array" ref="C75">A75+INDEX($V$3:V$93,$C$1)*INDEX($W$3:$W$93,$C$1)</f>
        <v>46350.78125</v>
      </c>
      <c r="E75" s="444"/>
      <c r="P75" s="397">
        <v>73</v>
      </c>
      <c r="Q75" s="397" t="s">
        <v>87</v>
      </c>
      <c r="R75" s="397">
        <f t="shared" si="10"/>
        <v>3.5</v>
      </c>
      <c r="S75" s="448">
        <f t="shared" si="10"/>
        <v>0.14583333333333334</v>
      </c>
      <c r="T75" s="397">
        <f t="shared" si="10"/>
        <v>0</v>
      </c>
      <c r="U75" s="397">
        <f t="shared" si="10"/>
        <v>1.5</v>
      </c>
      <c r="V75" s="448">
        <f t="shared" si="10"/>
        <v>6.25E-2</v>
      </c>
      <c r="W75" s="397">
        <f t="shared" si="10"/>
        <v>1</v>
      </c>
      <c r="Z75" s="397">
        <v>73</v>
      </c>
      <c r="AA75" s="397" t="s">
        <v>87</v>
      </c>
      <c r="AB75" s="397">
        <v>3.5</v>
      </c>
      <c r="AC75" s="448">
        <f t="shared" si="11"/>
        <v>0.14583333333333334</v>
      </c>
      <c r="AD75" s="397">
        <f t="shared" si="12"/>
        <v>0</v>
      </c>
      <c r="AE75" s="397">
        <f t="shared" si="13"/>
        <v>1.5</v>
      </c>
      <c r="AF75" s="448">
        <f t="shared" si="14"/>
        <v>6.25E-2</v>
      </c>
      <c r="AG75" s="397">
        <f t="shared" si="15"/>
        <v>1</v>
      </c>
    </row>
    <row r="76" spans="1:33">
      <c r="A76" s="443">
        <v>46350.875</v>
      </c>
      <c r="C76" s="444" cm="1">
        <f t="array" ref="C76">A76+INDEX($V$3:V$93,$C$1)*INDEX($W$3:$W$93,$C$1)</f>
        <v>46350.875</v>
      </c>
      <c r="E76" s="444"/>
      <c r="P76" s="397">
        <v>74</v>
      </c>
      <c r="Q76" s="397" t="s">
        <v>88</v>
      </c>
      <c r="R76" s="397">
        <f t="shared" si="10"/>
        <v>4</v>
      </c>
      <c r="S76" s="448">
        <f t="shared" si="10"/>
        <v>0.16666666666666666</v>
      </c>
      <c r="T76" s="397">
        <f t="shared" si="10"/>
        <v>0</v>
      </c>
      <c r="U76" s="397">
        <f t="shared" si="10"/>
        <v>2</v>
      </c>
      <c r="V76" s="448">
        <f t="shared" si="10"/>
        <v>8.3333333333333329E-2</v>
      </c>
      <c r="W76" s="397">
        <f t="shared" si="10"/>
        <v>1</v>
      </c>
      <c r="Z76" s="397">
        <v>74</v>
      </c>
      <c r="AA76" s="397" t="s">
        <v>88</v>
      </c>
      <c r="AB76" s="397">
        <v>4</v>
      </c>
      <c r="AC76" s="448">
        <f t="shared" si="11"/>
        <v>0.16666666666666666</v>
      </c>
      <c r="AD76" s="397">
        <f t="shared" si="12"/>
        <v>0</v>
      </c>
      <c r="AE76" s="397">
        <f t="shared" si="13"/>
        <v>2</v>
      </c>
      <c r="AF76" s="448">
        <f t="shared" si="14"/>
        <v>8.3333333333333329E-2</v>
      </c>
      <c r="AG76" s="397">
        <f t="shared" si="15"/>
        <v>1</v>
      </c>
    </row>
    <row r="77" spans="1:33">
      <c r="A77" s="443">
        <v>46350.875</v>
      </c>
      <c r="C77" s="444" cm="1">
        <f t="array" ref="C77">A77+INDEX($V$3:V$93,$C$1)*INDEX($W$3:$W$93,$C$1)</f>
        <v>46350.875</v>
      </c>
      <c r="E77" s="444"/>
      <c r="P77" s="397">
        <v>75</v>
      </c>
      <c r="Q77" s="397" t="s">
        <v>89</v>
      </c>
      <c r="R77" s="397">
        <f t="shared" si="10"/>
        <v>4.5</v>
      </c>
      <c r="S77" s="448">
        <f t="shared" si="10"/>
        <v>0.1875</v>
      </c>
      <c r="T77" s="397">
        <f t="shared" si="10"/>
        <v>0</v>
      </c>
      <c r="U77" s="397">
        <f t="shared" si="10"/>
        <v>2.5</v>
      </c>
      <c r="V77" s="448">
        <f t="shared" si="10"/>
        <v>0.10416666666666667</v>
      </c>
      <c r="W77" s="397">
        <f t="shared" si="10"/>
        <v>1</v>
      </c>
      <c r="Z77" s="397">
        <v>75</v>
      </c>
      <c r="AA77" s="397" t="s">
        <v>89</v>
      </c>
      <c r="AB77" s="397">
        <v>4.5</v>
      </c>
      <c r="AC77" s="448">
        <f t="shared" si="11"/>
        <v>0.1875</v>
      </c>
      <c r="AD77" s="397">
        <f t="shared" si="12"/>
        <v>0</v>
      </c>
      <c r="AE77" s="397">
        <f t="shared" si="13"/>
        <v>2.5</v>
      </c>
      <c r="AF77" s="448">
        <f t="shared" si="14"/>
        <v>0.10416666666666667</v>
      </c>
      <c r="AG77" s="397">
        <f t="shared" si="15"/>
        <v>1</v>
      </c>
    </row>
    <row r="78" spans="1:33">
      <c r="A78" s="443">
        <v>46350.875</v>
      </c>
      <c r="C78" s="444" cm="1">
        <f t="array" ref="C78">A78+INDEX($V$3:V$93,$C$1)*INDEX($W$3:$W$93,$C$1)</f>
        <v>46350.875</v>
      </c>
      <c r="E78" s="444"/>
      <c r="P78" s="397">
        <v>76</v>
      </c>
      <c r="Q78" s="397" t="s">
        <v>90</v>
      </c>
      <c r="R78" s="397">
        <f t="shared" si="10"/>
        <v>5</v>
      </c>
      <c r="S78" s="448">
        <f t="shared" si="10"/>
        <v>0.20833333333333334</v>
      </c>
      <c r="T78" s="397">
        <f t="shared" si="10"/>
        <v>0</v>
      </c>
      <c r="U78" s="397">
        <f t="shared" si="10"/>
        <v>3</v>
      </c>
      <c r="V78" s="448">
        <f t="shared" si="10"/>
        <v>0.125</v>
      </c>
      <c r="W78" s="397">
        <f t="shared" si="10"/>
        <v>1</v>
      </c>
      <c r="Z78" s="397">
        <v>76</v>
      </c>
      <c r="AA78" s="397" t="s">
        <v>90</v>
      </c>
      <c r="AB78" s="397">
        <v>5</v>
      </c>
      <c r="AC78" s="448">
        <f t="shared" si="11"/>
        <v>0.20833333333333334</v>
      </c>
      <c r="AD78" s="397">
        <f t="shared" si="12"/>
        <v>0</v>
      </c>
      <c r="AE78" s="397">
        <f t="shared" si="13"/>
        <v>3</v>
      </c>
      <c r="AF78" s="448">
        <f t="shared" si="14"/>
        <v>0.125</v>
      </c>
      <c r="AG78" s="397">
        <f t="shared" si="15"/>
        <v>1</v>
      </c>
    </row>
    <row r="79" spans="1:33">
      <c r="A79" s="443">
        <v>46350.875</v>
      </c>
      <c r="C79" s="444" cm="1">
        <f t="array" ref="C79">A79+INDEX($V$3:V$93,$C$1)*INDEX($W$3:$W$93,$C$1)</f>
        <v>46350.875</v>
      </c>
      <c r="E79" s="444"/>
      <c r="P79" s="397">
        <v>77</v>
      </c>
      <c r="Q79" s="397" t="s">
        <v>91</v>
      </c>
      <c r="R79" s="397">
        <f t="shared" si="10"/>
        <v>5.5</v>
      </c>
      <c r="S79" s="448">
        <f t="shared" si="10"/>
        <v>0.22916666666666666</v>
      </c>
      <c r="T79" s="397">
        <f t="shared" si="10"/>
        <v>0</v>
      </c>
      <c r="U79" s="397">
        <f t="shared" si="10"/>
        <v>3.5</v>
      </c>
      <c r="V79" s="448">
        <f t="shared" si="10"/>
        <v>0.14583333333333334</v>
      </c>
      <c r="W79" s="397">
        <f t="shared" si="10"/>
        <v>1</v>
      </c>
      <c r="Z79" s="397">
        <v>77</v>
      </c>
      <c r="AA79" s="397" t="s">
        <v>91</v>
      </c>
      <c r="AB79" s="397">
        <v>5.5</v>
      </c>
      <c r="AC79" s="448">
        <f t="shared" si="11"/>
        <v>0.22916666666666666</v>
      </c>
      <c r="AD79" s="397">
        <f t="shared" si="12"/>
        <v>0</v>
      </c>
      <c r="AE79" s="397">
        <f t="shared" si="13"/>
        <v>3.5</v>
      </c>
      <c r="AF79" s="448">
        <f t="shared" si="14"/>
        <v>0.14583333333333334</v>
      </c>
      <c r="AG79" s="397">
        <f t="shared" si="15"/>
        <v>1</v>
      </c>
    </row>
    <row r="80" spans="1:33">
      <c r="A80" s="443">
        <v>46350.875</v>
      </c>
      <c r="C80" s="444" cm="1">
        <f t="array" ref="C80">A80+INDEX($V$3:V$93,$C$1)*INDEX($W$3:$W$93,$C$1)</f>
        <v>46350.875</v>
      </c>
      <c r="E80" s="444"/>
      <c r="P80" s="397">
        <v>78</v>
      </c>
      <c r="Q80" s="397" t="s">
        <v>92</v>
      </c>
      <c r="R80" s="397">
        <f t="shared" si="10"/>
        <v>5.75</v>
      </c>
      <c r="S80" s="448">
        <f t="shared" si="10"/>
        <v>0.23958333333333334</v>
      </c>
      <c r="T80" s="397">
        <f t="shared" si="10"/>
        <v>0</v>
      </c>
      <c r="U80" s="397">
        <f t="shared" si="10"/>
        <v>3.75</v>
      </c>
      <c r="V80" s="448">
        <f t="shared" si="10"/>
        <v>0.15625</v>
      </c>
      <c r="W80" s="397">
        <f t="shared" si="10"/>
        <v>1</v>
      </c>
      <c r="Z80" s="397">
        <v>78</v>
      </c>
      <c r="AA80" s="397" t="s">
        <v>92</v>
      </c>
      <c r="AB80" s="397">
        <v>5.75</v>
      </c>
      <c r="AC80" s="448">
        <f t="shared" si="11"/>
        <v>0.23958333333333334</v>
      </c>
      <c r="AD80" s="397">
        <f t="shared" si="12"/>
        <v>0</v>
      </c>
      <c r="AE80" s="397">
        <f t="shared" si="13"/>
        <v>3.75</v>
      </c>
      <c r="AF80" s="448">
        <f t="shared" si="14"/>
        <v>0.15625</v>
      </c>
      <c r="AG80" s="397">
        <f t="shared" si="15"/>
        <v>1</v>
      </c>
    </row>
    <row r="81" spans="1:33">
      <c r="A81" s="443">
        <v>46350.875</v>
      </c>
      <c r="C81" s="444" cm="1">
        <f t="array" ref="C81">A81+INDEX($V$3:V$93,$C$1)*INDEX($W$3:$W$93,$C$1)</f>
        <v>46350.875</v>
      </c>
      <c r="E81" s="444"/>
      <c r="P81" s="397">
        <v>79</v>
      </c>
      <c r="Q81" s="397" t="s">
        <v>93</v>
      </c>
      <c r="R81" s="397">
        <f t="shared" si="10"/>
        <v>6</v>
      </c>
      <c r="S81" s="448">
        <f t="shared" si="10"/>
        <v>0.25</v>
      </c>
      <c r="T81" s="397">
        <f t="shared" si="10"/>
        <v>0</v>
      </c>
      <c r="U81" s="397">
        <f t="shared" si="10"/>
        <v>4</v>
      </c>
      <c r="V81" s="448">
        <f t="shared" si="10"/>
        <v>0.16666666666666666</v>
      </c>
      <c r="W81" s="397">
        <f t="shared" si="10"/>
        <v>1</v>
      </c>
      <c r="Z81" s="397">
        <v>79</v>
      </c>
      <c r="AA81" s="397" t="s">
        <v>93</v>
      </c>
      <c r="AB81" s="397">
        <v>6</v>
      </c>
      <c r="AC81" s="448">
        <f t="shared" si="11"/>
        <v>0.25</v>
      </c>
      <c r="AD81" s="397">
        <f t="shared" si="12"/>
        <v>0</v>
      </c>
      <c r="AE81" s="397">
        <f t="shared" si="13"/>
        <v>4</v>
      </c>
      <c r="AF81" s="448">
        <f t="shared" si="14"/>
        <v>0.16666666666666666</v>
      </c>
      <c r="AG81" s="397">
        <f t="shared" si="15"/>
        <v>1</v>
      </c>
    </row>
    <row r="82" spans="1:33">
      <c r="A82" s="443">
        <v>46350.875</v>
      </c>
      <c r="C82" s="444" cm="1">
        <f t="array" ref="C82">A82+INDEX($V$3:V$93,$C$1)*INDEX($W$3:$W$93,$C$1)</f>
        <v>46350.875</v>
      </c>
      <c r="E82" s="444"/>
      <c r="P82" s="397">
        <v>80</v>
      </c>
      <c r="Q82" s="397" t="s">
        <v>94</v>
      </c>
      <c r="R82" s="397">
        <f t="shared" si="10"/>
        <v>6.5</v>
      </c>
      <c r="S82" s="448">
        <f t="shared" si="10"/>
        <v>0.27083333333333331</v>
      </c>
      <c r="T82" s="397">
        <f t="shared" si="10"/>
        <v>0</v>
      </c>
      <c r="U82" s="397">
        <f t="shared" si="10"/>
        <v>4.5</v>
      </c>
      <c r="V82" s="448">
        <f t="shared" si="10"/>
        <v>0.1875</v>
      </c>
      <c r="W82" s="397">
        <f t="shared" si="10"/>
        <v>1</v>
      </c>
      <c r="Z82" s="397">
        <v>80</v>
      </c>
      <c r="AA82" s="397" t="s">
        <v>94</v>
      </c>
      <c r="AB82" s="397">
        <v>6.5</v>
      </c>
      <c r="AC82" s="448">
        <f t="shared" si="11"/>
        <v>0.27083333333333331</v>
      </c>
      <c r="AD82" s="397">
        <f t="shared" si="12"/>
        <v>0</v>
      </c>
      <c r="AE82" s="397">
        <f t="shared" si="13"/>
        <v>4.5</v>
      </c>
      <c r="AF82" s="448">
        <f t="shared" si="14"/>
        <v>0.1875</v>
      </c>
      <c r="AG82" s="397">
        <f t="shared" si="15"/>
        <v>1</v>
      </c>
    </row>
    <row r="83" spans="1:33">
      <c r="A83" s="443">
        <v>46351.78125</v>
      </c>
      <c r="C83" s="444" cm="1">
        <f t="array" ref="C83">A83+INDEX($V$3:V$93,$C$1)*INDEX($W$3:$W$93,$C$1)</f>
        <v>46351.78125</v>
      </c>
      <c r="E83" s="444"/>
      <c r="P83" s="397">
        <v>81</v>
      </c>
      <c r="Q83" s="397" t="s">
        <v>95</v>
      </c>
      <c r="R83" s="397">
        <f t="shared" si="10"/>
        <v>7</v>
      </c>
      <c r="S83" s="448">
        <f t="shared" si="10"/>
        <v>0.29166666666666669</v>
      </c>
      <c r="T83" s="397">
        <f t="shared" si="10"/>
        <v>0</v>
      </c>
      <c r="U83" s="397">
        <f t="shared" si="10"/>
        <v>5</v>
      </c>
      <c r="V83" s="448">
        <f t="shared" si="10"/>
        <v>0.20833333333333334</v>
      </c>
      <c r="W83" s="397">
        <f t="shared" si="10"/>
        <v>1</v>
      </c>
      <c r="Z83" s="397">
        <v>81</v>
      </c>
      <c r="AA83" s="397" t="s">
        <v>95</v>
      </c>
      <c r="AB83" s="397">
        <v>7</v>
      </c>
      <c r="AC83" s="448">
        <f t="shared" si="11"/>
        <v>0.29166666666666669</v>
      </c>
      <c r="AD83" s="397">
        <f t="shared" si="12"/>
        <v>0</v>
      </c>
      <c r="AE83" s="397">
        <f t="shared" si="13"/>
        <v>5</v>
      </c>
      <c r="AF83" s="448">
        <f t="shared" si="14"/>
        <v>0.20833333333333334</v>
      </c>
      <c r="AG83" s="397">
        <f t="shared" si="15"/>
        <v>1</v>
      </c>
    </row>
    <row r="84" spans="1:33">
      <c r="A84" s="443">
        <v>46351.78125</v>
      </c>
      <c r="C84" s="444" cm="1">
        <f t="array" ref="C84">A84+INDEX($V$3:V$93,$C$1)*INDEX($W$3:$W$93,$C$1)</f>
        <v>46351.78125</v>
      </c>
      <c r="E84" s="444"/>
      <c r="P84" s="397">
        <v>82</v>
      </c>
      <c r="Q84" s="397" t="s">
        <v>96</v>
      </c>
      <c r="R84" s="397">
        <f t="shared" si="10"/>
        <v>8</v>
      </c>
      <c r="S84" s="448">
        <f t="shared" si="10"/>
        <v>0.33333333333333331</v>
      </c>
      <c r="T84" s="397">
        <f t="shared" si="10"/>
        <v>0</v>
      </c>
      <c r="U84" s="397">
        <f t="shared" si="10"/>
        <v>6</v>
      </c>
      <c r="V84" s="448">
        <f t="shared" si="10"/>
        <v>0.25</v>
      </c>
      <c r="W84" s="397">
        <f t="shared" si="10"/>
        <v>1</v>
      </c>
      <c r="Z84" s="397">
        <v>82</v>
      </c>
      <c r="AA84" s="397" t="s">
        <v>96</v>
      </c>
      <c r="AB84" s="397">
        <v>8</v>
      </c>
      <c r="AC84" s="448">
        <f t="shared" si="11"/>
        <v>0.33333333333333331</v>
      </c>
      <c r="AD84" s="397">
        <f t="shared" si="12"/>
        <v>0</v>
      </c>
      <c r="AE84" s="397">
        <f t="shared" si="13"/>
        <v>6</v>
      </c>
      <c r="AF84" s="448">
        <f t="shared" si="14"/>
        <v>0.25</v>
      </c>
      <c r="AG84" s="397">
        <f t="shared" si="15"/>
        <v>1</v>
      </c>
    </row>
    <row r="85" spans="1:33">
      <c r="A85" s="443">
        <v>46351.875</v>
      </c>
      <c r="C85" s="444" cm="1">
        <f t="array" ref="C85">A85+INDEX($V$3:V$93,$C$1)*INDEX($W$3:$W$93,$C$1)</f>
        <v>46351.875</v>
      </c>
      <c r="E85" s="444"/>
      <c r="P85" s="397">
        <v>83</v>
      </c>
      <c r="Q85" s="397" t="s">
        <v>97</v>
      </c>
      <c r="R85" s="397">
        <f t="shared" si="10"/>
        <v>9</v>
      </c>
      <c r="S85" s="448">
        <f t="shared" si="10"/>
        <v>0.375</v>
      </c>
      <c r="T85" s="397">
        <f t="shared" si="10"/>
        <v>0</v>
      </c>
      <c r="U85" s="397">
        <f t="shared" si="10"/>
        <v>7</v>
      </c>
      <c r="V85" s="448">
        <f t="shared" si="10"/>
        <v>0.29166666666666669</v>
      </c>
      <c r="W85" s="397">
        <f t="shared" si="10"/>
        <v>1</v>
      </c>
      <c r="Z85" s="397">
        <v>83</v>
      </c>
      <c r="AA85" s="397" t="s">
        <v>97</v>
      </c>
      <c r="AB85" s="397">
        <v>9</v>
      </c>
      <c r="AC85" s="448">
        <f t="shared" si="11"/>
        <v>0.375</v>
      </c>
      <c r="AD85" s="397">
        <f t="shared" si="12"/>
        <v>0</v>
      </c>
      <c r="AE85" s="397">
        <f t="shared" si="13"/>
        <v>7</v>
      </c>
      <c r="AF85" s="448">
        <f t="shared" si="14"/>
        <v>0.29166666666666669</v>
      </c>
      <c r="AG85" s="397">
        <f t="shared" si="15"/>
        <v>1</v>
      </c>
    </row>
    <row r="86" spans="1:33">
      <c r="A86" s="443">
        <v>46351.875</v>
      </c>
      <c r="C86" s="444" cm="1">
        <f t="array" ref="C86">A86+INDEX($V$3:V$93,$C$1)*INDEX($W$3:$W$93,$C$1)</f>
        <v>46351.875</v>
      </c>
      <c r="E86" s="444"/>
      <c r="P86" s="397">
        <v>84</v>
      </c>
      <c r="Q86" s="397" t="s">
        <v>98</v>
      </c>
      <c r="R86" s="397">
        <f t="shared" si="10"/>
        <v>9.5</v>
      </c>
      <c r="S86" s="448">
        <f t="shared" si="10"/>
        <v>0.39583333333333331</v>
      </c>
      <c r="T86" s="397">
        <f t="shared" si="10"/>
        <v>0</v>
      </c>
      <c r="U86" s="397">
        <f t="shared" si="10"/>
        <v>7.5</v>
      </c>
      <c r="V86" s="448">
        <f t="shared" si="10"/>
        <v>0.3125</v>
      </c>
      <c r="W86" s="397">
        <f t="shared" si="10"/>
        <v>1</v>
      </c>
      <c r="Z86" s="397">
        <v>84</v>
      </c>
      <c r="AA86" s="397" t="s">
        <v>98</v>
      </c>
      <c r="AB86" s="397">
        <v>9.5</v>
      </c>
      <c r="AC86" s="448">
        <f t="shared" si="11"/>
        <v>0.39583333333333331</v>
      </c>
      <c r="AD86" s="397">
        <f t="shared" si="12"/>
        <v>0</v>
      </c>
      <c r="AE86" s="397">
        <f t="shared" si="13"/>
        <v>7.5</v>
      </c>
      <c r="AF86" s="448">
        <f t="shared" si="14"/>
        <v>0.3125</v>
      </c>
      <c r="AG86" s="397">
        <f t="shared" si="15"/>
        <v>1</v>
      </c>
    </row>
    <row r="87" spans="1:33">
      <c r="A87" s="443">
        <v>46351.875</v>
      </c>
      <c r="C87" s="444" cm="1">
        <f t="array" ref="C87">A87+INDEX($V$3:V$93,$C$1)*INDEX($W$3:$W$93,$C$1)</f>
        <v>46351.875</v>
      </c>
      <c r="P87" s="397">
        <v>85</v>
      </c>
      <c r="Q87" s="397" t="s">
        <v>99</v>
      </c>
      <c r="R87" s="397">
        <f t="shared" si="10"/>
        <v>10</v>
      </c>
      <c r="S87" s="448">
        <f t="shared" si="10"/>
        <v>0.41666666666666669</v>
      </c>
      <c r="T87" s="397">
        <f t="shared" si="10"/>
        <v>0</v>
      </c>
      <c r="U87" s="397">
        <f t="shared" si="10"/>
        <v>8</v>
      </c>
      <c r="V87" s="448">
        <f t="shared" si="10"/>
        <v>0.33333333333333331</v>
      </c>
      <c r="W87" s="397">
        <f t="shared" si="10"/>
        <v>1</v>
      </c>
      <c r="Z87" s="397">
        <v>85</v>
      </c>
      <c r="AA87" s="397" t="s">
        <v>99</v>
      </c>
      <c r="AB87" s="397">
        <v>10</v>
      </c>
      <c r="AC87" s="448">
        <f t="shared" si="11"/>
        <v>0.41666666666666669</v>
      </c>
      <c r="AD87" s="397">
        <f t="shared" si="12"/>
        <v>0</v>
      </c>
      <c r="AE87" s="397">
        <f t="shared" si="13"/>
        <v>8</v>
      </c>
      <c r="AF87" s="448">
        <f t="shared" si="14"/>
        <v>0.33333333333333331</v>
      </c>
      <c r="AG87" s="397">
        <f t="shared" si="15"/>
        <v>1</v>
      </c>
    </row>
    <row r="88" spans="1:33">
      <c r="A88" s="443">
        <v>46351.875</v>
      </c>
      <c r="C88" s="444" cm="1">
        <f t="array" ref="C88">A88+INDEX($V$3:V$93,$C$1)*INDEX($W$3:$W$93,$C$1)</f>
        <v>46351.875</v>
      </c>
      <c r="P88" s="397">
        <v>86</v>
      </c>
      <c r="Q88" s="397" t="s">
        <v>100</v>
      </c>
      <c r="R88" s="397">
        <f t="shared" si="10"/>
        <v>10.5</v>
      </c>
      <c r="S88" s="448">
        <f t="shared" si="10"/>
        <v>0.4375</v>
      </c>
      <c r="T88" s="397">
        <f t="shared" si="10"/>
        <v>0</v>
      </c>
      <c r="U88" s="397">
        <f t="shared" si="10"/>
        <v>8.5</v>
      </c>
      <c r="V88" s="448">
        <f t="shared" si="10"/>
        <v>0.35416666666666669</v>
      </c>
      <c r="W88" s="397">
        <f t="shared" si="10"/>
        <v>1</v>
      </c>
      <c r="Z88" s="397">
        <v>86</v>
      </c>
      <c r="AA88" s="397" t="s">
        <v>100</v>
      </c>
      <c r="AB88" s="397">
        <v>10.5</v>
      </c>
      <c r="AC88" s="448">
        <f t="shared" si="11"/>
        <v>0.4375</v>
      </c>
      <c r="AD88" s="397">
        <f t="shared" si="12"/>
        <v>0</v>
      </c>
      <c r="AE88" s="397">
        <f t="shared" si="13"/>
        <v>8.5</v>
      </c>
      <c r="AF88" s="448">
        <f t="shared" si="14"/>
        <v>0.35416666666666669</v>
      </c>
      <c r="AG88" s="397">
        <f t="shared" si="15"/>
        <v>1</v>
      </c>
    </row>
    <row r="89" spans="1:33">
      <c r="A89" s="443">
        <v>46351.875</v>
      </c>
      <c r="C89" s="444" cm="1">
        <f t="array" ref="C89">A89+INDEX($V$3:V$93,$C$1)*INDEX($W$3:$W$93,$C$1)</f>
        <v>46351.875</v>
      </c>
      <c r="P89" s="397">
        <v>87</v>
      </c>
      <c r="Q89" s="397" t="s">
        <v>101</v>
      </c>
      <c r="R89" s="397">
        <f t="shared" si="10"/>
        <v>11</v>
      </c>
      <c r="S89" s="448">
        <f t="shared" si="10"/>
        <v>0.45833333333333331</v>
      </c>
      <c r="T89" s="397">
        <f t="shared" si="10"/>
        <v>0</v>
      </c>
      <c r="U89" s="397">
        <f t="shared" si="10"/>
        <v>9</v>
      </c>
      <c r="V89" s="448">
        <f t="shared" si="10"/>
        <v>0.375</v>
      </c>
      <c r="W89" s="397">
        <f t="shared" si="10"/>
        <v>1</v>
      </c>
      <c r="Z89" s="397">
        <v>87</v>
      </c>
      <c r="AA89" s="397" t="s">
        <v>101</v>
      </c>
      <c r="AB89" s="397">
        <v>11</v>
      </c>
      <c r="AC89" s="448">
        <f t="shared" si="11"/>
        <v>0.45833333333333331</v>
      </c>
      <c r="AD89" s="397">
        <f t="shared" si="12"/>
        <v>0</v>
      </c>
      <c r="AE89" s="397">
        <f t="shared" si="13"/>
        <v>9</v>
      </c>
      <c r="AF89" s="448">
        <f t="shared" si="14"/>
        <v>0.375</v>
      </c>
      <c r="AG89" s="397">
        <f t="shared" si="15"/>
        <v>1</v>
      </c>
    </row>
    <row r="90" spans="1:33">
      <c r="A90" s="443">
        <v>46351.875</v>
      </c>
      <c r="C90" s="444" cm="1">
        <f t="array" ref="C90">A90+INDEX($V$3:V$93,$C$1)*INDEX($W$3:$W$93,$C$1)</f>
        <v>46351.875</v>
      </c>
      <c r="P90" s="397">
        <v>88</v>
      </c>
      <c r="Q90" s="397" t="s">
        <v>102</v>
      </c>
      <c r="R90" s="397">
        <f t="shared" si="10"/>
        <v>12</v>
      </c>
      <c r="S90" s="448">
        <f t="shared" si="10"/>
        <v>0.5</v>
      </c>
      <c r="T90" s="397">
        <f t="shared" si="10"/>
        <v>0</v>
      </c>
      <c r="U90" s="397">
        <f t="shared" si="10"/>
        <v>10</v>
      </c>
      <c r="V90" s="448">
        <f t="shared" si="10"/>
        <v>0.41666666666666669</v>
      </c>
      <c r="W90" s="397">
        <f t="shared" si="10"/>
        <v>1</v>
      </c>
      <c r="Z90" s="397">
        <v>88</v>
      </c>
      <c r="AA90" s="397" t="s">
        <v>102</v>
      </c>
      <c r="AB90" s="397">
        <v>12</v>
      </c>
      <c r="AC90" s="448">
        <f t="shared" si="11"/>
        <v>0.5</v>
      </c>
      <c r="AD90" s="397">
        <f t="shared" si="12"/>
        <v>0</v>
      </c>
      <c r="AE90" s="397">
        <f t="shared" si="13"/>
        <v>10</v>
      </c>
      <c r="AF90" s="448">
        <f t="shared" si="14"/>
        <v>0.41666666666666669</v>
      </c>
      <c r="AG90" s="397">
        <f t="shared" si="15"/>
        <v>1</v>
      </c>
    </row>
    <row r="91" spans="1:33" ht="17" thickBot="1">
      <c r="A91" s="449">
        <v>46351.875</v>
      </c>
      <c r="C91" s="444" cm="1">
        <f t="array" ref="C91">A91+INDEX($V$3:V$93,$C$1)*INDEX($W$3:$W$93,$C$1)</f>
        <v>46351.875</v>
      </c>
      <c r="P91" s="397">
        <v>89</v>
      </c>
      <c r="Q91" s="397" t="s">
        <v>103</v>
      </c>
      <c r="R91" s="397">
        <f t="shared" si="10"/>
        <v>12.75</v>
      </c>
      <c r="S91" s="448">
        <f t="shared" si="10"/>
        <v>0.53125</v>
      </c>
      <c r="T91" s="397">
        <f t="shared" si="10"/>
        <v>0</v>
      </c>
      <c r="U91" s="397">
        <f t="shared" si="10"/>
        <v>10.75</v>
      </c>
      <c r="V91" s="448">
        <f t="shared" si="10"/>
        <v>0.44791666666666669</v>
      </c>
      <c r="W91" s="397">
        <f t="shared" si="10"/>
        <v>1</v>
      </c>
      <c r="Z91" s="397">
        <v>89</v>
      </c>
      <c r="AA91" s="397" t="s">
        <v>103</v>
      </c>
      <c r="AB91" s="397">
        <v>12.75</v>
      </c>
      <c r="AC91" s="448">
        <f t="shared" si="11"/>
        <v>0.53125</v>
      </c>
      <c r="AD91" s="397">
        <f t="shared" si="12"/>
        <v>0</v>
      </c>
      <c r="AE91" s="397">
        <f t="shared" si="13"/>
        <v>10.75</v>
      </c>
      <c r="AF91" s="448">
        <f t="shared" si="14"/>
        <v>0.44791666666666669</v>
      </c>
      <c r="AG91" s="397">
        <f t="shared" si="15"/>
        <v>1</v>
      </c>
    </row>
    <row r="92" spans="1:33">
      <c r="A92" s="443">
        <v>46364.78125</v>
      </c>
      <c r="C92" s="444" cm="1">
        <f t="array" ref="C92">A92+INDEX($V$3:V$93,$C$1)*INDEX($W$3:$W$93,$C$1)</f>
        <v>46364.78125</v>
      </c>
      <c r="P92" s="397">
        <v>90</v>
      </c>
      <c r="Q92" s="397" t="s">
        <v>104</v>
      </c>
      <c r="R92" s="397">
        <f t="shared" si="10"/>
        <v>13</v>
      </c>
      <c r="S92" s="448">
        <f t="shared" si="10"/>
        <v>0.54166666666666663</v>
      </c>
      <c r="T92" s="397">
        <f t="shared" si="10"/>
        <v>0</v>
      </c>
      <c r="U92" s="397">
        <f t="shared" si="10"/>
        <v>11</v>
      </c>
      <c r="V92" s="448">
        <f t="shared" si="10"/>
        <v>0.45833333333333331</v>
      </c>
      <c r="W92" s="397">
        <f t="shared" si="10"/>
        <v>1</v>
      </c>
      <c r="Z92" s="397">
        <v>90</v>
      </c>
      <c r="AA92" s="397" t="s">
        <v>104</v>
      </c>
      <c r="AB92" s="397">
        <v>13</v>
      </c>
      <c r="AC92" s="448">
        <f t="shared" si="11"/>
        <v>0.54166666666666663</v>
      </c>
      <c r="AD92" s="397">
        <f t="shared" si="12"/>
        <v>0</v>
      </c>
      <c r="AE92" s="397">
        <f t="shared" si="13"/>
        <v>11</v>
      </c>
      <c r="AF92" s="448">
        <f t="shared" si="14"/>
        <v>0.45833333333333331</v>
      </c>
      <c r="AG92" s="397">
        <f t="shared" si="15"/>
        <v>1</v>
      </c>
    </row>
    <row r="93" spans="1:33">
      <c r="A93" s="443">
        <v>46364.78125</v>
      </c>
      <c r="C93" s="444" cm="1">
        <f t="array" ref="C93">A93+INDEX($V$3:V$93,$C$1)*INDEX($W$3:$W$93,$C$1)</f>
        <v>46364.78125</v>
      </c>
      <c r="P93" s="397">
        <v>91</v>
      </c>
      <c r="Q93" s="397" t="s">
        <v>105</v>
      </c>
      <c r="R93" s="397">
        <f t="shared" si="10"/>
        <v>14</v>
      </c>
      <c r="S93" s="448">
        <f t="shared" si="10"/>
        <v>0.58333333333333337</v>
      </c>
      <c r="T93" s="397">
        <f t="shared" si="10"/>
        <v>0</v>
      </c>
      <c r="U93" s="397">
        <f t="shared" si="10"/>
        <v>12</v>
      </c>
      <c r="V93" s="448">
        <f t="shared" si="10"/>
        <v>0.5</v>
      </c>
      <c r="W93" s="397">
        <f t="shared" si="10"/>
        <v>1</v>
      </c>
      <c r="Z93" s="397">
        <v>91</v>
      </c>
      <c r="AA93" s="397" t="s">
        <v>105</v>
      </c>
      <c r="AB93" s="397">
        <v>14</v>
      </c>
      <c r="AC93" s="448">
        <f t="shared" si="11"/>
        <v>0.58333333333333337</v>
      </c>
      <c r="AD93" s="397">
        <f t="shared" si="12"/>
        <v>0</v>
      </c>
      <c r="AE93" s="397">
        <f t="shared" si="13"/>
        <v>12</v>
      </c>
      <c r="AF93" s="448">
        <f t="shared" si="14"/>
        <v>0.5</v>
      </c>
      <c r="AG93" s="397">
        <f t="shared" si="15"/>
        <v>1</v>
      </c>
    </row>
    <row r="94" spans="1:33">
      <c r="A94" s="443">
        <v>46364.875</v>
      </c>
      <c r="C94" s="444" cm="1">
        <f t="array" ref="C94">A94+INDEX($V$3:V$93,$C$1)*INDEX($W$3:$W$93,$C$1)</f>
        <v>46364.875</v>
      </c>
    </row>
    <row r="95" spans="1:33">
      <c r="A95" s="443">
        <v>46364.875</v>
      </c>
      <c r="C95" s="444" cm="1">
        <f t="array" ref="C95">A95+INDEX($V$3:V$93,$C$1)*INDEX($W$3:$W$93,$C$1)</f>
        <v>46364.875</v>
      </c>
    </row>
    <row r="96" spans="1:33">
      <c r="A96" s="443">
        <v>46364.875</v>
      </c>
      <c r="C96" s="444" cm="1">
        <f t="array" ref="C96">A96+INDEX($V$3:V$93,$C$1)*INDEX($W$3:$W$93,$C$1)</f>
        <v>46364.875</v>
      </c>
    </row>
    <row r="97" spans="1:3">
      <c r="A97" s="443">
        <v>46364.875</v>
      </c>
      <c r="C97" s="444" cm="1">
        <f t="array" ref="C97">A97+INDEX($V$3:V$93,$C$1)*INDEX($W$3:$W$93,$C$1)</f>
        <v>46364.875</v>
      </c>
    </row>
    <row r="98" spans="1:3">
      <c r="A98" s="443">
        <v>46364.875</v>
      </c>
      <c r="C98" s="444" cm="1">
        <f t="array" ref="C98">A98+INDEX($V$3:V$93,$C$1)*INDEX($W$3:$W$93,$C$1)</f>
        <v>46364.875</v>
      </c>
    </row>
    <row r="99" spans="1:3">
      <c r="A99" s="443">
        <v>46364.875</v>
      </c>
      <c r="C99" s="444" cm="1">
        <f t="array" ref="C99">A99+INDEX($V$3:V$93,$C$1)*INDEX($W$3:$W$93,$C$1)</f>
        <v>46364.875</v>
      </c>
    </row>
    <row r="100" spans="1:3">
      <c r="A100" s="443">
        <v>46364.875</v>
      </c>
      <c r="C100" s="444" cm="1">
        <f t="array" ref="C100">A100+INDEX($V$3:V$93,$C$1)*INDEX($W$3:$W$93,$C$1)</f>
        <v>46364.875</v>
      </c>
    </row>
    <row r="101" spans="1:3">
      <c r="A101" s="443">
        <v>46365.78125</v>
      </c>
      <c r="C101" s="444" cm="1">
        <f t="array" ref="C101">A101+INDEX($V$3:V$93,$C$1)*INDEX($W$3:$W$93,$C$1)</f>
        <v>46365.78125</v>
      </c>
    </row>
    <row r="102" spans="1:3">
      <c r="A102" s="443">
        <v>46365.78125</v>
      </c>
      <c r="C102" s="444" cm="1">
        <f t="array" ref="C102">A102+INDEX($V$3:V$93,$C$1)*INDEX($W$3:$W$93,$C$1)</f>
        <v>46365.78125</v>
      </c>
    </row>
    <row r="103" spans="1:3">
      <c r="A103" s="443">
        <v>46365.875</v>
      </c>
      <c r="C103" s="444" cm="1">
        <f t="array" ref="C103">A103+INDEX($V$3:V$93,$C$1)*INDEX($W$3:$W$93,$C$1)</f>
        <v>46365.875</v>
      </c>
    </row>
    <row r="104" spans="1:3">
      <c r="A104" s="443">
        <v>46365.875</v>
      </c>
      <c r="C104" s="444" cm="1">
        <f t="array" ref="C104">A104+INDEX($V$3:V$93,$C$1)*INDEX($W$3:$W$93,$C$1)</f>
        <v>46365.875</v>
      </c>
    </row>
    <row r="105" spans="1:3">
      <c r="A105" s="443">
        <v>46365.875</v>
      </c>
      <c r="C105" s="444" cm="1">
        <f t="array" ref="C105">A105+INDEX($V$3:V$93,$C$1)*INDEX($W$3:$W$93,$C$1)</f>
        <v>46365.875</v>
      </c>
    </row>
    <row r="106" spans="1:3">
      <c r="A106" s="443">
        <v>46365.875</v>
      </c>
      <c r="C106" s="444" cm="1">
        <f t="array" ref="C106">A106+INDEX($V$3:V$93,$C$1)*INDEX($W$3:$W$93,$C$1)</f>
        <v>46365.875</v>
      </c>
    </row>
    <row r="107" spans="1:3">
      <c r="A107" s="443">
        <v>46365.875</v>
      </c>
      <c r="C107" s="444" cm="1">
        <f t="array" ref="C107">A107+INDEX($V$3:V$93,$C$1)*INDEX($W$3:$W$93,$C$1)</f>
        <v>46365.875</v>
      </c>
    </row>
    <row r="108" spans="1:3">
      <c r="A108" s="443">
        <v>46365.875</v>
      </c>
      <c r="C108" s="444" cm="1">
        <f t="array" ref="C108">A108+INDEX($V$3:V$93,$C$1)*INDEX($W$3:$W$93,$C$1)</f>
        <v>46365.875</v>
      </c>
    </row>
    <row r="109" spans="1:3" ht="17" thickBot="1">
      <c r="A109" s="449">
        <v>46365.875</v>
      </c>
      <c r="C109" s="444" cm="1">
        <f t="array" ref="C109">A109+INDEX($V$3:V$93,$C$1)*INDEX($W$3:$W$93,$C$1)</f>
        <v>46365.875</v>
      </c>
    </row>
    <row r="110" spans="1:3">
      <c r="A110" s="443">
        <v>46406.78125</v>
      </c>
      <c r="C110" s="444" cm="1">
        <f t="array" ref="C110">A110+INDEX($V$3:V$93,$C$1)*INDEX($W$3:$W$93,$C$1)</f>
        <v>46406.78125</v>
      </c>
    </row>
    <row r="111" spans="1:3">
      <c r="A111" s="443">
        <v>46406.78125</v>
      </c>
      <c r="C111" s="444" cm="1">
        <f t="array" ref="C111">A111+INDEX($V$3:V$93,$C$1)*INDEX($W$3:$W$93,$C$1)</f>
        <v>46406.78125</v>
      </c>
    </row>
    <row r="112" spans="1:3">
      <c r="A112" s="443">
        <v>46406.875</v>
      </c>
      <c r="C112" s="444" cm="1">
        <f t="array" ref="C112">A112+INDEX($V$3:V$93,$C$1)*INDEX($W$3:$W$93,$C$1)</f>
        <v>46406.875</v>
      </c>
    </row>
    <row r="113" spans="1:3">
      <c r="A113" s="443">
        <v>46406.875</v>
      </c>
      <c r="C113" s="444" cm="1">
        <f t="array" ref="C113">A113+INDEX($V$3:V$93,$C$1)*INDEX($W$3:$W$93,$C$1)</f>
        <v>46406.875</v>
      </c>
    </row>
    <row r="114" spans="1:3">
      <c r="A114" s="443">
        <v>46406.875</v>
      </c>
      <c r="C114" s="444" cm="1">
        <f t="array" ref="C114">A114+INDEX($V$3:V$93,$C$1)*INDEX($W$3:$W$93,$C$1)</f>
        <v>46406.875</v>
      </c>
    </row>
    <row r="115" spans="1:3">
      <c r="A115" s="443">
        <v>46406.875</v>
      </c>
      <c r="C115" s="444" cm="1">
        <f t="array" ref="C115">A115+INDEX($V$3:V$93,$C$1)*INDEX($W$3:$W$93,$C$1)</f>
        <v>46406.875</v>
      </c>
    </row>
    <row r="116" spans="1:3">
      <c r="A116" s="443">
        <v>46406.875</v>
      </c>
      <c r="C116" s="444" cm="1">
        <f t="array" ref="C116">A116+INDEX($V$3:V$93,$C$1)*INDEX($W$3:$W$93,$C$1)</f>
        <v>46406.875</v>
      </c>
    </row>
    <row r="117" spans="1:3">
      <c r="A117" s="443">
        <v>46406.875</v>
      </c>
      <c r="C117" s="444" cm="1">
        <f t="array" ref="C117">A117+INDEX($V$3:V$93,$C$1)*INDEX($W$3:$W$93,$C$1)</f>
        <v>46406.875</v>
      </c>
    </row>
    <row r="118" spans="1:3">
      <c r="A118" s="443">
        <v>46406.875</v>
      </c>
      <c r="C118" s="444" cm="1">
        <f t="array" ref="C118">A118+INDEX($V$3:V$93,$C$1)*INDEX($W$3:$W$93,$C$1)</f>
        <v>46406.875</v>
      </c>
    </row>
    <row r="119" spans="1:3">
      <c r="A119" s="443">
        <v>46407.78125</v>
      </c>
      <c r="C119" s="444" cm="1">
        <f t="array" ref="C119">A119+INDEX($V$3:V$93,$C$1)*INDEX($W$3:$W$93,$C$1)</f>
        <v>46407.78125</v>
      </c>
    </row>
    <row r="120" spans="1:3">
      <c r="A120" s="443">
        <v>46407.78125</v>
      </c>
      <c r="C120" s="444" cm="1">
        <f t="array" ref="C120">A120+INDEX($V$3:V$93,$C$1)*INDEX($W$3:$W$93,$C$1)</f>
        <v>46407.78125</v>
      </c>
    </row>
    <row r="121" spans="1:3">
      <c r="A121" s="443">
        <v>46407.875</v>
      </c>
      <c r="C121" s="444" cm="1">
        <f t="array" ref="C121">A121+INDEX($V$3:V$93,$C$1)*INDEX($W$3:$W$93,$C$1)</f>
        <v>46407.875</v>
      </c>
    </row>
    <row r="122" spans="1:3">
      <c r="A122" s="443">
        <v>46407.875</v>
      </c>
      <c r="C122" s="444" cm="1">
        <f t="array" ref="C122">A122+INDEX($V$3:V$93,$C$1)*INDEX($W$3:$W$93,$C$1)</f>
        <v>46407.875</v>
      </c>
    </row>
    <row r="123" spans="1:3">
      <c r="A123" s="443">
        <v>46407.875</v>
      </c>
      <c r="C123" s="444" cm="1">
        <f t="array" ref="C123">A123+INDEX($V$3:V$93,$C$1)*INDEX($W$3:$W$93,$C$1)</f>
        <v>46407.875</v>
      </c>
    </row>
    <row r="124" spans="1:3">
      <c r="A124" s="443">
        <v>46407.875</v>
      </c>
      <c r="C124" s="444" cm="1">
        <f t="array" ref="C124">A124+INDEX($V$3:V$93,$C$1)*INDEX($W$3:$W$93,$C$1)</f>
        <v>46407.875</v>
      </c>
    </row>
    <row r="125" spans="1:3">
      <c r="A125" s="443">
        <v>46407.875</v>
      </c>
      <c r="C125" s="444" cm="1">
        <f t="array" ref="C125">A125+INDEX($V$3:V$93,$C$1)*INDEX($W$3:$W$93,$C$1)</f>
        <v>46407.875</v>
      </c>
    </row>
    <row r="126" spans="1:3">
      <c r="A126" s="443">
        <v>46407.875</v>
      </c>
      <c r="C126" s="444" cm="1">
        <f t="array" ref="C126">A126+INDEX($V$3:V$93,$C$1)*INDEX($W$3:$W$93,$C$1)</f>
        <v>46407.875</v>
      </c>
    </row>
    <row r="127" spans="1:3" ht="17" thickBot="1">
      <c r="A127" s="449">
        <v>46407.875</v>
      </c>
      <c r="C127" s="444" cm="1">
        <f t="array" ref="C127">A127+INDEX($V$3:V$93,$C$1)*INDEX($W$3:$W$93,$C$1)</f>
        <v>46407.875</v>
      </c>
    </row>
    <row r="128" spans="1:3">
      <c r="A128" s="443">
        <v>46414.875</v>
      </c>
      <c r="C128" s="444" cm="1">
        <f t="array" ref="C128">A128+INDEX($V$3:V$93,$C$1)*INDEX($W$3:$W$93,$C$1)</f>
        <v>46414.875</v>
      </c>
    </row>
    <row r="129" spans="1:3">
      <c r="A129" s="443">
        <v>46414.875</v>
      </c>
      <c r="C129" s="444" cm="1">
        <f t="array" ref="C129">A129+INDEX($V$3:V$93,$C$1)*INDEX($W$3:$W$93,$C$1)</f>
        <v>46414.875</v>
      </c>
    </row>
    <row r="130" spans="1:3">
      <c r="A130" s="443">
        <v>46414.875</v>
      </c>
      <c r="C130" s="444" cm="1">
        <f t="array" ref="C130">A130+INDEX($V$3:V$93,$C$1)*INDEX($W$3:$W$93,$C$1)</f>
        <v>46414.875</v>
      </c>
    </row>
    <row r="131" spans="1:3">
      <c r="A131" s="443">
        <v>46414.875</v>
      </c>
      <c r="C131" s="444" cm="1">
        <f t="array" ref="C131">A131+INDEX($V$3:V$93,$C$1)*INDEX($W$3:$W$93,$C$1)</f>
        <v>46414.875</v>
      </c>
    </row>
    <row r="132" spans="1:3">
      <c r="A132" s="443">
        <v>46414.875</v>
      </c>
      <c r="C132" s="444" cm="1">
        <f t="array" ref="C132">A132+INDEX($V$3:V$93,$C$1)*INDEX($W$3:$W$93,$C$1)</f>
        <v>46414.875</v>
      </c>
    </row>
    <row r="133" spans="1:3">
      <c r="A133" s="443">
        <v>46414.875</v>
      </c>
      <c r="C133" s="444" cm="1">
        <f t="array" ref="C133">A133+INDEX($V$3:V$93,$C$1)*INDEX($W$3:$W$93,$C$1)</f>
        <v>46414.875</v>
      </c>
    </row>
    <row r="134" spans="1:3">
      <c r="A134" s="443">
        <v>46414.875</v>
      </c>
      <c r="C134" s="444" cm="1">
        <f t="array" ref="C134">A134+INDEX($V$3:V$93,$C$1)*INDEX($W$3:$W$93,$C$1)</f>
        <v>46414.875</v>
      </c>
    </row>
    <row r="135" spans="1:3">
      <c r="A135" s="443">
        <v>46414.875</v>
      </c>
      <c r="C135" s="444" cm="1">
        <f t="array" ref="C135">A135+INDEX($V$3:V$93,$C$1)*INDEX($W$3:$W$93,$C$1)</f>
        <v>46414.875</v>
      </c>
    </row>
    <row r="136" spans="1:3">
      <c r="A136" s="443">
        <v>46414.875</v>
      </c>
      <c r="C136" s="444" cm="1">
        <f t="array" ref="C136">A136+INDEX($V$3:V$93,$C$1)*INDEX($W$3:$W$93,$C$1)</f>
        <v>46414.875</v>
      </c>
    </row>
    <row r="137" spans="1:3">
      <c r="A137" s="443">
        <v>46414.875</v>
      </c>
      <c r="C137" s="444" cm="1">
        <f t="array" ref="C137">A137+INDEX($V$3:V$93,$C$1)*INDEX($W$3:$W$93,$C$1)</f>
        <v>46414.875</v>
      </c>
    </row>
    <row r="138" spans="1:3">
      <c r="A138" s="443">
        <v>46414.875</v>
      </c>
      <c r="C138" s="444" cm="1">
        <f t="array" ref="C138">A138+INDEX($V$3:V$93,$C$1)*INDEX($W$3:$W$93,$C$1)</f>
        <v>46414.875</v>
      </c>
    </row>
    <row r="139" spans="1:3">
      <c r="A139" s="443">
        <v>46414.875</v>
      </c>
      <c r="C139" s="444" cm="1">
        <f t="array" ref="C139">A139+INDEX($V$3:V$93,$C$1)*INDEX($W$3:$W$93,$C$1)</f>
        <v>46414.875</v>
      </c>
    </row>
    <row r="140" spans="1:3">
      <c r="A140" s="443">
        <v>46414.875</v>
      </c>
      <c r="C140" s="444" cm="1">
        <f t="array" ref="C140">A140+INDEX($V$3:V$93,$C$1)*INDEX($W$3:$W$93,$C$1)</f>
        <v>46414.875</v>
      </c>
    </row>
    <row r="141" spans="1:3">
      <c r="A141" s="443">
        <v>46414.875</v>
      </c>
      <c r="C141" s="444" cm="1">
        <f t="array" ref="C141">A141+INDEX($V$3:V$93,$C$1)*INDEX($W$3:$W$93,$C$1)</f>
        <v>46414.875</v>
      </c>
    </row>
    <row r="142" spans="1:3">
      <c r="A142" s="443">
        <v>46414.875</v>
      </c>
      <c r="C142" s="444" cm="1">
        <f t="array" ref="C142">A142+INDEX($V$3:V$93,$C$1)*INDEX($W$3:$W$93,$C$1)</f>
        <v>46414.875</v>
      </c>
    </row>
    <row r="143" spans="1:3">
      <c r="A143" s="443">
        <v>46414.875</v>
      </c>
      <c r="C143" s="444" cm="1">
        <f t="array" ref="C143">A143+INDEX($V$3:V$93,$C$1)*INDEX($W$3:$W$93,$C$1)</f>
        <v>46414.875</v>
      </c>
    </row>
    <row r="144" spans="1:3">
      <c r="A144" s="443">
        <v>46414.875</v>
      </c>
      <c r="C144" s="444" cm="1">
        <f t="array" ref="C144">A144+INDEX($V$3:V$93,$C$1)*INDEX($W$3:$W$93,$C$1)</f>
        <v>46414.875</v>
      </c>
    </row>
    <row r="145" spans="1:3">
      <c r="A145" s="443">
        <v>46414.875</v>
      </c>
      <c r="C145" s="444" cm="1">
        <f t="array" ref="C145">A145+INDEX($V$3:V$93,$C$1)*INDEX($W$3:$W$93,$C$1)</f>
        <v>46414.875</v>
      </c>
    </row>
    <row r="146" spans="1:3">
      <c r="A146" s="443"/>
      <c r="C146" s="444"/>
    </row>
  </sheetData>
  <sheetProtection algorithmName="SHA-512" hashValue="nucFrIZkkOoJrZH7fQPSknPiPIOEgcTh4LEFS2FEg02lETjyc+7egRaUYjFck3a9eQnGqYVQeQdOyu5OeglWFQ==" saltValue="edv3RhLLoMOAfli4IN9CEA==" spinCount="100000" sheet="1" scenarios="1" selectLockedCells="1" selectUnlockedCells="1"/>
  <conditionalFormatting sqref="F4:F27">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1EAB-0018-5146-B287-6D293A4793EA}">
  <sheetPr codeName="Hoja9"/>
  <dimension ref="A1:CK37"/>
  <sheetViews>
    <sheetView workbookViewId="0">
      <selection activeCell="K5" sqref="K5"/>
    </sheetView>
  </sheetViews>
  <sheetFormatPr baseColWidth="10" defaultColWidth="10.83203125" defaultRowHeight="16"/>
  <cols>
    <col min="1" max="1" width="16.5" style="469" bestFit="1" customWidth="1"/>
    <col min="2" max="2" width="3" style="469" bestFit="1" customWidth="1"/>
    <col min="3" max="3" width="3.5" style="469" bestFit="1" customWidth="1"/>
    <col min="4" max="4" width="3.1640625" style="469" bestFit="1" customWidth="1"/>
    <col min="5" max="6" width="3.33203125" style="469" bestFit="1" customWidth="1"/>
    <col min="7" max="7" width="3.5" style="469" bestFit="1" customWidth="1"/>
    <col min="8" max="8" width="3.83203125" style="469" bestFit="1" customWidth="1"/>
    <col min="9" max="9" width="3.6640625" style="469" bestFit="1" customWidth="1"/>
    <col min="10" max="10" width="4.33203125" style="469" bestFit="1" customWidth="1"/>
    <col min="11" max="11" width="4.83203125" style="469" bestFit="1" customWidth="1"/>
    <col min="12" max="12" width="4.5" style="469" bestFit="1" customWidth="1"/>
    <col min="13" max="14" width="4.6640625" style="469" bestFit="1" customWidth="1"/>
    <col min="15" max="15" width="4.83203125" style="469" bestFit="1" customWidth="1"/>
    <col min="16" max="17" width="5" style="469" bestFit="1" customWidth="1"/>
    <col min="18" max="18" width="4.1640625" style="469" bestFit="1" customWidth="1"/>
    <col min="19" max="19" width="4.6640625" style="469" bestFit="1" customWidth="1"/>
    <col min="20" max="20" width="4.33203125" style="469" bestFit="1" customWidth="1"/>
    <col min="21" max="22" width="4.5" style="469" bestFit="1" customWidth="1"/>
    <col min="23" max="23" width="4.6640625" style="469" bestFit="1" customWidth="1"/>
    <col min="24" max="25" width="4.83203125" style="469" bestFit="1" customWidth="1"/>
    <col min="26" max="26" width="4.6640625" style="469" customWidth="1"/>
    <col min="27" max="27" width="6.1640625" style="469" customWidth="1"/>
    <col min="28" max="28" width="7.1640625" style="469" customWidth="1"/>
    <col min="29" max="29" width="2.6640625" style="469" customWidth="1"/>
    <col min="30" max="30" width="11" style="469" bestFit="1" customWidth="1"/>
    <col min="31" max="31" width="1.83203125" style="469" customWidth="1"/>
    <col min="32" max="32" width="10.83203125" style="469"/>
    <col min="33" max="33" width="2.5" style="469" customWidth="1"/>
    <col min="34" max="34" width="11" style="469" bestFit="1" customWidth="1"/>
    <col min="35" max="35" width="1.83203125" style="469" customWidth="1"/>
    <col min="36" max="36" width="11" style="469" bestFit="1" customWidth="1"/>
    <col min="37" max="37" width="1.83203125" style="469" customWidth="1"/>
    <col min="38" max="38" width="10.83203125" style="469"/>
    <col min="39" max="39" width="3.33203125" style="469" customWidth="1"/>
    <col min="40" max="40" width="10.6640625" style="469" customWidth="1"/>
    <col min="41" max="41" width="1.83203125" style="469" customWidth="1"/>
    <col min="42" max="42" width="8.6640625" style="469" customWidth="1"/>
    <col min="43" max="43" width="1.83203125" style="469" customWidth="1"/>
    <col min="44" max="44" width="10.83203125" style="469"/>
    <col min="45" max="45" width="3.6640625" style="469" customWidth="1"/>
    <col min="46" max="46" width="11" style="469" bestFit="1" customWidth="1"/>
    <col min="47" max="47" width="1.83203125" style="469" customWidth="1"/>
    <col min="48" max="48" width="11" style="469" bestFit="1" customWidth="1"/>
    <col min="49" max="49" width="1.83203125" style="469" customWidth="1"/>
    <col min="50" max="50" width="10.83203125" style="469"/>
    <col min="51" max="51" width="3.6640625" style="469" customWidth="1"/>
    <col min="52" max="52" width="10.6640625" style="469" customWidth="1"/>
    <col min="53" max="53" width="1.83203125" style="469" customWidth="1"/>
    <col min="54" max="54" width="8.6640625" style="469" customWidth="1"/>
    <col min="55" max="55" width="1.83203125" style="469" customWidth="1"/>
    <col min="56" max="56" width="10.83203125" style="469"/>
    <col min="57" max="57" width="3.6640625" style="469" customWidth="1"/>
    <col min="58" max="58" width="10.6640625" style="469" customWidth="1"/>
    <col min="59" max="59" width="1.83203125" style="469" customWidth="1"/>
    <col min="60" max="60" width="8.6640625" style="469" customWidth="1"/>
    <col min="61" max="61" width="1.83203125" style="469" customWidth="1"/>
    <col min="62" max="62" width="10.83203125" style="469"/>
    <col min="63" max="63" width="3.6640625" style="469" customWidth="1"/>
    <col min="64" max="64" width="10.6640625" style="469" customWidth="1"/>
    <col min="65" max="65" width="1.83203125" style="469" customWidth="1"/>
    <col min="66" max="66" width="8.6640625" style="469" customWidth="1"/>
    <col min="67" max="67" width="1.83203125" style="469" customWidth="1"/>
    <col min="68" max="68" width="10.83203125" style="469"/>
    <col min="69" max="69" width="3.6640625" style="469" customWidth="1"/>
    <col min="70" max="70" width="10.6640625" style="469" customWidth="1"/>
    <col min="71" max="71" width="1.83203125" style="469" customWidth="1"/>
    <col min="72" max="72" width="8.6640625" style="469" customWidth="1"/>
    <col min="73" max="73" width="1.83203125" style="469" customWidth="1"/>
    <col min="74" max="74" width="10.83203125" style="469"/>
    <col min="75" max="75" width="3.6640625" style="469" customWidth="1"/>
    <col min="76" max="76" width="10.6640625" style="469" customWidth="1"/>
    <col min="77" max="77" width="1.83203125" style="469" customWidth="1"/>
    <col min="78" max="78" width="8.6640625" style="469" customWidth="1"/>
    <col min="79" max="79" width="1.83203125" style="469" customWidth="1"/>
    <col min="80" max="80" width="10.83203125" style="469"/>
    <col min="81" max="81" width="3.6640625" style="469" customWidth="1"/>
    <col min="82" max="82" width="10.83203125" style="469"/>
    <col min="83" max="83" width="1.83203125" style="469" customWidth="1"/>
    <col min="84" max="84" width="8.5" style="469" customWidth="1"/>
    <col min="85" max="85" width="9.1640625" style="469" customWidth="1"/>
    <col min="86" max="86" width="11" style="469" bestFit="1" customWidth="1"/>
    <col min="87" max="87" width="10.83203125" style="469"/>
    <col min="88" max="88" width="11" style="469" bestFit="1" customWidth="1"/>
    <col min="89" max="16384" width="10.83203125" style="469"/>
  </cols>
  <sheetData>
    <row r="1" spans="1:89" ht="43" customHeight="1">
      <c r="A1" s="465" t="str">
        <f>Idiomas!D53</f>
        <v>Equipo</v>
      </c>
      <c r="B1" s="466" t="str">
        <f>Idiomas!D55</f>
        <v>J</v>
      </c>
      <c r="C1" s="466" t="str">
        <f>Idiomas!D56</f>
        <v>G</v>
      </c>
      <c r="D1" s="466" t="str">
        <f>Idiomas!D57</f>
        <v>E</v>
      </c>
      <c r="E1" s="466" t="str">
        <f>Idiomas!D58</f>
        <v>P</v>
      </c>
      <c r="F1" s="466" t="str">
        <f>Idiomas!D59</f>
        <v>GF</v>
      </c>
      <c r="G1" s="466" t="str">
        <f>Idiomas!D60</f>
        <v>GC</v>
      </c>
      <c r="H1" s="466" t="str">
        <f>Idiomas!D61</f>
        <v>DG</v>
      </c>
      <c r="I1" s="465" t="str">
        <f>Idiomas!D54</f>
        <v>Pts</v>
      </c>
      <c r="J1" s="467" t="str">
        <f>CONCATENATE(B1&amp;" "&amp;Idiomas!$D62)</f>
        <v>J C</v>
      </c>
      <c r="K1" s="466" t="str">
        <f>CONCATENATE(C1&amp;" "&amp;Idiomas!$D62)</f>
        <v>G C</v>
      </c>
      <c r="L1" s="466" t="str">
        <f>CONCATENATE(D1&amp;" "&amp;Idiomas!$D62)</f>
        <v>E C</v>
      </c>
      <c r="M1" s="466" t="str">
        <f>CONCATENATE(E1&amp;" "&amp;Idiomas!$D62)</f>
        <v>P C</v>
      </c>
      <c r="N1" s="466" t="str">
        <f>CONCATENATE(F1&amp;" "&amp;Idiomas!$D62)</f>
        <v>GF C</v>
      </c>
      <c r="O1" s="466" t="str">
        <f>CONCATENATE(G1&amp;" "&amp;Idiomas!$D62)</f>
        <v>GC C</v>
      </c>
      <c r="P1" s="466" t="str">
        <f>CONCATENATE(H1&amp;" "&amp;Idiomas!$D62)</f>
        <v>DG C</v>
      </c>
      <c r="Q1" s="465" t="str">
        <f>CONCATENATE(I1&amp;" "&amp;Idiomas!$D62)</f>
        <v>Pts C</v>
      </c>
      <c r="R1" s="467" t="str">
        <f>CONCATENATE(B1&amp;" "&amp;Idiomas!$D63)</f>
        <v>J F</v>
      </c>
      <c r="S1" s="466" t="str">
        <f>CONCATENATE(C1&amp;" "&amp;Idiomas!$D63)</f>
        <v>G F</v>
      </c>
      <c r="T1" s="466" t="str">
        <f>CONCATENATE(D1&amp;" "&amp;Idiomas!$D63)</f>
        <v>E F</v>
      </c>
      <c r="U1" s="466" t="str">
        <f>CONCATENATE(E1&amp;" "&amp;Idiomas!$D63)</f>
        <v>P F</v>
      </c>
      <c r="V1" s="466" t="str">
        <f>CONCATENATE(F1&amp;" "&amp;Idiomas!$D63)</f>
        <v>GF F</v>
      </c>
      <c r="W1" s="466" t="str">
        <f>CONCATENATE(G1&amp;" "&amp;Idiomas!$D63)</f>
        <v>GC F</v>
      </c>
      <c r="X1" s="466" t="str">
        <f>CONCATENATE(H1&amp;" "&amp;Idiomas!$D63)</f>
        <v>DG F</v>
      </c>
      <c r="Y1" s="468" t="str">
        <f>CONCATENATE(I1&amp;" "&amp;Idiomas!$D63)</f>
        <v>Pts F</v>
      </c>
      <c r="Z1" s="466" t="s">
        <v>927</v>
      </c>
      <c r="AA1" s="466" t="s">
        <v>928</v>
      </c>
      <c r="AB1" s="466" t="s">
        <v>926</v>
      </c>
      <c r="AC1" s="465"/>
      <c r="AD1" s="466" t="s">
        <v>784</v>
      </c>
      <c r="AE1" s="466"/>
      <c r="AF1" s="466" t="s">
        <v>793</v>
      </c>
      <c r="AG1" s="465"/>
      <c r="AH1" s="466" t="s">
        <v>19</v>
      </c>
      <c r="AI1" s="466"/>
      <c r="AJ1" s="466" t="s">
        <v>785</v>
      </c>
      <c r="AK1" s="466"/>
      <c r="AL1" s="466" t="s">
        <v>794</v>
      </c>
      <c r="AM1" s="466"/>
      <c r="AN1" s="466" t="s">
        <v>20</v>
      </c>
      <c r="AO1" s="466"/>
      <c r="AP1" s="466" t="s">
        <v>786</v>
      </c>
      <c r="AQ1" s="466"/>
      <c r="AR1" s="466" t="s">
        <v>795</v>
      </c>
      <c r="AS1" s="466"/>
      <c r="AT1" s="466" t="s">
        <v>742</v>
      </c>
      <c r="AU1" s="466"/>
      <c r="AV1" s="466" t="s">
        <v>787</v>
      </c>
      <c r="AW1" s="466"/>
      <c r="AX1" s="466" t="s">
        <v>796</v>
      </c>
      <c r="AY1" s="466"/>
      <c r="AZ1" s="466" t="s">
        <v>743</v>
      </c>
      <c r="BA1" s="466"/>
      <c r="BB1" s="466" t="s">
        <v>788</v>
      </c>
      <c r="BC1" s="466"/>
      <c r="BD1" s="466" t="s">
        <v>797</v>
      </c>
      <c r="BE1" s="466"/>
      <c r="BF1" s="466" t="s">
        <v>744</v>
      </c>
      <c r="BG1" s="466"/>
      <c r="BH1" s="466" t="s">
        <v>789</v>
      </c>
      <c r="BI1" s="466"/>
      <c r="BJ1" s="466" t="s">
        <v>798</v>
      </c>
      <c r="BK1" s="466"/>
      <c r="BL1" s="466" t="s">
        <v>745</v>
      </c>
      <c r="BM1" s="466"/>
      <c r="BN1" s="466" t="s">
        <v>790</v>
      </c>
      <c r="BO1" s="466"/>
      <c r="BP1" s="466" t="s">
        <v>799</v>
      </c>
      <c r="BQ1" s="466"/>
      <c r="BR1" s="466" t="s">
        <v>746</v>
      </c>
      <c r="BS1" s="466"/>
      <c r="BT1" s="466" t="s">
        <v>791</v>
      </c>
      <c r="BU1" s="466"/>
      <c r="BV1" s="466" t="s">
        <v>800</v>
      </c>
      <c r="BW1" s="466"/>
      <c r="BX1" s="466" t="s">
        <v>747</v>
      </c>
      <c r="BY1" s="466"/>
      <c r="BZ1" s="466" t="s">
        <v>792</v>
      </c>
      <c r="CA1" s="466"/>
      <c r="CB1" s="466" t="s">
        <v>801</v>
      </c>
      <c r="CC1" s="466"/>
      <c r="CD1" s="466" t="s">
        <v>21</v>
      </c>
      <c r="CE1" s="465"/>
      <c r="CF1" s="465" t="s">
        <v>22</v>
      </c>
      <c r="CG1" s="465"/>
      <c r="CH1" s="465" t="s">
        <v>23</v>
      </c>
      <c r="CI1" s="465" t="s">
        <v>27</v>
      </c>
      <c r="CJ1" s="466" t="s">
        <v>26</v>
      </c>
      <c r="CK1" s="466"/>
    </row>
    <row r="2" spans="1:89">
      <c r="A2" s="469" t="str">
        <f>TablaEquipos[[#This Row],[Team]]</f>
        <v>AEK</v>
      </c>
      <c r="B2" s="470">
        <f>C2+D2+E2</f>
        <v>0</v>
      </c>
      <c r="C2" s="470">
        <f t="shared" ref="C2:C37" si="0">COUNTIFS(Equipo_local,$A2,Ganador,"Local")+COUNTIFS(Equipo_visitante,$A2,Ganador,"Visitante")</f>
        <v>0</v>
      </c>
      <c r="D2" s="470">
        <f t="shared" ref="D2:D37" si="1">COUNTIFS(Equipo_local,$A2,Ganador,"Empate")+COUNTIFS(Equipo_visitante,$A2,Ganador,"Empate")</f>
        <v>0</v>
      </c>
      <c r="E2" s="470">
        <f t="shared" ref="E2:E37" si="2">COUNTIFS(Equipo_local,$A2,Ganador,"Visitante")+COUNTIFS(Equipo_visitante,$A2,Ganador,"Local")</f>
        <v>0</v>
      </c>
      <c r="F2" s="470">
        <f t="shared" ref="F2:F37" si="3">SUMIFS(Goles_local,Equipo_local,$A2,Goles_visitante,"&lt;&gt;"&amp;"")+SUMIFS(Goles_visitante,Equipo_visitante,$A2,Goles_local,"&lt;&gt;"&amp;"")</f>
        <v>0</v>
      </c>
      <c r="G2" s="470">
        <f t="shared" ref="G2:G37" si="4">SUMIFS(Goles_visitante,Equipo_local,$A2,Goles_local,"&lt;&gt;"&amp;"")+SUMIFS(Goles_local,Equipo_visitante,$A2,Goles_visitante,"&lt;&gt;"&amp;"")</f>
        <v>0</v>
      </c>
      <c r="H2" s="470">
        <f>F2-G2</f>
        <v>0</v>
      </c>
      <c r="I2" s="470">
        <f>C2*3+D2*1+E2*0+INDEX(League!$BA$2:$BA$37,MATCH(Calcs!A2,League!$AZ$2:$AZ$37,0))</f>
        <v>0</v>
      </c>
      <c r="J2" s="471">
        <f>K2+L2+M2</f>
        <v>0</v>
      </c>
      <c r="K2" s="470">
        <f t="shared" ref="K2:K37" si="5">COUNTIFS(Equipo_local,$A2,Ganador,"Local")</f>
        <v>0</v>
      </c>
      <c r="L2" s="470">
        <f t="shared" ref="L2:L37" si="6">COUNTIFS(Equipo_local,$A2,Ganador,"Empate")</f>
        <v>0</v>
      </c>
      <c r="M2" s="470">
        <f t="shared" ref="M2:M37" si="7">COUNTIFS(Equipo_local,$A2,Ganador,"Visitante")</f>
        <v>0</v>
      </c>
      <c r="N2" s="470">
        <f t="shared" ref="N2:N37" si="8">SUMIFS(Goles_local,Equipo_local,$A2,Goles_visitante,"&lt;&gt;"&amp;"")</f>
        <v>0</v>
      </c>
      <c r="O2" s="470">
        <f t="shared" ref="O2:O37" si="9">SUMIFS(Goles_visitante,Equipo_local,$A2,Goles_local,"&lt;&gt;"&amp;"")</f>
        <v>0</v>
      </c>
      <c r="P2" s="470">
        <f>N2-O2</f>
        <v>0</v>
      </c>
      <c r="Q2" s="470">
        <f>K2*3+L2*1+M2*0</f>
        <v>0</v>
      </c>
      <c r="R2" s="471">
        <f>S2+T2+U2</f>
        <v>0</v>
      </c>
      <c r="S2" s="470">
        <f t="shared" ref="S2:S37" si="10">COUNTIFS(Equipo_visitante,$A2,Ganador,"Visitante")</f>
        <v>0</v>
      </c>
      <c r="T2" s="470">
        <f t="shared" ref="T2:T37" si="11">COUNTIFS(Equipo_visitante,$A2,Ganador,"Empate")</f>
        <v>0</v>
      </c>
      <c r="U2" s="470">
        <f t="shared" ref="U2:U37" si="12">COUNTIFS(Equipo_visitante,$A2,Ganador,"Local")</f>
        <v>0</v>
      </c>
      <c r="V2" s="470">
        <f t="shared" ref="V2:V37" si="13">SUMIFS(Goles_visitante,Equipo_visitante,$A2,Goles_local,"&lt;&gt;"&amp;"")</f>
        <v>0</v>
      </c>
      <c r="W2" s="470">
        <f t="shared" ref="W2:W37" si="14">SUMIFS(Goles_local,Equipo_visitante,$A2,Goles_visitante,"&lt;&gt;"&amp;"")</f>
        <v>0</v>
      </c>
      <c r="X2" s="470">
        <f>V2-W2</f>
        <v>0</v>
      </c>
      <c r="Y2" s="472">
        <f>S2*3+T2*1+U2*0</f>
        <v>0</v>
      </c>
      <c r="Z2" s="470" cm="1">
        <f t="array" ref="Z2">+INDEX(League!$BI$18:$CR$18,,MATCH(Calcs!A2,League!$BI$1:$CR$1,0))</f>
        <v>0</v>
      </c>
      <c r="AA2" s="470" cm="1">
        <f t="array" ref="AA2">+INDEX(League!$BI$27:$CR$27,,MATCH(Calcs!A2,League!$BI$1:$CR$1,0))</f>
        <v>0</v>
      </c>
      <c r="AB2" s="470" cm="1">
        <f t="array" ref="AB2">+INDEX(League!$BI$36:$CR$36,,MATCH(Calcs!A2,League!$BI$1:$CR$1,0))</f>
        <v>0</v>
      </c>
      <c r="AD2" s="470">
        <f>COUNTIF(I$2:I$37,"&gt;"&amp;I2)+1</f>
        <v>1</v>
      </c>
      <c r="AF2" s="470" t="str">
        <f>IF(COUNTIF(AD$2:AD$37,AD2)=1,"-","Pos. "&amp;AD2&amp;" ("&amp;COUNTIF(AD$2:AD$37,AD2)&amp;")")</f>
        <v>Pos. 1 (36)</v>
      </c>
      <c r="AH2" s="470">
        <f t="shared" ref="AH2:AH37" si="15">IF(AF2="-","-",H2)</f>
        <v>0</v>
      </c>
      <c r="AJ2" s="470">
        <f t="shared" ref="AJ2:AJ37" si="16">AD2+COUNTIFS(AF$2:AF$37,AF2,AH$2:AH$37,"&gt;"&amp;AH2)</f>
        <v>1</v>
      </c>
      <c r="AL2" s="470" t="str">
        <f>IF(COUNTIF(AJ$2:AJ$37,AJ2)=1,"-","Pos. "&amp;AJ2&amp;" ("&amp;COUNTIF(AJ$2:AJ$37,AJ2)&amp;")")</f>
        <v>Pos. 1 (36)</v>
      </c>
      <c r="AN2" s="470">
        <f t="shared" ref="AN2:AN37" si="17">IF(AL2="-","-",F2)</f>
        <v>0</v>
      </c>
      <c r="AP2" s="470">
        <f>AJ2+COUNTIFS(AL$2:AL$37,AL2,AN$2:AN$37,"&gt;"&amp;AN2)</f>
        <v>1</v>
      </c>
      <c r="AR2" s="470" t="str">
        <f>IF(COUNTIF(AP$2:AP$37,AP2)=1,"-","Pos. "&amp;AP2&amp;" ("&amp;COUNTIF(AP$2:AP$37,AP2)&amp;")")</f>
        <v>Pos. 1 (36)</v>
      </c>
      <c r="AT2" s="470">
        <f t="shared" ref="AT2:AT37" si="18">IF(AR2="-","-",V2)</f>
        <v>0</v>
      </c>
      <c r="AV2" s="470">
        <f>AP2+COUNTIFS(AR$2:AR$37,AR2,AT$2:AT$37,"&gt;"&amp;AT2)</f>
        <v>1</v>
      </c>
      <c r="AX2" s="470" t="str">
        <f>IF(COUNTIF(AV$2:AV$37,AV2)=1,"-","Pos. "&amp;AV2&amp;" ("&amp;COUNTIF(AV$2:AV$37,AV2)&amp;")")</f>
        <v>Pos. 1 (36)</v>
      </c>
      <c r="AZ2" s="470">
        <f t="shared" ref="AZ2:AZ37" si="19">IF(AX2="-","-",C2)</f>
        <v>0</v>
      </c>
      <c r="BB2" s="470">
        <f>AV2+COUNTIFS(AX$2:AX$37,AX2,AZ$2:AZ$37,"&gt;"&amp;AZ2)</f>
        <v>1</v>
      </c>
      <c r="BD2" s="470" t="str">
        <f>IF(COUNTIF(BB$2:BB$37,BB2)=1,"-","Pos. "&amp;BB2&amp;" ("&amp;COUNTIF(BB$2:BB$37,BB2)&amp;")")</f>
        <v>Pos. 1 (36)</v>
      </c>
      <c r="BF2" s="470">
        <f t="shared" ref="BF2:BF37" si="20">IF(BD2="-","-",S2)</f>
        <v>0</v>
      </c>
      <c r="BH2" s="470">
        <f>BB2+COUNTIFS(BD$2:BD$37,BD2,BF$2:BF$37,"&gt;"&amp;BF2)</f>
        <v>1</v>
      </c>
      <c r="BJ2" s="470" t="str">
        <f>IF(COUNTIF(BH$2:BH$37,BH2)=1,"-","Pos. "&amp;BH2&amp;" ("&amp;COUNTIF(BH$2:BH$37,BH2)&amp;")")</f>
        <v>Pos. 1 (36)</v>
      </c>
      <c r="BL2" s="470">
        <f>IF(BJ2="-","-",Z2)</f>
        <v>0</v>
      </c>
      <c r="BN2" s="470">
        <f>BH2+COUNTIFS(BJ$2:BJ$37,BJ2,BL$2:BL$37,"&gt;"&amp;BL2)</f>
        <v>1</v>
      </c>
      <c r="BP2" s="470" t="str">
        <f>IF(COUNTIF(BN$2:BN$37,BN2)=1,"-","Pos. "&amp;BN2&amp;" ("&amp;COUNTIF(BN$2:BN$37,BN2)&amp;")")</f>
        <v>Pos. 1 (36)</v>
      </c>
      <c r="BR2" s="470">
        <f>IF(BP2="-","-",AA2)</f>
        <v>0</v>
      </c>
      <c r="BT2" s="470">
        <f>BN2+COUNTIFS(BP$2:BP$37,BP2,BR$2:BR$37,"&gt;"&amp;BR2)</f>
        <v>1</v>
      </c>
      <c r="BV2" s="470" t="str">
        <f>IF(COUNTIF(BT$2:BT$37,BT2)=1,"-","Pos. "&amp;BT2&amp;" ("&amp;COUNTIF(BT$2:BT$37,BT2)&amp;")")</f>
        <v>Pos. 1 (36)</v>
      </c>
      <c r="BX2" s="470">
        <f>IF(BV2="-","-",AB2)</f>
        <v>0</v>
      </c>
      <c r="BZ2" s="470">
        <f>BT2+COUNTIFS(BV$2:BV$37,BV2,BX$2:BX$37,"&gt;"&amp;BX2)</f>
        <v>1</v>
      </c>
      <c r="CB2" s="470" t="str">
        <f>IF(COUNTIF(BZ$2:BZ$37,BZ2)=1,"-","Pos. "&amp;BZ2&amp;" ("&amp;COUNTIF(BZ$2:BZ$37,BZ2)&amp;")")</f>
        <v>Pos. 1 (36)</v>
      </c>
      <c r="CD2" s="470">
        <f t="shared" ref="CD2:CD37" si="21">IF(CB2="-","-",COUNTIF(A$2:A$37,"&lt;"&amp;A2))</f>
        <v>0</v>
      </c>
      <c r="CF2" s="470">
        <f>BZ2+COUNTIFS(CB$2:CB$37,CB2,CD$2:CD$37,"&lt;"&amp;CD2)</f>
        <v>1</v>
      </c>
      <c r="CH2" s="469">
        <f>IF(OR(INDEX(League!$AT$2:$AT$37,MATCH($A2,League!$AS$2:$AS$37,0))="",CB2="-"),CF2,INDEX(League!$AT$2:$AT$37,MATCH($A2,League!$AS$2:$AS$37,0))+ROW()/1000)</f>
        <v>1</v>
      </c>
      <c r="CI2" s="469">
        <f>IF(CB2="-","-",COUNTIF(CH$2:CH$37,"&lt;"&amp;CH2))</f>
        <v>0</v>
      </c>
      <c r="CJ2" s="469">
        <f>BZ2+COUNTIFS(CB$2:CB$37,CB2,CI$2:CI$37,"&lt;"&amp;CI2)</f>
        <v>1</v>
      </c>
    </row>
    <row r="3" spans="1:89">
      <c r="A3" s="469" t="str">
        <f>TablaEquipos[[#This Row],[Team]]</f>
        <v>Arsenal</v>
      </c>
      <c r="B3" s="470">
        <f t="shared" ref="B3:B37" si="22">C3+D3+E3</f>
        <v>0</v>
      </c>
      <c r="C3" s="470">
        <f t="shared" si="0"/>
        <v>0</v>
      </c>
      <c r="D3" s="470">
        <f t="shared" si="1"/>
        <v>0</v>
      </c>
      <c r="E3" s="470">
        <f t="shared" si="2"/>
        <v>0</v>
      </c>
      <c r="F3" s="470">
        <f t="shared" si="3"/>
        <v>0</v>
      </c>
      <c r="G3" s="470">
        <f t="shared" si="4"/>
        <v>0</v>
      </c>
      <c r="H3" s="470">
        <f t="shared" ref="H3:H37" si="23">F3-G3</f>
        <v>0</v>
      </c>
      <c r="I3" s="470">
        <f>C3*3+D3*1+E3*0+INDEX(League!$BA$2:$BA$37,MATCH(Calcs!A3,League!$AZ$2:$AZ$37,0))</f>
        <v>0</v>
      </c>
      <c r="J3" s="471">
        <f t="shared" ref="J3:J37" si="24">K3+L3+M3</f>
        <v>0</v>
      </c>
      <c r="K3" s="470">
        <f t="shared" si="5"/>
        <v>0</v>
      </c>
      <c r="L3" s="470">
        <f t="shared" si="6"/>
        <v>0</v>
      </c>
      <c r="M3" s="470">
        <f t="shared" si="7"/>
        <v>0</v>
      </c>
      <c r="N3" s="470">
        <f t="shared" si="8"/>
        <v>0</v>
      </c>
      <c r="O3" s="470">
        <f t="shared" si="9"/>
        <v>0</v>
      </c>
      <c r="P3" s="470">
        <f t="shared" ref="P3:P37" si="25">N3-O3</f>
        <v>0</v>
      </c>
      <c r="Q3" s="470">
        <f t="shared" ref="Q3:Q37" si="26">K3*3+L3*1+M3*0</f>
        <v>0</v>
      </c>
      <c r="R3" s="471">
        <f t="shared" ref="R3:R37" si="27">S3+T3+U3</f>
        <v>0</v>
      </c>
      <c r="S3" s="470">
        <f t="shared" si="10"/>
        <v>0</v>
      </c>
      <c r="T3" s="470">
        <f t="shared" si="11"/>
        <v>0</v>
      </c>
      <c r="U3" s="470">
        <f t="shared" si="12"/>
        <v>0</v>
      </c>
      <c r="V3" s="470">
        <f t="shared" si="13"/>
        <v>0</v>
      </c>
      <c r="W3" s="470">
        <f t="shared" si="14"/>
        <v>0</v>
      </c>
      <c r="X3" s="470">
        <f t="shared" ref="X3:X37" si="28">V3-W3</f>
        <v>0</v>
      </c>
      <c r="Y3" s="472">
        <f t="shared" ref="Y3:Y37" si="29">S3*3+T3*1+U3*0</f>
        <v>0</v>
      </c>
      <c r="Z3" s="470" cm="1">
        <f t="array" ref="Z3">+INDEX(League!$BI$18:$CR$18,,MATCH(Calcs!A3,League!$BI$1:$CR$1,0))</f>
        <v>0</v>
      </c>
      <c r="AA3" s="470" cm="1">
        <f t="array" ref="AA3">+INDEX(League!$BI$27:$CR$27,,MATCH(Calcs!A3,League!$BI$1:$CR$1,0))</f>
        <v>0</v>
      </c>
      <c r="AB3" s="470" cm="1">
        <f t="array" ref="AB3">+INDEX(League!$BI$36:$CR$36,,MATCH(Calcs!A3,League!$BI$1:$CR$1,0))</f>
        <v>0</v>
      </c>
      <c r="AD3" s="470">
        <f t="shared" ref="AD3:AD37" si="30">COUNTIF(I$2:I$37,"&gt;"&amp;I3)+1</f>
        <v>1</v>
      </c>
      <c r="AF3" s="470" t="str">
        <f t="shared" ref="AF3:AF37" si="31">IF(COUNTIF(AD$2:AD$37,AD3)=1,"-","Pos. "&amp;AD3&amp;" ("&amp;COUNTIF(AD$2:AD$37,AD3)&amp;")")</f>
        <v>Pos. 1 (36)</v>
      </c>
      <c r="AH3" s="470">
        <f t="shared" si="15"/>
        <v>0</v>
      </c>
      <c r="AJ3" s="470">
        <f t="shared" si="16"/>
        <v>1</v>
      </c>
      <c r="AL3" s="470" t="str">
        <f t="shared" ref="AL3:AL37" si="32">IF(COUNTIF(AJ$2:AJ$37,AJ3)=1,"-","Pos. "&amp;AJ3&amp;" ("&amp;COUNTIF(AJ$2:AJ$37,AJ3)&amp;")")</f>
        <v>Pos. 1 (36)</v>
      </c>
      <c r="AN3" s="470">
        <f t="shared" si="17"/>
        <v>0</v>
      </c>
      <c r="AP3" s="470">
        <f t="shared" ref="AP3:AP37" si="33">AJ3+COUNTIFS(AL$2:AL$37,AL3,AN$2:AN$37,"&gt;"&amp;AN3)</f>
        <v>1</v>
      </c>
      <c r="AR3" s="470" t="str">
        <f t="shared" ref="AR3:AR37" si="34">IF(COUNTIF(AP$2:AP$37,AP3)=1,"-","Pos. "&amp;AP3&amp;" ("&amp;COUNTIF(AP$2:AP$37,AP3)&amp;")")</f>
        <v>Pos. 1 (36)</v>
      </c>
      <c r="AT3" s="470">
        <f t="shared" si="18"/>
        <v>0</v>
      </c>
      <c r="AV3" s="470">
        <f t="shared" ref="AV3:AV37" si="35">AP3+COUNTIFS(AR$2:AR$37,AR3,AT$2:AT$37,"&gt;"&amp;AT3)</f>
        <v>1</v>
      </c>
      <c r="AX3" s="470" t="str">
        <f t="shared" ref="AX3:AX37" si="36">IF(COUNTIF(AV$2:AV$37,AV3)=1,"-","Pos. "&amp;AV3&amp;" ("&amp;COUNTIF(AV$2:AV$37,AV3)&amp;")")</f>
        <v>Pos. 1 (36)</v>
      </c>
      <c r="AZ3" s="470">
        <f t="shared" si="19"/>
        <v>0</v>
      </c>
      <c r="BB3" s="470">
        <f t="shared" ref="BB3:BB37" si="37">AV3+COUNTIFS(AX$2:AX$37,AX3,AZ$2:AZ$37,"&gt;"&amp;AZ3)</f>
        <v>1</v>
      </c>
      <c r="BD3" s="470" t="str">
        <f t="shared" ref="BD3:BD37" si="38">IF(COUNTIF(BB$2:BB$37,BB3)=1,"-","Pos. "&amp;BB3&amp;" ("&amp;COUNTIF(BB$2:BB$37,BB3)&amp;")")</f>
        <v>Pos. 1 (36)</v>
      </c>
      <c r="BF3" s="470">
        <f t="shared" si="20"/>
        <v>0</v>
      </c>
      <c r="BH3" s="470">
        <f t="shared" ref="BH3:BH37" si="39">BB3+COUNTIFS(BD$2:BD$37,BD3,BF$2:BF$37,"&gt;"&amp;BF3)</f>
        <v>1</v>
      </c>
      <c r="BJ3" s="470" t="str">
        <f t="shared" ref="BJ3:BJ37" si="40">IF(COUNTIF(BH$2:BH$37,BH3)=1,"-","Pos. "&amp;BH3&amp;" ("&amp;COUNTIF(BH$2:BH$37,BH3)&amp;")")</f>
        <v>Pos. 1 (36)</v>
      </c>
      <c r="BL3" s="470">
        <f t="shared" ref="BL3:BL37" si="41">IF(BJ3="-","-",Z3)</f>
        <v>0</v>
      </c>
      <c r="BN3" s="470">
        <f t="shared" ref="BN3:BN37" si="42">BH3+COUNTIFS(BJ$2:BJ$37,BJ3,BL$2:BL$37,"&gt;"&amp;BL3)</f>
        <v>1</v>
      </c>
      <c r="BP3" s="470" t="str">
        <f t="shared" ref="BP3:BP37" si="43">IF(COUNTIF(BN$2:BN$37,BN3)=1,"-","Pos. "&amp;BN3&amp;" ("&amp;COUNTIF(BN$2:BN$37,BN3)&amp;")")</f>
        <v>Pos. 1 (36)</v>
      </c>
      <c r="BR3" s="470">
        <f t="shared" ref="BR3:BR37" si="44">IF(BP3="-","-",AA3)</f>
        <v>0</v>
      </c>
      <c r="BT3" s="470">
        <f t="shared" ref="BT3:BT37" si="45">BN3+COUNTIFS(BP$2:BP$37,BP3,BR$2:BR$37,"&gt;"&amp;BR3)</f>
        <v>1</v>
      </c>
      <c r="BV3" s="470" t="str">
        <f t="shared" ref="BV3:BV37" si="46">IF(COUNTIF(BT$2:BT$37,BT3)=1,"-","Pos. "&amp;BT3&amp;" ("&amp;COUNTIF(BT$2:BT$37,BT3)&amp;")")</f>
        <v>Pos. 1 (36)</v>
      </c>
      <c r="BX3" s="470">
        <f t="shared" ref="BX3:BX37" si="47">IF(BV3="-","-",AB3)</f>
        <v>0</v>
      </c>
      <c r="BZ3" s="470">
        <f t="shared" ref="BZ3:BZ37" si="48">BT3+COUNTIFS(BV$2:BV$37,BV3,BX$2:BX$37,"&gt;"&amp;BX3)</f>
        <v>1</v>
      </c>
      <c r="CB3" s="470" t="str">
        <f t="shared" ref="CB3:CB37" si="49">IF(COUNTIF(BZ$2:BZ$37,BZ3)=1,"-","Pos. "&amp;BZ3&amp;" ("&amp;COUNTIF(BZ$2:BZ$37,BZ3)&amp;")")</f>
        <v>Pos. 1 (36)</v>
      </c>
      <c r="CD3" s="470">
        <f t="shared" si="21"/>
        <v>1</v>
      </c>
      <c r="CF3" s="470">
        <f t="shared" ref="CF3:CF37" si="50">BZ3+COUNTIFS(CB$2:CB$37,CB3,CD$2:CD$37,"&lt;"&amp;CD3)</f>
        <v>2</v>
      </c>
      <c r="CH3" s="469">
        <f>IF(OR(INDEX(League!$AT$2:$AT$37,MATCH($A3,League!$AS$2:$AS$37,0))="",CB3="-"),CF3,INDEX(League!$AT$2:$AT$37,MATCH($A3,League!$AS$2:$AS$37,0))+ROW()/1000)</f>
        <v>2</v>
      </c>
      <c r="CI3" s="469">
        <f t="shared" ref="CI3:CI37" si="51">IF(CB3="-","-",COUNTIF(CH$2:CH$37,"&lt;"&amp;CH3))</f>
        <v>1</v>
      </c>
      <c r="CJ3" s="469">
        <f t="shared" ref="CJ3:CJ37" si="52">BZ3+COUNTIFS(CB$2:CB$37,CB3,CI$2:CI$37,"&lt;"&amp;CI3)</f>
        <v>2</v>
      </c>
    </row>
    <row r="4" spans="1:89">
      <c r="A4" s="469" t="str">
        <f>TablaEquipos[[#This Row],[Team]]</f>
        <v>Aston Villa</v>
      </c>
      <c r="B4" s="470">
        <f t="shared" si="22"/>
        <v>0</v>
      </c>
      <c r="C4" s="470">
        <f t="shared" si="0"/>
        <v>0</v>
      </c>
      <c r="D4" s="470">
        <f t="shared" si="1"/>
        <v>0</v>
      </c>
      <c r="E4" s="470">
        <f t="shared" si="2"/>
        <v>0</v>
      </c>
      <c r="F4" s="470">
        <f t="shared" si="3"/>
        <v>0</v>
      </c>
      <c r="G4" s="470">
        <f t="shared" si="4"/>
        <v>0</v>
      </c>
      <c r="H4" s="470">
        <f t="shared" si="23"/>
        <v>0</v>
      </c>
      <c r="I4" s="470">
        <f>C4*3+D4*1+E4*0+INDEX(League!$BA$2:$BA$37,MATCH(Calcs!A4,League!$AZ$2:$AZ$37,0))</f>
        <v>0</v>
      </c>
      <c r="J4" s="471">
        <f t="shared" si="24"/>
        <v>0</v>
      </c>
      <c r="K4" s="470">
        <f t="shared" si="5"/>
        <v>0</v>
      </c>
      <c r="L4" s="470">
        <f t="shared" si="6"/>
        <v>0</v>
      </c>
      <c r="M4" s="470">
        <f t="shared" si="7"/>
        <v>0</v>
      </c>
      <c r="N4" s="470">
        <f t="shared" si="8"/>
        <v>0</v>
      </c>
      <c r="O4" s="470">
        <f t="shared" si="9"/>
        <v>0</v>
      </c>
      <c r="P4" s="470">
        <f t="shared" si="25"/>
        <v>0</v>
      </c>
      <c r="Q4" s="470">
        <f t="shared" si="26"/>
        <v>0</v>
      </c>
      <c r="R4" s="471">
        <f t="shared" si="27"/>
        <v>0</v>
      </c>
      <c r="S4" s="470">
        <f t="shared" si="10"/>
        <v>0</v>
      </c>
      <c r="T4" s="470">
        <f t="shared" si="11"/>
        <v>0</v>
      </c>
      <c r="U4" s="470">
        <f t="shared" si="12"/>
        <v>0</v>
      </c>
      <c r="V4" s="470">
        <f t="shared" si="13"/>
        <v>0</v>
      </c>
      <c r="W4" s="470">
        <f t="shared" si="14"/>
        <v>0</v>
      </c>
      <c r="X4" s="470">
        <f t="shared" si="28"/>
        <v>0</v>
      </c>
      <c r="Y4" s="472">
        <f t="shared" si="29"/>
        <v>0</v>
      </c>
      <c r="Z4" s="470" cm="1">
        <f t="array" ref="Z4">+INDEX(League!$BI$18:$CR$18,,MATCH(Calcs!A4,League!$BI$1:$CR$1,0))</f>
        <v>0</v>
      </c>
      <c r="AA4" s="470" cm="1">
        <f t="array" ref="AA4">+INDEX(League!$BI$27:$CR$27,,MATCH(Calcs!A4,League!$BI$1:$CR$1,0))</f>
        <v>0</v>
      </c>
      <c r="AB4" s="470" cm="1">
        <f t="array" ref="AB4">+INDEX(League!$BI$36:$CR$36,,MATCH(Calcs!A4,League!$BI$1:$CR$1,0))</f>
        <v>0</v>
      </c>
      <c r="AD4" s="470">
        <f t="shared" si="30"/>
        <v>1</v>
      </c>
      <c r="AF4" s="470" t="str">
        <f t="shared" si="31"/>
        <v>Pos. 1 (36)</v>
      </c>
      <c r="AH4" s="470">
        <f t="shared" si="15"/>
        <v>0</v>
      </c>
      <c r="AJ4" s="470">
        <f t="shared" si="16"/>
        <v>1</v>
      </c>
      <c r="AL4" s="470" t="str">
        <f t="shared" si="32"/>
        <v>Pos. 1 (36)</v>
      </c>
      <c r="AN4" s="470">
        <f t="shared" si="17"/>
        <v>0</v>
      </c>
      <c r="AP4" s="470">
        <f t="shared" si="33"/>
        <v>1</v>
      </c>
      <c r="AR4" s="470" t="str">
        <f t="shared" si="34"/>
        <v>Pos. 1 (36)</v>
      </c>
      <c r="AT4" s="470">
        <f t="shared" si="18"/>
        <v>0</v>
      </c>
      <c r="AV4" s="470">
        <f t="shared" si="35"/>
        <v>1</v>
      </c>
      <c r="AX4" s="470" t="str">
        <f t="shared" si="36"/>
        <v>Pos. 1 (36)</v>
      </c>
      <c r="AZ4" s="470">
        <f t="shared" si="19"/>
        <v>0</v>
      </c>
      <c r="BB4" s="470">
        <f t="shared" si="37"/>
        <v>1</v>
      </c>
      <c r="BD4" s="470" t="str">
        <f t="shared" si="38"/>
        <v>Pos. 1 (36)</v>
      </c>
      <c r="BF4" s="470">
        <f t="shared" si="20"/>
        <v>0</v>
      </c>
      <c r="BH4" s="470">
        <f t="shared" si="39"/>
        <v>1</v>
      </c>
      <c r="BJ4" s="470" t="str">
        <f t="shared" si="40"/>
        <v>Pos. 1 (36)</v>
      </c>
      <c r="BL4" s="470">
        <f t="shared" si="41"/>
        <v>0</v>
      </c>
      <c r="BN4" s="470">
        <f t="shared" si="42"/>
        <v>1</v>
      </c>
      <c r="BP4" s="470" t="str">
        <f t="shared" si="43"/>
        <v>Pos. 1 (36)</v>
      </c>
      <c r="BR4" s="470">
        <f t="shared" si="44"/>
        <v>0</v>
      </c>
      <c r="BT4" s="470">
        <f t="shared" si="45"/>
        <v>1</v>
      </c>
      <c r="BV4" s="470" t="str">
        <f t="shared" si="46"/>
        <v>Pos. 1 (36)</v>
      </c>
      <c r="BX4" s="470">
        <f t="shared" si="47"/>
        <v>0</v>
      </c>
      <c r="BZ4" s="470">
        <f t="shared" si="48"/>
        <v>1</v>
      </c>
      <c r="CB4" s="470" t="str">
        <f t="shared" si="49"/>
        <v>Pos. 1 (36)</v>
      </c>
      <c r="CD4" s="470">
        <f t="shared" si="21"/>
        <v>2</v>
      </c>
      <c r="CF4" s="470">
        <f t="shared" si="50"/>
        <v>3</v>
      </c>
      <c r="CH4" s="469">
        <f>IF(OR(INDEX(League!$AT$2:$AT$37,MATCH($A4,League!$AS$2:$AS$37,0))="",CB4="-"),CF4,INDEX(League!$AT$2:$AT$37,MATCH($A4,League!$AS$2:$AS$37,0))+ROW()/1000)</f>
        <v>3</v>
      </c>
      <c r="CI4" s="469">
        <f t="shared" si="51"/>
        <v>2</v>
      </c>
      <c r="CJ4" s="469">
        <f t="shared" si="52"/>
        <v>3</v>
      </c>
    </row>
    <row r="5" spans="1:89">
      <c r="A5" s="469" t="str">
        <f>TablaEquipos[[#This Row],[Team]]</f>
        <v>Atlético Madrid</v>
      </c>
      <c r="B5" s="470">
        <f t="shared" si="22"/>
        <v>0</v>
      </c>
      <c r="C5" s="470">
        <f t="shared" si="0"/>
        <v>0</v>
      </c>
      <c r="D5" s="470">
        <f t="shared" si="1"/>
        <v>0</v>
      </c>
      <c r="E5" s="470">
        <f t="shared" si="2"/>
        <v>0</v>
      </c>
      <c r="F5" s="470">
        <f t="shared" si="3"/>
        <v>0</v>
      </c>
      <c r="G5" s="470">
        <f t="shared" si="4"/>
        <v>0</v>
      </c>
      <c r="H5" s="470">
        <f t="shared" si="23"/>
        <v>0</v>
      </c>
      <c r="I5" s="470">
        <f>C5*3+D5*1+E5*0+INDEX(League!$BA$2:$BA$37,MATCH(Calcs!A5,League!$AZ$2:$AZ$37,0))</f>
        <v>0</v>
      </c>
      <c r="J5" s="471">
        <f t="shared" si="24"/>
        <v>0</v>
      </c>
      <c r="K5" s="470">
        <f t="shared" si="5"/>
        <v>0</v>
      </c>
      <c r="L5" s="470">
        <f t="shared" si="6"/>
        <v>0</v>
      </c>
      <c r="M5" s="470">
        <f t="shared" si="7"/>
        <v>0</v>
      </c>
      <c r="N5" s="470">
        <f t="shared" si="8"/>
        <v>0</v>
      </c>
      <c r="O5" s="470">
        <f t="shared" si="9"/>
        <v>0</v>
      </c>
      <c r="P5" s="470">
        <f t="shared" si="25"/>
        <v>0</v>
      </c>
      <c r="Q5" s="470">
        <f t="shared" si="26"/>
        <v>0</v>
      </c>
      <c r="R5" s="471">
        <f t="shared" si="27"/>
        <v>0</v>
      </c>
      <c r="S5" s="470">
        <f t="shared" si="10"/>
        <v>0</v>
      </c>
      <c r="T5" s="470">
        <f t="shared" si="11"/>
        <v>0</v>
      </c>
      <c r="U5" s="470">
        <f t="shared" si="12"/>
        <v>0</v>
      </c>
      <c r="V5" s="470">
        <f t="shared" si="13"/>
        <v>0</v>
      </c>
      <c r="W5" s="470">
        <f t="shared" si="14"/>
        <v>0</v>
      </c>
      <c r="X5" s="470">
        <f t="shared" si="28"/>
        <v>0</v>
      </c>
      <c r="Y5" s="472">
        <f t="shared" si="29"/>
        <v>0</v>
      </c>
      <c r="Z5" s="470" cm="1">
        <f t="array" ref="Z5">+INDEX(League!$BI$18:$CR$18,,MATCH(Calcs!A5,League!$BI$1:$CR$1,0))</f>
        <v>0</v>
      </c>
      <c r="AA5" s="470" cm="1">
        <f t="array" ref="AA5">+INDEX(League!$BI$27:$CR$27,,MATCH(Calcs!A5,League!$BI$1:$CR$1,0))</f>
        <v>0</v>
      </c>
      <c r="AB5" s="470" cm="1">
        <f t="array" ref="AB5">+INDEX(League!$BI$36:$CR$36,,MATCH(Calcs!A5,League!$BI$1:$CR$1,0))</f>
        <v>0</v>
      </c>
      <c r="AD5" s="470">
        <f t="shared" si="30"/>
        <v>1</v>
      </c>
      <c r="AF5" s="470" t="str">
        <f t="shared" si="31"/>
        <v>Pos. 1 (36)</v>
      </c>
      <c r="AH5" s="470">
        <f t="shared" si="15"/>
        <v>0</v>
      </c>
      <c r="AJ5" s="470">
        <f t="shared" si="16"/>
        <v>1</v>
      </c>
      <c r="AL5" s="470" t="str">
        <f t="shared" si="32"/>
        <v>Pos. 1 (36)</v>
      </c>
      <c r="AN5" s="470">
        <f t="shared" si="17"/>
        <v>0</v>
      </c>
      <c r="AP5" s="470">
        <f t="shared" si="33"/>
        <v>1</v>
      </c>
      <c r="AR5" s="470" t="str">
        <f t="shared" si="34"/>
        <v>Pos. 1 (36)</v>
      </c>
      <c r="AT5" s="470">
        <f t="shared" si="18"/>
        <v>0</v>
      </c>
      <c r="AV5" s="470">
        <f t="shared" si="35"/>
        <v>1</v>
      </c>
      <c r="AX5" s="470" t="str">
        <f t="shared" si="36"/>
        <v>Pos. 1 (36)</v>
      </c>
      <c r="AZ5" s="470">
        <f t="shared" si="19"/>
        <v>0</v>
      </c>
      <c r="BB5" s="470">
        <f t="shared" si="37"/>
        <v>1</v>
      </c>
      <c r="BD5" s="470" t="str">
        <f t="shared" si="38"/>
        <v>Pos. 1 (36)</v>
      </c>
      <c r="BF5" s="470">
        <f t="shared" si="20"/>
        <v>0</v>
      </c>
      <c r="BH5" s="470">
        <f t="shared" si="39"/>
        <v>1</v>
      </c>
      <c r="BJ5" s="470" t="str">
        <f t="shared" si="40"/>
        <v>Pos. 1 (36)</v>
      </c>
      <c r="BL5" s="470">
        <f t="shared" si="41"/>
        <v>0</v>
      </c>
      <c r="BN5" s="470">
        <f t="shared" si="42"/>
        <v>1</v>
      </c>
      <c r="BP5" s="470" t="str">
        <f t="shared" si="43"/>
        <v>Pos. 1 (36)</v>
      </c>
      <c r="BR5" s="470">
        <f t="shared" si="44"/>
        <v>0</v>
      </c>
      <c r="BT5" s="470">
        <f t="shared" si="45"/>
        <v>1</v>
      </c>
      <c r="BV5" s="470" t="str">
        <f t="shared" si="46"/>
        <v>Pos. 1 (36)</v>
      </c>
      <c r="BX5" s="470">
        <f t="shared" si="47"/>
        <v>0</v>
      </c>
      <c r="BZ5" s="470">
        <f t="shared" si="48"/>
        <v>1</v>
      </c>
      <c r="CB5" s="470" t="str">
        <f t="shared" si="49"/>
        <v>Pos. 1 (36)</v>
      </c>
      <c r="CD5" s="470">
        <f t="shared" si="21"/>
        <v>3</v>
      </c>
      <c r="CF5" s="470">
        <f t="shared" si="50"/>
        <v>4</v>
      </c>
      <c r="CH5" s="469">
        <f>IF(OR(INDEX(League!$AT$2:$AT$37,MATCH($A5,League!$AS$2:$AS$37,0))="",CB5="-"),CF5,INDEX(League!$AT$2:$AT$37,MATCH($A5,League!$AS$2:$AS$37,0))+ROW()/1000)</f>
        <v>4</v>
      </c>
      <c r="CI5" s="469">
        <f t="shared" si="51"/>
        <v>3</v>
      </c>
      <c r="CJ5" s="469">
        <f t="shared" si="52"/>
        <v>4</v>
      </c>
    </row>
    <row r="6" spans="1:89">
      <c r="A6" s="469" t="str">
        <f>TablaEquipos[[#This Row],[Team]]</f>
        <v>Barcelona</v>
      </c>
      <c r="B6" s="470">
        <f t="shared" si="22"/>
        <v>0</v>
      </c>
      <c r="C6" s="470">
        <f t="shared" si="0"/>
        <v>0</v>
      </c>
      <c r="D6" s="470">
        <f t="shared" si="1"/>
        <v>0</v>
      </c>
      <c r="E6" s="470">
        <f t="shared" si="2"/>
        <v>0</v>
      </c>
      <c r="F6" s="470">
        <f t="shared" si="3"/>
        <v>0</v>
      </c>
      <c r="G6" s="470">
        <f t="shared" si="4"/>
        <v>0</v>
      </c>
      <c r="H6" s="470">
        <f t="shared" si="23"/>
        <v>0</v>
      </c>
      <c r="I6" s="470">
        <f>C6*3+D6*1+E6*0+INDEX(League!$BA$2:$BA$37,MATCH(Calcs!A6,League!$AZ$2:$AZ$37,0))</f>
        <v>0</v>
      </c>
      <c r="J6" s="471">
        <f t="shared" si="24"/>
        <v>0</v>
      </c>
      <c r="K6" s="470">
        <f t="shared" si="5"/>
        <v>0</v>
      </c>
      <c r="L6" s="470">
        <f t="shared" si="6"/>
        <v>0</v>
      </c>
      <c r="M6" s="470">
        <f t="shared" si="7"/>
        <v>0</v>
      </c>
      <c r="N6" s="470">
        <f t="shared" si="8"/>
        <v>0</v>
      </c>
      <c r="O6" s="470">
        <f t="shared" si="9"/>
        <v>0</v>
      </c>
      <c r="P6" s="470">
        <f t="shared" si="25"/>
        <v>0</v>
      </c>
      <c r="Q6" s="470">
        <f t="shared" si="26"/>
        <v>0</v>
      </c>
      <c r="R6" s="471">
        <f t="shared" si="27"/>
        <v>0</v>
      </c>
      <c r="S6" s="470">
        <f t="shared" si="10"/>
        <v>0</v>
      </c>
      <c r="T6" s="470">
        <f t="shared" si="11"/>
        <v>0</v>
      </c>
      <c r="U6" s="470">
        <f t="shared" si="12"/>
        <v>0</v>
      </c>
      <c r="V6" s="470">
        <f t="shared" si="13"/>
        <v>0</v>
      </c>
      <c r="W6" s="470">
        <f t="shared" si="14"/>
        <v>0</v>
      </c>
      <c r="X6" s="470">
        <f t="shared" si="28"/>
        <v>0</v>
      </c>
      <c r="Y6" s="472">
        <f t="shared" si="29"/>
        <v>0</v>
      </c>
      <c r="Z6" s="470" cm="1">
        <f t="array" ref="Z6">+INDEX(League!$BI$18:$CR$18,,MATCH(Calcs!A6,League!$BI$1:$CR$1,0))</f>
        <v>0</v>
      </c>
      <c r="AA6" s="470" cm="1">
        <f t="array" ref="AA6">+INDEX(League!$BI$27:$CR$27,,MATCH(Calcs!A6,League!$BI$1:$CR$1,0))</f>
        <v>0</v>
      </c>
      <c r="AB6" s="470" cm="1">
        <f t="array" ref="AB6">+INDEX(League!$BI$36:$CR$36,,MATCH(Calcs!A6,League!$BI$1:$CR$1,0))</f>
        <v>0</v>
      </c>
      <c r="AD6" s="470">
        <f t="shared" si="30"/>
        <v>1</v>
      </c>
      <c r="AF6" s="470" t="str">
        <f t="shared" si="31"/>
        <v>Pos. 1 (36)</v>
      </c>
      <c r="AH6" s="470">
        <f t="shared" si="15"/>
        <v>0</v>
      </c>
      <c r="AJ6" s="470">
        <f t="shared" si="16"/>
        <v>1</v>
      </c>
      <c r="AL6" s="470" t="str">
        <f t="shared" si="32"/>
        <v>Pos. 1 (36)</v>
      </c>
      <c r="AN6" s="470">
        <f t="shared" si="17"/>
        <v>0</v>
      </c>
      <c r="AP6" s="470">
        <f t="shared" si="33"/>
        <v>1</v>
      </c>
      <c r="AR6" s="470" t="str">
        <f t="shared" si="34"/>
        <v>Pos. 1 (36)</v>
      </c>
      <c r="AT6" s="470">
        <f t="shared" si="18"/>
        <v>0</v>
      </c>
      <c r="AV6" s="470">
        <f t="shared" si="35"/>
        <v>1</v>
      </c>
      <c r="AX6" s="470" t="str">
        <f t="shared" si="36"/>
        <v>Pos. 1 (36)</v>
      </c>
      <c r="AZ6" s="470">
        <f t="shared" si="19"/>
        <v>0</v>
      </c>
      <c r="BB6" s="470">
        <f t="shared" si="37"/>
        <v>1</v>
      </c>
      <c r="BD6" s="470" t="str">
        <f t="shared" si="38"/>
        <v>Pos. 1 (36)</v>
      </c>
      <c r="BF6" s="470">
        <f t="shared" si="20"/>
        <v>0</v>
      </c>
      <c r="BH6" s="470">
        <f t="shared" si="39"/>
        <v>1</v>
      </c>
      <c r="BJ6" s="470" t="str">
        <f t="shared" si="40"/>
        <v>Pos. 1 (36)</v>
      </c>
      <c r="BL6" s="470">
        <f t="shared" si="41"/>
        <v>0</v>
      </c>
      <c r="BN6" s="470">
        <f t="shared" si="42"/>
        <v>1</v>
      </c>
      <c r="BP6" s="470" t="str">
        <f t="shared" si="43"/>
        <v>Pos. 1 (36)</v>
      </c>
      <c r="BR6" s="470">
        <f t="shared" si="44"/>
        <v>0</v>
      </c>
      <c r="BT6" s="470">
        <f t="shared" si="45"/>
        <v>1</v>
      </c>
      <c r="BV6" s="470" t="str">
        <f t="shared" si="46"/>
        <v>Pos. 1 (36)</v>
      </c>
      <c r="BX6" s="470">
        <f t="shared" si="47"/>
        <v>0</v>
      </c>
      <c r="BZ6" s="470">
        <f t="shared" si="48"/>
        <v>1</v>
      </c>
      <c r="CB6" s="470" t="str">
        <f t="shared" si="49"/>
        <v>Pos. 1 (36)</v>
      </c>
      <c r="CD6" s="470">
        <f t="shared" si="21"/>
        <v>4</v>
      </c>
      <c r="CF6" s="470">
        <f t="shared" si="50"/>
        <v>5</v>
      </c>
      <c r="CH6" s="469">
        <f>IF(OR(INDEX(League!$AT$2:$AT$37,MATCH($A6,League!$AS$2:$AS$37,0))="",CB6="-"),CF6,INDEX(League!$AT$2:$AT$37,MATCH($A6,League!$AS$2:$AS$37,0))+ROW()/1000)</f>
        <v>5</v>
      </c>
      <c r="CI6" s="469">
        <f t="shared" si="51"/>
        <v>4</v>
      </c>
      <c r="CJ6" s="469">
        <f t="shared" si="52"/>
        <v>5</v>
      </c>
    </row>
    <row r="7" spans="1:89">
      <c r="A7" s="469" t="str">
        <f>TablaEquipos[[#This Row],[Team]]</f>
        <v>Bayern München</v>
      </c>
      <c r="B7" s="470">
        <f t="shared" si="22"/>
        <v>0</v>
      </c>
      <c r="C7" s="470">
        <f t="shared" si="0"/>
        <v>0</v>
      </c>
      <c r="D7" s="470">
        <f t="shared" si="1"/>
        <v>0</v>
      </c>
      <c r="E7" s="470">
        <f t="shared" si="2"/>
        <v>0</v>
      </c>
      <c r="F7" s="470">
        <f t="shared" si="3"/>
        <v>0</v>
      </c>
      <c r="G7" s="470">
        <f t="shared" si="4"/>
        <v>0</v>
      </c>
      <c r="H7" s="470">
        <f t="shared" si="23"/>
        <v>0</v>
      </c>
      <c r="I7" s="470">
        <f>C7*3+D7*1+E7*0+INDEX(League!$BA$2:$BA$37,MATCH(Calcs!A7,League!$AZ$2:$AZ$37,0))</f>
        <v>0</v>
      </c>
      <c r="J7" s="471">
        <f t="shared" si="24"/>
        <v>0</v>
      </c>
      <c r="K7" s="470">
        <f t="shared" si="5"/>
        <v>0</v>
      </c>
      <c r="L7" s="470">
        <f t="shared" si="6"/>
        <v>0</v>
      </c>
      <c r="M7" s="470">
        <f t="shared" si="7"/>
        <v>0</v>
      </c>
      <c r="N7" s="470">
        <f t="shared" si="8"/>
        <v>0</v>
      </c>
      <c r="O7" s="470">
        <f t="shared" si="9"/>
        <v>0</v>
      </c>
      <c r="P7" s="470">
        <f t="shared" si="25"/>
        <v>0</v>
      </c>
      <c r="Q7" s="470">
        <f t="shared" si="26"/>
        <v>0</v>
      </c>
      <c r="R7" s="471">
        <f t="shared" si="27"/>
        <v>0</v>
      </c>
      <c r="S7" s="470">
        <f t="shared" si="10"/>
        <v>0</v>
      </c>
      <c r="T7" s="470">
        <f t="shared" si="11"/>
        <v>0</v>
      </c>
      <c r="U7" s="470">
        <f t="shared" si="12"/>
        <v>0</v>
      </c>
      <c r="V7" s="470">
        <f t="shared" si="13"/>
        <v>0</v>
      </c>
      <c r="W7" s="470">
        <f t="shared" si="14"/>
        <v>0</v>
      </c>
      <c r="X7" s="470">
        <f t="shared" si="28"/>
        <v>0</v>
      </c>
      <c r="Y7" s="472">
        <f t="shared" si="29"/>
        <v>0</v>
      </c>
      <c r="Z7" s="470" cm="1">
        <f t="array" ref="Z7">+INDEX(League!$BI$18:$CR$18,,MATCH(Calcs!A7,League!$BI$1:$CR$1,0))</f>
        <v>0</v>
      </c>
      <c r="AA7" s="470" cm="1">
        <f t="array" ref="AA7">+INDEX(League!$BI$27:$CR$27,,MATCH(Calcs!A7,League!$BI$1:$CR$1,0))</f>
        <v>0</v>
      </c>
      <c r="AB7" s="470" cm="1">
        <f t="array" ref="AB7">+INDEX(League!$BI$36:$CR$36,,MATCH(Calcs!A7,League!$BI$1:$CR$1,0))</f>
        <v>0</v>
      </c>
      <c r="AD7" s="470">
        <f t="shared" si="30"/>
        <v>1</v>
      </c>
      <c r="AF7" s="470" t="str">
        <f t="shared" si="31"/>
        <v>Pos. 1 (36)</v>
      </c>
      <c r="AH7" s="470">
        <f t="shared" si="15"/>
        <v>0</v>
      </c>
      <c r="AJ7" s="470">
        <f t="shared" si="16"/>
        <v>1</v>
      </c>
      <c r="AL7" s="470" t="str">
        <f t="shared" si="32"/>
        <v>Pos. 1 (36)</v>
      </c>
      <c r="AN7" s="470">
        <f t="shared" si="17"/>
        <v>0</v>
      </c>
      <c r="AP7" s="470">
        <f t="shared" si="33"/>
        <v>1</v>
      </c>
      <c r="AR7" s="470" t="str">
        <f t="shared" si="34"/>
        <v>Pos. 1 (36)</v>
      </c>
      <c r="AT7" s="470">
        <f t="shared" si="18"/>
        <v>0</v>
      </c>
      <c r="AV7" s="470">
        <f t="shared" si="35"/>
        <v>1</v>
      </c>
      <c r="AX7" s="470" t="str">
        <f t="shared" si="36"/>
        <v>Pos. 1 (36)</v>
      </c>
      <c r="AZ7" s="470">
        <f t="shared" si="19"/>
        <v>0</v>
      </c>
      <c r="BB7" s="470">
        <f t="shared" si="37"/>
        <v>1</v>
      </c>
      <c r="BD7" s="470" t="str">
        <f t="shared" si="38"/>
        <v>Pos. 1 (36)</v>
      </c>
      <c r="BF7" s="470">
        <f t="shared" si="20"/>
        <v>0</v>
      </c>
      <c r="BH7" s="470">
        <f t="shared" si="39"/>
        <v>1</v>
      </c>
      <c r="BJ7" s="470" t="str">
        <f t="shared" si="40"/>
        <v>Pos. 1 (36)</v>
      </c>
      <c r="BL7" s="470">
        <f t="shared" si="41"/>
        <v>0</v>
      </c>
      <c r="BN7" s="470">
        <f t="shared" si="42"/>
        <v>1</v>
      </c>
      <c r="BP7" s="470" t="str">
        <f t="shared" si="43"/>
        <v>Pos. 1 (36)</v>
      </c>
      <c r="BR7" s="470">
        <f t="shared" si="44"/>
        <v>0</v>
      </c>
      <c r="BT7" s="470">
        <f t="shared" si="45"/>
        <v>1</v>
      </c>
      <c r="BV7" s="470" t="str">
        <f t="shared" si="46"/>
        <v>Pos. 1 (36)</v>
      </c>
      <c r="BX7" s="470">
        <f t="shared" si="47"/>
        <v>0</v>
      </c>
      <c r="BZ7" s="470">
        <f t="shared" si="48"/>
        <v>1</v>
      </c>
      <c r="CB7" s="470" t="str">
        <f t="shared" si="49"/>
        <v>Pos. 1 (36)</v>
      </c>
      <c r="CD7" s="470">
        <f t="shared" si="21"/>
        <v>5</v>
      </c>
      <c r="CF7" s="470">
        <f t="shared" si="50"/>
        <v>6</v>
      </c>
      <c r="CH7" s="469">
        <f>IF(OR(INDEX(League!$AT$2:$AT$37,MATCH($A7,League!$AS$2:$AS$37,0))="",CB7="-"),CF7,INDEX(League!$AT$2:$AT$37,MATCH($A7,League!$AS$2:$AS$37,0))+ROW()/1000)</f>
        <v>6</v>
      </c>
      <c r="CI7" s="469">
        <f t="shared" si="51"/>
        <v>5</v>
      </c>
      <c r="CJ7" s="469">
        <f t="shared" si="52"/>
        <v>6</v>
      </c>
    </row>
    <row r="8" spans="1:89">
      <c r="A8" s="469" t="str">
        <f>TablaEquipos[[#This Row],[Team]]</f>
        <v>Betis</v>
      </c>
      <c r="B8" s="470">
        <f t="shared" si="22"/>
        <v>0</v>
      </c>
      <c r="C8" s="470">
        <f t="shared" si="0"/>
        <v>0</v>
      </c>
      <c r="D8" s="470">
        <f t="shared" si="1"/>
        <v>0</v>
      </c>
      <c r="E8" s="470">
        <f t="shared" si="2"/>
        <v>0</v>
      </c>
      <c r="F8" s="470">
        <f t="shared" si="3"/>
        <v>0</v>
      </c>
      <c r="G8" s="470">
        <f t="shared" si="4"/>
        <v>0</v>
      </c>
      <c r="H8" s="470">
        <f t="shared" si="23"/>
        <v>0</v>
      </c>
      <c r="I8" s="470">
        <f>C8*3+D8*1+E8*0+INDEX(League!$BA$2:$BA$37,MATCH(Calcs!A8,League!$AZ$2:$AZ$37,0))</f>
        <v>0</v>
      </c>
      <c r="J8" s="471">
        <f t="shared" si="24"/>
        <v>0</v>
      </c>
      <c r="K8" s="470">
        <f t="shared" si="5"/>
        <v>0</v>
      </c>
      <c r="L8" s="470">
        <f t="shared" si="6"/>
        <v>0</v>
      </c>
      <c r="M8" s="470">
        <f t="shared" si="7"/>
        <v>0</v>
      </c>
      <c r="N8" s="470">
        <f t="shared" si="8"/>
        <v>0</v>
      </c>
      <c r="O8" s="470">
        <f t="shared" si="9"/>
        <v>0</v>
      </c>
      <c r="P8" s="470">
        <f t="shared" si="25"/>
        <v>0</v>
      </c>
      <c r="Q8" s="470">
        <f t="shared" si="26"/>
        <v>0</v>
      </c>
      <c r="R8" s="471">
        <f t="shared" si="27"/>
        <v>0</v>
      </c>
      <c r="S8" s="470">
        <f t="shared" si="10"/>
        <v>0</v>
      </c>
      <c r="T8" s="470">
        <f t="shared" si="11"/>
        <v>0</v>
      </c>
      <c r="U8" s="470">
        <f t="shared" si="12"/>
        <v>0</v>
      </c>
      <c r="V8" s="470">
        <f t="shared" si="13"/>
        <v>0</v>
      </c>
      <c r="W8" s="470">
        <f t="shared" si="14"/>
        <v>0</v>
      </c>
      <c r="X8" s="470">
        <f t="shared" si="28"/>
        <v>0</v>
      </c>
      <c r="Y8" s="472">
        <f t="shared" si="29"/>
        <v>0</v>
      </c>
      <c r="Z8" s="470" cm="1">
        <f t="array" ref="Z8">+INDEX(League!$BI$18:$CR$18,,MATCH(Calcs!A8,League!$BI$1:$CR$1,0))</f>
        <v>0</v>
      </c>
      <c r="AA8" s="470" cm="1">
        <f t="array" ref="AA8">+INDEX(League!$BI$27:$CR$27,,MATCH(Calcs!A8,League!$BI$1:$CR$1,0))</f>
        <v>0</v>
      </c>
      <c r="AB8" s="470" cm="1">
        <f t="array" ref="AB8">+INDEX(League!$BI$36:$CR$36,,MATCH(Calcs!A8,League!$BI$1:$CR$1,0))</f>
        <v>0</v>
      </c>
      <c r="AD8" s="470">
        <f t="shared" si="30"/>
        <v>1</v>
      </c>
      <c r="AF8" s="470" t="str">
        <f t="shared" si="31"/>
        <v>Pos. 1 (36)</v>
      </c>
      <c r="AH8" s="470">
        <f t="shared" si="15"/>
        <v>0</v>
      </c>
      <c r="AJ8" s="470">
        <f t="shared" si="16"/>
        <v>1</v>
      </c>
      <c r="AL8" s="470" t="str">
        <f t="shared" si="32"/>
        <v>Pos. 1 (36)</v>
      </c>
      <c r="AN8" s="470">
        <f t="shared" si="17"/>
        <v>0</v>
      </c>
      <c r="AP8" s="470">
        <f t="shared" si="33"/>
        <v>1</v>
      </c>
      <c r="AR8" s="470" t="str">
        <f t="shared" si="34"/>
        <v>Pos. 1 (36)</v>
      </c>
      <c r="AT8" s="470">
        <f t="shared" si="18"/>
        <v>0</v>
      </c>
      <c r="AV8" s="470">
        <f t="shared" si="35"/>
        <v>1</v>
      </c>
      <c r="AX8" s="470" t="str">
        <f t="shared" si="36"/>
        <v>Pos. 1 (36)</v>
      </c>
      <c r="AZ8" s="470">
        <f t="shared" si="19"/>
        <v>0</v>
      </c>
      <c r="BB8" s="470">
        <f t="shared" si="37"/>
        <v>1</v>
      </c>
      <c r="BD8" s="470" t="str">
        <f t="shared" si="38"/>
        <v>Pos. 1 (36)</v>
      </c>
      <c r="BF8" s="470">
        <f t="shared" si="20"/>
        <v>0</v>
      </c>
      <c r="BH8" s="470">
        <f t="shared" si="39"/>
        <v>1</v>
      </c>
      <c r="BJ8" s="470" t="str">
        <f t="shared" si="40"/>
        <v>Pos. 1 (36)</v>
      </c>
      <c r="BL8" s="470">
        <f t="shared" si="41"/>
        <v>0</v>
      </c>
      <c r="BN8" s="470">
        <f t="shared" si="42"/>
        <v>1</v>
      </c>
      <c r="BP8" s="470" t="str">
        <f t="shared" si="43"/>
        <v>Pos. 1 (36)</v>
      </c>
      <c r="BR8" s="470">
        <f t="shared" si="44"/>
        <v>0</v>
      </c>
      <c r="BT8" s="470">
        <f t="shared" si="45"/>
        <v>1</v>
      </c>
      <c r="BV8" s="470" t="str">
        <f t="shared" si="46"/>
        <v>Pos. 1 (36)</v>
      </c>
      <c r="BX8" s="470">
        <f t="shared" si="47"/>
        <v>0</v>
      </c>
      <c r="BZ8" s="470">
        <f t="shared" si="48"/>
        <v>1</v>
      </c>
      <c r="CB8" s="470" t="str">
        <f t="shared" si="49"/>
        <v>Pos. 1 (36)</v>
      </c>
      <c r="CD8" s="470">
        <f t="shared" si="21"/>
        <v>6</v>
      </c>
      <c r="CF8" s="470">
        <f t="shared" si="50"/>
        <v>7</v>
      </c>
      <c r="CH8" s="469">
        <f>IF(OR(INDEX(League!$AT$2:$AT$37,MATCH($A8,League!$AS$2:$AS$37,0))="",CB8="-"),CF8,INDEX(League!$AT$2:$AT$37,MATCH($A8,League!$AS$2:$AS$37,0))+ROW()/1000)</f>
        <v>7</v>
      </c>
      <c r="CI8" s="469">
        <f t="shared" si="51"/>
        <v>6</v>
      </c>
      <c r="CJ8" s="469">
        <f t="shared" si="52"/>
        <v>7</v>
      </c>
    </row>
    <row r="9" spans="1:89">
      <c r="A9" s="469" t="str">
        <f>TablaEquipos[[#This Row],[Team]]</f>
        <v>Bodø/Glimt</v>
      </c>
      <c r="B9" s="470">
        <f t="shared" si="22"/>
        <v>0</v>
      </c>
      <c r="C9" s="470">
        <f t="shared" si="0"/>
        <v>0</v>
      </c>
      <c r="D9" s="470">
        <f t="shared" si="1"/>
        <v>0</v>
      </c>
      <c r="E9" s="470">
        <f t="shared" si="2"/>
        <v>0</v>
      </c>
      <c r="F9" s="470">
        <f t="shared" si="3"/>
        <v>0</v>
      </c>
      <c r="G9" s="470">
        <f t="shared" si="4"/>
        <v>0</v>
      </c>
      <c r="H9" s="470">
        <f t="shared" si="23"/>
        <v>0</v>
      </c>
      <c r="I9" s="470">
        <f>C9*3+D9*1+E9*0+INDEX(League!$BA$2:$BA$37,MATCH(Calcs!A9,League!$AZ$2:$AZ$37,0))</f>
        <v>0</v>
      </c>
      <c r="J9" s="471">
        <f t="shared" si="24"/>
        <v>0</v>
      </c>
      <c r="K9" s="470">
        <f t="shared" si="5"/>
        <v>0</v>
      </c>
      <c r="L9" s="470">
        <f t="shared" si="6"/>
        <v>0</v>
      </c>
      <c r="M9" s="470">
        <f t="shared" si="7"/>
        <v>0</v>
      </c>
      <c r="N9" s="470">
        <f t="shared" si="8"/>
        <v>0</v>
      </c>
      <c r="O9" s="470">
        <f t="shared" si="9"/>
        <v>0</v>
      </c>
      <c r="P9" s="470">
        <f t="shared" si="25"/>
        <v>0</v>
      </c>
      <c r="Q9" s="470">
        <f t="shared" si="26"/>
        <v>0</v>
      </c>
      <c r="R9" s="471">
        <f t="shared" si="27"/>
        <v>0</v>
      </c>
      <c r="S9" s="470">
        <f t="shared" si="10"/>
        <v>0</v>
      </c>
      <c r="T9" s="470">
        <f t="shared" si="11"/>
        <v>0</v>
      </c>
      <c r="U9" s="470">
        <f t="shared" si="12"/>
        <v>0</v>
      </c>
      <c r="V9" s="470">
        <f t="shared" si="13"/>
        <v>0</v>
      </c>
      <c r="W9" s="470">
        <f t="shared" si="14"/>
        <v>0</v>
      </c>
      <c r="X9" s="470">
        <f t="shared" si="28"/>
        <v>0</v>
      </c>
      <c r="Y9" s="472">
        <f t="shared" si="29"/>
        <v>0</v>
      </c>
      <c r="Z9" s="470" cm="1">
        <f t="array" ref="Z9">+INDEX(League!$BI$18:$CR$18,,MATCH(Calcs!A9,League!$BI$1:$CR$1,0))</f>
        <v>0</v>
      </c>
      <c r="AA9" s="470" cm="1">
        <f t="array" ref="AA9">+INDEX(League!$BI$27:$CR$27,,MATCH(Calcs!A9,League!$BI$1:$CR$1,0))</f>
        <v>0</v>
      </c>
      <c r="AB9" s="470" cm="1">
        <f t="array" ref="AB9">+INDEX(League!$BI$36:$CR$36,,MATCH(Calcs!A9,League!$BI$1:$CR$1,0))</f>
        <v>0</v>
      </c>
      <c r="AD9" s="470">
        <f t="shared" si="30"/>
        <v>1</v>
      </c>
      <c r="AF9" s="470" t="str">
        <f t="shared" si="31"/>
        <v>Pos. 1 (36)</v>
      </c>
      <c r="AH9" s="470">
        <f t="shared" si="15"/>
        <v>0</v>
      </c>
      <c r="AJ9" s="470">
        <f t="shared" si="16"/>
        <v>1</v>
      </c>
      <c r="AL9" s="470" t="str">
        <f t="shared" si="32"/>
        <v>Pos. 1 (36)</v>
      </c>
      <c r="AN9" s="470">
        <f t="shared" si="17"/>
        <v>0</v>
      </c>
      <c r="AP9" s="470">
        <f t="shared" si="33"/>
        <v>1</v>
      </c>
      <c r="AR9" s="470" t="str">
        <f t="shared" si="34"/>
        <v>Pos. 1 (36)</v>
      </c>
      <c r="AT9" s="470">
        <f t="shared" si="18"/>
        <v>0</v>
      </c>
      <c r="AV9" s="470">
        <f t="shared" si="35"/>
        <v>1</v>
      </c>
      <c r="AX9" s="470" t="str">
        <f t="shared" si="36"/>
        <v>Pos. 1 (36)</v>
      </c>
      <c r="AZ9" s="470">
        <f t="shared" si="19"/>
        <v>0</v>
      </c>
      <c r="BB9" s="470">
        <f t="shared" si="37"/>
        <v>1</v>
      </c>
      <c r="BD9" s="470" t="str">
        <f t="shared" si="38"/>
        <v>Pos. 1 (36)</v>
      </c>
      <c r="BF9" s="470">
        <f t="shared" si="20"/>
        <v>0</v>
      </c>
      <c r="BH9" s="470">
        <f t="shared" si="39"/>
        <v>1</v>
      </c>
      <c r="BJ9" s="470" t="str">
        <f t="shared" si="40"/>
        <v>Pos. 1 (36)</v>
      </c>
      <c r="BL9" s="470">
        <f t="shared" si="41"/>
        <v>0</v>
      </c>
      <c r="BN9" s="470">
        <f t="shared" si="42"/>
        <v>1</v>
      </c>
      <c r="BP9" s="470" t="str">
        <f t="shared" si="43"/>
        <v>Pos. 1 (36)</v>
      </c>
      <c r="BR9" s="470">
        <f t="shared" si="44"/>
        <v>0</v>
      </c>
      <c r="BT9" s="470">
        <f t="shared" si="45"/>
        <v>1</v>
      </c>
      <c r="BV9" s="470" t="str">
        <f t="shared" si="46"/>
        <v>Pos. 1 (36)</v>
      </c>
      <c r="BX9" s="470">
        <f t="shared" si="47"/>
        <v>0</v>
      </c>
      <c r="BZ9" s="470">
        <f t="shared" si="48"/>
        <v>1</v>
      </c>
      <c r="CB9" s="470" t="str">
        <f t="shared" si="49"/>
        <v>Pos. 1 (36)</v>
      </c>
      <c r="CD9" s="470">
        <f t="shared" si="21"/>
        <v>7</v>
      </c>
      <c r="CF9" s="470">
        <f t="shared" si="50"/>
        <v>8</v>
      </c>
      <c r="CH9" s="469">
        <f>IF(OR(INDEX(League!$AT$2:$AT$37,MATCH($A9,League!$AS$2:$AS$37,0))="",CB9="-"),CF9,INDEX(League!$AT$2:$AT$37,MATCH($A9,League!$AS$2:$AS$37,0))+ROW()/1000)</f>
        <v>8</v>
      </c>
      <c r="CI9" s="469">
        <f t="shared" si="51"/>
        <v>7</v>
      </c>
      <c r="CJ9" s="469">
        <f t="shared" si="52"/>
        <v>8</v>
      </c>
    </row>
    <row r="10" spans="1:89">
      <c r="A10" s="469" t="str">
        <f>TablaEquipos[[#This Row],[Team]]</f>
        <v>Borussia Dortmund</v>
      </c>
      <c r="B10" s="470">
        <f t="shared" si="22"/>
        <v>0</v>
      </c>
      <c r="C10" s="470">
        <f t="shared" si="0"/>
        <v>0</v>
      </c>
      <c r="D10" s="470">
        <f t="shared" si="1"/>
        <v>0</v>
      </c>
      <c r="E10" s="470">
        <f t="shared" si="2"/>
        <v>0</v>
      </c>
      <c r="F10" s="470">
        <f t="shared" si="3"/>
        <v>0</v>
      </c>
      <c r="G10" s="470">
        <f t="shared" si="4"/>
        <v>0</v>
      </c>
      <c r="H10" s="470">
        <f t="shared" si="23"/>
        <v>0</v>
      </c>
      <c r="I10" s="470">
        <f>C10*3+D10*1+E10*0+INDEX(League!$BA$2:$BA$37,MATCH(Calcs!A10,League!$AZ$2:$AZ$37,0))</f>
        <v>0</v>
      </c>
      <c r="J10" s="471">
        <f t="shared" si="24"/>
        <v>0</v>
      </c>
      <c r="K10" s="470">
        <f t="shared" si="5"/>
        <v>0</v>
      </c>
      <c r="L10" s="470">
        <f t="shared" si="6"/>
        <v>0</v>
      </c>
      <c r="M10" s="470">
        <f t="shared" si="7"/>
        <v>0</v>
      </c>
      <c r="N10" s="470">
        <f t="shared" si="8"/>
        <v>0</v>
      </c>
      <c r="O10" s="470">
        <f t="shared" si="9"/>
        <v>0</v>
      </c>
      <c r="P10" s="470">
        <f t="shared" si="25"/>
        <v>0</v>
      </c>
      <c r="Q10" s="470">
        <f t="shared" si="26"/>
        <v>0</v>
      </c>
      <c r="R10" s="471">
        <f t="shared" si="27"/>
        <v>0</v>
      </c>
      <c r="S10" s="470">
        <f t="shared" si="10"/>
        <v>0</v>
      </c>
      <c r="T10" s="470">
        <f t="shared" si="11"/>
        <v>0</v>
      </c>
      <c r="U10" s="470">
        <f t="shared" si="12"/>
        <v>0</v>
      </c>
      <c r="V10" s="470">
        <f t="shared" si="13"/>
        <v>0</v>
      </c>
      <c r="W10" s="470">
        <f t="shared" si="14"/>
        <v>0</v>
      </c>
      <c r="X10" s="470">
        <f t="shared" si="28"/>
        <v>0</v>
      </c>
      <c r="Y10" s="472">
        <f t="shared" si="29"/>
        <v>0</v>
      </c>
      <c r="Z10" s="470" cm="1">
        <f t="array" ref="Z10">+INDEX(League!$BI$18:$CR$18,,MATCH(Calcs!A10,League!$BI$1:$CR$1,0))</f>
        <v>0</v>
      </c>
      <c r="AA10" s="470" cm="1">
        <f t="array" ref="AA10">+INDEX(League!$BI$27:$CR$27,,MATCH(Calcs!A10,League!$BI$1:$CR$1,0))</f>
        <v>0</v>
      </c>
      <c r="AB10" s="470" cm="1">
        <f t="array" ref="AB10">+INDEX(League!$BI$36:$CR$36,,MATCH(Calcs!A10,League!$BI$1:$CR$1,0))</f>
        <v>0</v>
      </c>
      <c r="AD10" s="470">
        <f t="shared" si="30"/>
        <v>1</v>
      </c>
      <c r="AF10" s="470" t="str">
        <f t="shared" si="31"/>
        <v>Pos. 1 (36)</v>
      </c>
      <c r="AH10" s="470">
        <f t="shared" si="15"/>
        <v>0</v>
      </c>
      <c r="AJ10" s="470">
        <f t="shared" si="16"/>
        <v>1</v>
      </c>
      <c r="AL10" s="470" t="str">
        <f t="shared" si="32"/>
        <v>Pos. 1 (36)</v>
      </c>
      <c r="AN10" s="470">
        <f t="shared" si="17"/>
        <v>0</v>
      </c>
      <c r="AP10" s="470">
        <f t="shared" si="33"/>
        <v>1</v>
      </c>
      <c r="AR10" s="470" t="str">
        <f t="shared" si="34"/>
        <v>Pos. 1 (36)</v>
      </c>
      <c r="AT10" s="470">
        <f t="shared" si="18"/>
        <v>0</v>
      </c>
      <c r="AV10" s="470">
        <f t="shared" si="35"/>
        <v>1</v>
      </c>
      <c r="AX10" s="470" t="str">
        <f t="shared" si="36"/>
        <v>Pos. 1 (36)</v>
      </c>
      <c r="AZ10" s="470">
        <f t="shared" si="19"/>
        <v>0</v>
      </c>
      <c r="BB10" s="470">
        <f t="shared" si="37"/>
        <v>1</v>
      </c>
      <c r="BD10" s="470" t="str">
        <f t="shared" si="38"/>
        <v>Pos. 1 (36)</v>
      </c>
      <c r="BF10" s="470">
        <f t="shared" si="20"/>
        <v>0</v>
      </c>
      <c r="BH10" s="470">
        <f t="shared" si="39"/>
        <v>1</v>
      </c>
      <c r="BJ10" s="470" t="str">
        <f t="shared" si="40"/>
        <v>Pos. 1 (36)</v>
      </c>
      <c r="BL10" s="470">
        <f t="shared" si="41"/>
        <v>0</v>
      </c>
      <c r="BN10" s="470">
        <f t="shared" si="42"/>
        <v>1</v>
      </c>
      <c r="BP10" s="470" t="str">
        <f t="shared" si="43"/>
        <v>Pos. 1 (36)</v>
      </c>
      <c r="BR10" s="470">
        <f t="shared" si="44"/>
        <v>0</v>
      </c>
      <c r="BT10" s="470">
        <f t="shared" si="45"/>
        <v>1</v>
      </c>
      <c r="BV10" s="470" t="str">
        <f t="shared" si="46"/>
        <v>Pos. 1 (36)</v>
      </c>
      <c r="BX10" s="470">
        <f t="shared" si="47"/>
        <v>0</v>
      </c>
      <c r="BZ10" s="470">
        <f t="shared" si="48"/>
        <v>1</v>
      </c>
      <c r="CB10" s="470" t="str">
        <f t="shared" si="49"/>
        <v>Pos. 1 (36)</v>
      </c>
      <c r="CD10" s="470">
        <f t="shared" si="21"/>
        <v>8</v>
      </c>
      <c r="CF10" s="470">
        <f t="shared" si="50"/>
        <v>9</v>
      </c>
      <c r="CH10" s="469">
        <f>IF(OR(INDEX(League!$AT$2:$AT$37,MATCH($A10,League!$AS$2:$AS$37,0))="",CB10="-"),CF10,INDEX(League!$AT$2:$AT$37,MATCH($A10,League!$AS$2:$AS$37,0))+ROW()/1000)</f>
        <v>9</v>
      </c>
      <c r="CI10" s="469">
        <f t="shared" si="51"/>
        <v>8</v>
      </c>
      <c r="CJ10" s="469">
        <f t="shared" si="52"/>
        <v>9</v>
      </c>
    </row>
    <row r="11" spans="1:89">
      <c r="A11" s="469" t="str">
        <f>TablaEquipos[[#This Row],[Team]]</f>
        <v>Brugge</v>
      </c>
      <c r="B11" s="470">
        <f t="shared" si="22"/>
        <v>0</v>
      </c>
      <c r="C11" s="470">
        <f t="shared" si="0"/>
        <v>0</v>
      </c>
      <c r="D11" s="470">
        <f t="shared" si="1"/>
        <v>0</v>
      </c>
      <c r="E11" s="470">
        <f t="shared" si="2"/>
        <v>0</v>
      </c>
      <c r="F11" s="470">
        <f t="shared" si="3"/>
        <v>0</v>
      </c>
      <c r="G11" s="470">
        <f t="shared" si="4"/>
        <v>0</v>
      </c>
      <c r="H11" s="470">
        <f t="shared" si="23"/>
        <v>0</v>
      </c>
      <c r="I11" s="470">
        <f>C11*3+D11*1+E11*0+INDEX(League!$BA$2:$BA$37,MATCH(Calcs!A11,League!$AZ$2:$AZ$37,0))</f>
        <v>0</v>
      </c>
      <c r="J11" s="471">
        <f t="shared" si="24"/>
        <v>0</v>
      </c>
      <c r="K11" s="470">
        <f t="shared" si="5"/>
        <v>0</v>
      </c>
      <c r="L11" s="470">
        <f t="shared" si="6"/>
        <v>0</v>
      </c>
      <c r="M11" s="470">
        <f t="shared" si="7"/>
        <v>0</v>
      </c>
      <c r="N11" s="470">
        <f t="shared" si="8"/>
        <v>0</v>
      </c>
      <c r="O11" s="470">
        <f t="shared" si="9"/>
        <v>0</v>
      </c>
      <c r="P11" s="470">
        <f t="shared" si="25"/>
        <v>0</v>
      </c>
      <c r="Q11" s="470">
        <f t="shared" si="26"/>
        <v>0</v>
      </c>
      <c r="R11" s="471">
        <f t="shared" si="27"/>
        <v>0</v>
      </c>
      <c r="S11" s="470">
        <f t="shared" si="10"/>
        <v>0</v>
      </c>
      <c r="T11" s="470">
        <f t="shared" si="11"/>
        <v>0</v>
      </c>
      <c r="U11" s="470">
        <f t="shared" si="12"/>
        <v>0</v>
      </c>
      <c r="V11" s="470">
        <f t="shared" si="13"/>
        <v>0</v>
      </c>
      <c r="W11" s="470">
        <f t="shared" si="14"/>
        <v>0</v>
      </c>
      <c r="X11" s="470">
        <f t="shared" si="28"/>
        <v>0</v>
      </c>
      <c r="Y11" s="472">
        <f t="shared" si="29"/>
        <v>0</v>
      </c>
      <c r="Z11" s="470" cm="1">
        <f t="array" ref="Z11">+INDEX(League!$BI$18:$CR$18,,MATCH(Calcs!A11,League!$BI$1:$CR$1,0))</f>
        <v>0</v>
      </c>
      <c r="AA11" s="470" cm="1">
        <f t="array" ref="AA11">+INDEX(League!$BI$27:$CR$27,,MATCH(Calcs!A11,League!$BI$1:$CR$1,0))</f>
        <v>0</v>
      </c>
      <c r="AB11" s="470" cm="1">
        <f t="array" ref="AB11">+INDEX(League!$BI$36:$CR$36,,MATCH(Calcs!A11,League!$BI$1:$CR$1,0))</f>
        <v>0</v>
      </c>
      <c r="AD11" s="470">
        <f t="shared" si="30"/>
        <v>1</v>
      </c>
      <c r="AF11" s="470" t="str">
        <f t="shared" si="31"/>
        <v>Pos. 1 (36)</v>
      </c>
      <c r="AH11" s="470">
        <f t="shared" si="15"/>
        <v>0</v>
      </c>
      <c r="AJ11" s="470">
        <f t="shared" si="16"/>
        <v>1</v>
      </c>
      <c r="AL11" s="470" t="str">
        <f t="shared" si="32"/>
        <v>Pos. 1 (36)</v>
      </c>
      <c r="AN11" s="470">
        <f t="shared" si="17"/>
        <v>0</v>
      </c>
      <c r="AP11" s="470">
        <f t="shared" si="33"/>
        <v>1</v>
      </c>
      <c r="AR11" s="470" t="str">
        <f t="shared" si="34"/>
        <v>Pos. 1 (36)</v>
      </c>
      <c r="AT11" s="470">
        <f t="shared" si="18"/>
        <v>0</v>
      </c>
      <c r="AV11" s="470">
        <f t="shared" si="35"/>
        <v>1</v>
      </c>
      <c r="AX11" s="470" t="str">
        <f t="shared" si="36"/>
        <v>Pos. 1 (36)</v>
      </c>
      <c r="AZ11" s="470">
        <f t="shared" si="19"/>
        <v>0</v>
      </c>
      <c r="BB11" s="470">
        <f t="shared" si="37"/>
        <v>1</v>
      </c>
      <c r="BD11" s="470" t="str">
        <f t="shared" si="38"/>
        <v>Pos. 1 (36)</v>
      </c>
      <c r="BF11" s="470">
        <f t="shared" si="20"/>
        <v>0</v>
      </c>
      <c r="BH11" s="470">
        <f t="shared" si="39"/>
        <v>1</v>
      </c>
      <c r="BJ11" s="470" t="str">
        <f t="shared" si="40"/>
        <v>Pos. 1 (36)</v>
      </c>
      <c r="BL11" s="470">
        <f t="shared" si="41"/>
        <v>0</v>
      </c>
      <c r="BN11" s="470">
        <f t="shared" si="42"/>
        <v>1</v>
      </c>
      <c r="BP11" s="470" t="str">
        <f t="shared" si="43"/>
        <v>Pos. 1 (36)</v>
      </c>
      <c r="BR11" s="470">
        <f t="shared" si="44"/>
        <v>0</v>
      </c>
      <c r="BT11" s="470">
        <f t="shared" si="45"/>
        <v>1</v>
      </c>
      <c r="BV11" s="470" t="str">
        <f t="shared" si="46"/>
        <v>Pos. 1 (36)</v>
      </c>
      <c r="BX11" s="470">
        <f t="shared" si="47"/>
        <v>0</v>
      </c>
      <c r="BZ11" s="470">
        <f t="shared" si="48"/>
        <v>1</v>
      </c>
      <c r="CB11" s="470" t="str">
        <f t="shared" si="49"/>
        <v>Pos. 1 (36)</v>
      </c>
      <c r="CD11" s="470">
        <f t="shared" si="21"/>
        <v>9</v>
      </c>
      <c r="CF11" s="470">
        <f t="shared" si="50"/>
        <v>10</v>
      </c>
      <c r="CH11" s="469">
        <f>IF(OR(INDEX(League!$AT$2:$AT$37,MATCH($A11,League!$AS$2:$AS$37,0))="",CB11="-"),CF11,INDEX(League!$AT$2:$AT$37,MATCH($A11,League!$AS$2:$AS$37,0))+ROW()/1000)</f>
        <v>10</v>
      </c>
      <c r="CI11" s="469">
        <f t="shared" si="51"/>
        <v>9</v>
      </c>
      <c r="CJ11" s="469">
        <f t="shared" si="52"/>
        <v>10</v>
      </c>
    </row>
    <row r="12" spans="1:89">
      <c r="A12" s="469" t="str">
        <f>TablaEquipos[[#This Row],[Team]]</f>
        <v>Como</v>
      </c>
      <c r="B12" s="470">
        <f t="shared" si="22"/>
        <v>0</v>
      </c>
      <c r="C12" s="470">
        <f t="shared" si="0"/>
        <v>0</v>
      </c>
      <c r="D12" s="470">
        <f t="shared" si="1"/>
        <v>0</v>
      </c>
      <c r="E12" s="470">
        <f t="shared" si="2"/>
        <v>0</v>
      </c>
      <c r="F12" s="470">
        <f t="shared" si="3"/>
        <v>0</v>
      </c>
      <c r="G12" s="470">
        <f t="shared" si="4"/>
        <v>0</v>
      </c>
      <c r="H12" s="470">
        <f t="shared" si="23"/>
        <v>0</v>
      </c>
      <c r="I12" s="470">
        <f>C12*3+D12*1+E12*0+INDEX(League!$BA$2:$BA$37,MATCH(Calcs!A12,League!$AZ$2:$AZ$37,0))</f>
        <v>0</v>
      </c>
      <c r="J12" s="471">
        <f t="shared" si="24"/>
        <v>0</v>
      </c>
      <c r="K12" s="470">
        <f t="shared" si="5"/>
        <v>0</v>
      </c>
      <c r="L12" s="470">
        <f t="shared" si="6"/>
        <v>0</v>
      </c>
      <c r="M12" s="470">
        <f t="shared" si="7"/>
        <v>0</v>
      </c>
      <c r="N12" s="470">
        <f t="shared" si="8"/>
        <v>0</v>
      </c>
      <c r="O12" s="470">
        <f t="shared" si="9"/>
        <v>0</v>
      </c>
      <c r="P12" s="470">
        <f t="shared" si="25"/>
        <v>0</v>
      </c>
      <c r="Q12" s="470">
        <f t="shared" si="26"/>
        <v>0</v>
      </c>
      <c r="R12" s="471">
        <f t="shared" si="27"/>
        <v>0</v>
      </c>
      <c r="S12" s="470">
        <f t="shared" si="10"/>
        <v>0</v>
      </c>
      <c r="T12" s="470">
        <f t="shared" si="11"/>
        <v>0</v>
      </c>
      <c r="U12" s="470">
        <f t="shared" si="12"/>
        <v>0</v>
      </c>
      <c r="V12" s="470">
        <f t="shared" si="13"/>
        <v>0</v>
      </c>
      <c r="W12" s="470">
        <f t="shared" si="14"/>
        <v>0</v>
      </c>
      <c r="X12" s="470">
        <f t="shared" si="28"/>
        <v>0</v>
      </c>
      <c r="Y12" s="472">
        <f t="shared" si="29"/>
        <v>0</v>
      </c>
      <c r="Z12" s="470" cm="1">
        <f t="array" ref="Z12">+INDEX(League!$BI$18:$CR$18,,MATCH(Calcs!A12,League!$BI$1:$CR$1,0))</f>
        <v>0</v>
      </c>
      <c r="AA12" s="470" cm="1">
        <f t="array" ref="AA12">+INDEX(League!$BI$27:$CR$27,,MATCH(Calcs!A12,League!$BI$1:$CR$1,0))</f>
        <v>0</v>
      </c>
      <c r="AB12" s="470" cm="1">
        <f t="array" ref="AB12">+INDEX(League!$BI$36:$CR$36,,MATCH(Calcs!A12,League!$BI$1:$CR$1,0))</f>
        <v>0</v>
      </c>
      <c r="AD12" s="470">
        <f t="shared" si="30"/>
        <v>1</v>
      </c>
      <c r="AF12" s="470" t="str">
        <f t="shared" si="31"/>
        <v>Pos. 1 (36)</v>
      </c>
      <c r="AH12" s="470">
        <f t="shared" si="15"/>
        <v>0</v>
      </c>
      <c r="AJ12" s="470">
        <f t="shared" si="16"/>
        <v>1</v>
      </c>
      <c r="AL12" s="470" t="str">
        <f t="shared" si="32"/>
        <v>Pos. 1 (36)</v>
      </c>
      <c r="AN12" s="470">
        <f t="shared" si="17"/>
        <v>0</v>
      </c>
      <c r="AP12" s="470">
        <f t="shared" si="33"/>
        <v>1</v>
      </c>
      <c r="AR12" s="470" t="str">
        <f t="shared" si="34"/>
        <v>Pos. 1 (36)</v>
      </c>
      <c r="AT12" s="470">
        <f t="shared" si="18"/>
        <v>0</v>
      </c>
      <c r="AV12" s="470">
        <f t="shared" si="35"/>
        <v>1</v>
      </c>
      <c r="AX12" s="470" t="str">
        <f t="shared" si="36"/>
        <v>Pos. 1 (36)</v>
      </c>
      <c r="AZ12" s="470">
        <f t="shared" si="19"/>
        <v>0</v>
      </c>
      <c r="BB12" s="470">
        <f t="shared" si="37"/>
        <v>1</v>
      </c>
      <c r="BD12" s="470" t="str">
        <f t="shared" si="38"/>
        <v>Pos. 1 (36)</v>
      </c>
      <c r="BF12" s="470">
        <f t="shared" si="20"/>
        <v>0</v>
      </c>
      <c r="BH12" s="470">
        <f t="shared" si="39"/>
        <v>1</v>
      </c>
      <c r="BJ12" s="470" t="str">
        <f t="shared" si="40"/>
        <v>Pos. 1 (36)</v>
      </c>
      <c r="BL12" s="470">
        <f t="shared" si="41"/>
        <v>0</v>
      </c>
      <c r="BN12" s="470">
        <f t="shared" si="42"/>
        <v>1</v>
      </c>
      <c r="BP12" s="470" t="str">
        <f t="shared" si="43"/>
        <v>Pos. 1 (36)</v>
      </c>
      <c r="BR12" s="470">
        <f t="shared" si="44"/>
        <v>0</v>
      </c>
      <c r="BT12" s="470">
        <f t="shared" si="45"/>
        <v>1</v>
      </c>
      <c r="BV12" s="470" t="str">
        <f t="shared" si="46"/>
        <v>Pos. 1 (36)</v>
      </c>
      <c r="BX12" s="470">
        <f t="shared" si="47"/>
        <v>0</v>
      </c>
      <c r="BZ12" s="470">
        <f t="shared" si="48"/>
        <v>1</v>
      </c>
      <c r="CB12" s="470" t="str">
        <f t="shared" si="49"/>
        <v>Pos. 1 (36)</v>
      </c>
      <c r="CD12" s="470">
        <f t="shared" si="21"/>
        <v>10</v>
      </c>
      <c r="CF12" s="470">
        <f t="shared" si="50"/>
        <v>11</v>
      </c>
      <c r="CH12" s="469">
        <f>IF(OR(INDEX(League!$AT$2:$AT$37,MATCH($A12,League!$AS$2:$AS$37,0))="",CB12="-"),CF12,INDEX(League!$AT$2:$AT$37,MATCH($A12,League!$AS$2:$AS$37,0))+ROW()/1000)</f>
        <v>11</v>
      </c>
      <c r="CI12" s="469">
        <f t="shared" si="51"/>
        <v>10</v>
      </c>
      <c r="CJ12" s="469">
        <f t="shared" si="52"/>
        <v>11</v>
      </c>
    </row>
    <row r="13" spans="1:89">
      <c r="A13" s="469" t="str">
        <f>TablaEquipos[[#This Row],[Team]]</f>
        <v>Fenerbahçe </v>
      </c>
      <c r="B13" s="470">
        <f t="shared" si="22"/>
        <v>0</v>
      </c>
      <c r="C13" s="470">
        <f t="shared" si="0"/>
        <v>0</v>
      </c>
      <c r="D13" s="470">
        <f t="shared" si="1"/>
        <v>0</v>
      </c>
      <c r="E13" s="470">
        <f t="shared" si="2"/>
        <v>0</v>
      </c>
      <c r="F13" s="470">
        <f t="shared" si="3"/>
        <v>0</v>
      </c>
      <c r="G13" s="470">
        <f t="shared" si="4"/>
        <v>0</v>
      </c>
      <c r="H13" s="470">
        <f t="shared" si="23"/>
        <v>0</v>
      </c>
      <c r="I13" s="470">
        <f>C13*3+D13*1+E13*0+INDEX(League!$BA$2:$BA$37,MATCH(Calcs!A13,League!$AZ$2:$AZ$37,0))</f>
        <v>0</v>
      </c>
      <c r="J13" s="471">
        <f t="shared" si="24"/>
        <v>0</v>
      </c>
      <c r="K13" s="470">
        <f t="shared" si="5"/>
        <v>0</v>
      </c>
      <c r="L13" s="470">
        <f t="shared" si="6"/>
        <v>0</v>
      </c>
      <c r="M13" s="470">
        <f t="shared" si="7"/>
        <v>0</v>
      </c>
      <c r="N13" s="470">
        <f t="shared" si="8"/>
        <v>0</v>
      </c>
      <c r="O13" s="470">
        <f t="shared" si="9"/>
        <v>0</v>
      </c>
      <c r="P13" s="470">
        <f t="shared" si="25"/>
        <v>0</v>
      </c>
      <c r="Q13" s="470">
        <f t="shared" si="26"/>
        <v>0</v>
      </c>
      <c r="R13" s="471">
        <f t="shared" si="27"/>
        <v>0</v>
      </c>
      <c r="S13" s="470">
        <f t="shared" si="10"/>
        <v>0</v>
      </c>
      <c r="T13" s="470">
        <f t="shared" si="11"/>
        <v>0</v>
      </c>
      <c r="U13" s="470">
        <f t="shared" si="12"/>
        <v>0</v>
      </c>
      <c r="V13" s="470">
        <f t="shared" si="13"/>
        <v>0</v>
      </c>
      <c r="W13" s="470">
        <f t="shared" si="14"/>
        <v>0</v>
      </c>
      <c r="X13" s="470">
        <f t="shared" si="28"/>
        <v>0</v>
      </c>
      <c r="Y13" s="472">
        <f t="shared" si="29"/>
        <v>0</v>
      </c>
      <c r="Z13" s="470" cm="1">
        <f t="array" ref="Z13">+INDEX(League!$BI$18:$CR$18,,MATCH(Calcs!A13,League!$BI$1:$CR$1,0))</f>
        <v>0</v>
      </c>
      <c r="AA13" s="470" cm="1">
        <f t="array" ref="AA13">+INDEX(League!$BI$27:$CR$27,,MATCH(Calcs!A13,League!$BI$1:$CR$1,0))</f>
        <v>0</v>
      </c>
      <c r="AB13" s="470" cm="1">
        <f t="array" ref="AB13">+INDEX(League!$BI$36:$CR$36,,MATCH(Calcs!A13,League!$BI$1:$CR$1,0))</f>
        <v>0</v>
      </c>
      <c r="AD13" s="470">
        <f t="shared" si="30"/>
        <v>1</v>
      </c>
      <c r="AF13" s="470" t="str">
        <f t="shared" si="31"/>
        <v>Pos. 1 (36)</v>
      </c>
      <c r="AH13" s="470">
        <f t="shared" si="15"/>
        <v>0</v>
      </c>
      <c r="AJ13" s="470">
        <f t="shared" si="16"/>
        <v>1</v>
      </c>
      <c r="AL13" s="470" t="str">
        <f t="shared" si="32"/>
        <v>Pos. 1 (36)</v>
      </c>
      <c r="AN13" s="470">
        <f t="shared" si="17"/>
        <v>0</v>
      </c>
      <c r="AP13" s="470">
        <f t="shared" si="33"/>
        <v>1</v>
      </c>
      <c r="AR13" s="470" t="str">
        <f t="shared" si="34"/>
        <v>Pos. 1 (36)</v>
      </c>
      <c r="AT13" s="470">
        <f t="shared" si="18"/>
        <v>0</v>
      </c>
      <c r="AV13" s="470">
        <f t="shared" si="35"/>
        <v>1</v>
      </c>
      <c r="AX13" s="470" t="str">
        <f t="shared" si="36"/>
        <v>Pos. 1 (36)</v>
      </c>
      <c r="AZ13" s="470">
        <f t="shared" si="19"/>
        <v>0</v>
      </c>
      <c r="BB13" s="470">
        <f t="shared" si="37"/>
        <v>1</v>
      </c>
      <c r="BD13" s="470" t="str">
        <f t="shared" si="38"/>
        <v>Pos. 1 (36)</v>
      </c>
      <c r="BF13" s="470">
        <f t="shared" si="20"/>
        <v>0</v>
      </c>
      <c r="BH13" s="470">
        <f t="shared" si="39"/>
        <v>1</v>
      </c>
      <c r="BJ13" s="470" t="str">
        <f t="shared" si="40"/>
        <v>Pos. 1 (36)</v>
      </c>
      <c r="BL13" s="470">
        <f t="shared" si="41"/>
        <v>0</v>
      </c>
      <c r="BN13" s="470">
        <f t="shared" si="42"/>
        <v>1</v>
      </c>
      <c r="BP13" s="470" t="str">
        <f t="shared" si="43"/>
        <v>Pos. 1 (36)</v>
      </c>
      <c r="BR13" s="470">
        <f t="shared" si="44"/>
        <v>0</v>
      </c>
      <c r="BT13" s="470">
        <f t="shared" si="45"/>
        <v>1</v>
      </c>
      <c r="BV13" s="470" t="str">
        <f t="shared" si="46"/>
        <v>Pos. 1 (36)</v>
      </c>
      <c r="BX13" s="470">
        <f t="shared" si="47"/>
        <v>0</v>
      </c>
      <c r="BZ13" s="470">
        <f t="shared" si="48"/>
        <v>1</v>
      </c>
      <c r="CB13" s="470" t="str">
        <f t="shared" si="49"/>
        <v>Pos. 1 (36)</v>
      </c>
      <c r="CD13" s="470">
        <f t="shared" si="21"/>
        <v>11</v>
      </c>
      <c r="CF13" s="470">
        <f t="shared" si="50"/>
        <v>12</v>
      </c>
      <c r="CH13" s="469">
        <f>IF(OR(INDEX(League!$AT$2:$AT$37,MATCH($A13,League!$AS$2:$AS$37,0))="",CB13="-"),CF13,INDEX(League!$AT$2:$AT$37,MATCH($A13,League!$AS$2:$AS$37,0))+ROW()/1000)</f>
        <v>12</v>
      </c>
      <c r="CI13" s="469">
        <f t="shared" si="51"/>
        <v>11</v>
      </c>
      <c r="CJ13" s="469">
        <f t="shared" si="52"/>
        <v>12</v>
      </c>
    </row>
    <row r="14" spans="1:89">
      <c r="A14" s="469" t="str">
        <f>TablaEquipos[[#This Row],[Team]]</f>
        <v>Feyenoord</v>
      </c>
      <c r="B14" s="470">
        <f t="shared" si="22"/>
        <v>0</v>
      </c>
      <c r="C14" s="470">
        <f t="shared" si="0"/>
        <v>0</v>
      </c>
      <c r="D14" s="470">
        <f t="shared" si="1"/>
        <v>0</v>
      </c>
      <c r="E14" s="470">
        <f t="shared" si="2"/>
        <v>0</v>
      </c>
      <c r="F14" s="470">
        <f t="shared" si="3"/>
        <v>0</v>
      </c>
      <c r="G14" s="470">
        <f t="shared" si="4"/>
        <v>0</v>
      </c>
      <c r="H14" s="470">
        <f t="shared" si="23"/>
        <v>0</v>
      </c>
      <c r="I14" s="470">
        <f>C14*3+D14*1+E14*0+INDEX(League!$BA$2:$BA$37,MATCH(Calcs!A14,League!$AZ$2:$AZ$37,0))</f>
        <v>0</v>
      </c>
      <c r="J14" s="471">
        <f t="shared" si="24"/>
        <v>0</v>
      </c>
      <c r="K14" s="470">
        <f t="shared" si="5"/>
        <v>0</v>
      </c>
      <c r="L14" s="470">
        <f t="shared" si="6"/>
        <v>0</v>
      </c>
      <c r="M14" s="470">
        <f t="shared" si="7"/>
        <v>0</v>
      </c>
      <c r="N14" s="470">
        <f t="shared" si="8"/>
        <v>0</v>
      </c>
      <c r="O14" s="470">
        <f t="shared" si="9"/>
        <v>0</v>
      </c>
      <c r="P14" s="470">
        <f t="shared" si="25"/>
        <v>0</v>
      </c>
      <c r="Q14" s="470">
        <f t="shared" si="26"/>
        <v>0</v>
      </c>
      <c r="R14" s="471">
        <f t="shared" si="27"/>
        <v>0</v>
      </c>
      <c r="S14" s="470">
        <f t="shared" si="10"/>
        <v>0</v>
      </c>
      <c r="T14" s="470">
        <f t="shared" si="11"/>
        <v>0</v>
      </c>
      <c r="U14" s="470">
        <f t="shared" si="12"/>
        <v>0</v>
      </c>
      <c r="V14" s="470">
        <f t="shared" si="13"/>
        <v>0</v>
      </c>
      <c r="W14" s="470">
        <f t="shared" si="14"/>
        <v>0</v>
      </c>
      <c r="X14" s="470">
        <f t="shared" si="28"/>
        <v>0</v>
      </c>
      <c r="Y14" s="472">
        <f t="shared" si="29"/>
        <v>0</v>
      </c>
      <c r="Z14" s="470" cm="1">
        <f t="array" ref="Z14">+INDEX(League!$BI$18:$CR$18,,MATCH(Calcs!A14,League!$BI$1:$CR$1,0))</f>
        <v>0</v>
      </c>
      <c r="AA14" s="470" cm="1">
        <f t="array" ref="AA14">+INDEX(League!$BI$27:$CR$27,,MATCH(Calcs!A14,League!$BI$1:$CR$1,0))</f>
        <v>0</v>
      </c>
      <c r="AB14" s="470" cm="1">
        <f t="array" ref="AB14">+INDEX(League!$BI$36:$CR$36,,MATCH(Calcs!A14,League!$BI$1:$CR$1,0))</f>
        <v>0</v>
      </c>
      <c r="AD14" s="470">
        <f t="shared" si="30"/>
        <v>1</v>
      </c>
      <c r="AF14" s="470" t="str">
        <f t="shared" si="31"/>
        <v>Pos. 1 (36)</v>
      </c>
      <c r="AH14" s="470">
        <f t="shared" si="15"/>
        <v>0</v>
      </c>
      <c r="AJ14" s="470">
        <f t="shared" si="16"/>
        <v>1</v>
      </c>
      <c r="AL14" s="470" t="str">
        <f t="shared" si="32"/>
        <v>Pos. 1 (36)</v>
      </c>
      <c r="AN14" s="470">
        <f t="shared" si="17"/>
        <v>0</v>
      </c>
      <c r="AP14" s="470">
        <f t="shared" si="33"/>
        <v>1</v>
      </c>
      <c r="AR14" s="470" t="str">
        <f t="shared" si="34"/>
        <v>Pos. 1 (36)</v>
      </c>
      <c r="AT14" s="470">
        <f t="shared" si="18"/>
        <v>0</v>
      </c>
      <c r="AV14" s="470">
        <f t="shared" si="35"/>
        <v>1</v>
      </c>
      <c r="AX14" s="470" t="str">
        <f t="shared" si="36"/>
        <v>Pos. 1 (36)</v>
      </c>
      <c r="AZ14" s="470">
        <f t="shared" si="19"/>
        <v>0</v>
      </c>
      <c r="BB14" s="470">
        <f t="shared" si="37"/>
        <v>1</v>
      </c>
      <c r="BD14" s="470" t="str">
        <f t="shared" si="38"/>
        <v>Pos. 1 (36)</v>
      </c>
      <c r="BF14" s="470">
        <f t="shared" si="20"/>
        <v>0</v>
      </c>
      <c r="BH14" s="470">
        <f t="shared" si="39"/>
        <v>1</v>
      </c>
      <c r="BJ14" s="470" t="str">
        <f t="shared" si="40"/>
        <v>Pos. 1 (36)</v>
      </c>
      <c r="BL14" s="470">
        <f t="shared" si="41"/>
        <v>0</v>
      </c>
      <c r="BN14" s="470">
        <f t="shared" si="42"/>
        <v>1</v>
      </c>
      <c r="BP14" s="470" t="str">
        <f t="shared" si="43"/>
        <v>Pos. 1 (36)</v>
      </c>
      <c r="BR14" s="470">
        <f t="shared" si="44"/>
        <v>0</v>
      </c>
      <c r="BT14" s="470">
        <f t="shared" si="45"/>
        <v>1</v>
      </c>
      <c r="BV14" s="470" t="str">
        <f t="shared" si="46"/>
        <v>Pos. 1 (36)</v>
      </c>
      <c r="BX14" s="470">
        <f t="shared" si="47"/>
        <v>0</v>
      </c>
      <c r="BZ14" s="470">
        <f t="shared" si="48"/>
        <v>1</v>
      </c>
      <c r="CB14" s="470" t="str">
        <f t="shared" si="49"/>
        <v>Pos. 1 (36)</v>
      </c>
      <c r="CD14" s="470">
        <f t="shared" si="21"/>
        <v>12</v>
      </c>
      <c r="CF14" s="470">
        <f t="shared" si="50"/>
        <v>13</v>
      </c>
      <c r="CH14" s="469">
        <f>IF(OR(INDEX(League!$AT$2:$AT$37,MATCH($A14,League!$AS$2:$AS$37,0))="",CB14="-"),CF14,INDEX(League!$AT$2:$AT$37,MATCH($A14,League!$AS$2:$AS$37,0))+ROW()/1000)</f>
        <v>13</v>
      </c>
      <c r="CI14" s="469">
        <f t="shared" si="51"/>
        <v>12</v>
      </c>
      <c r="CJ14" s="469">
        <f t="shared" si="52"/>
        <v>13</v>
      </c>
    </row>
    <row r="15" spans="1:89">
      <c r="A15" s="469" t="str">
        <f>TablaEquipos[[#This Row],[Team]]</f>
        <v>Galatasaray</v>
      </c>
      <c r="B15" s="470">
        <f t="shared" si="22"/>
        <v>0</v>
      </c>
      <c r="C15" s="470">
        <f t="shared" si="0"/>
        <v>0</v>
      </c>
      <c r="D15" s="470">
        <f t="shared" si="1"/>
        <v>0</v>
      </c>
      <c r="E15" s="470">
        <f t="shared" si="2"/>
        <v>0</v>
      </c>
      <c r="F15" s="470">
        <f t="shared" si="3"/>
        <v>0</v>
      </c>
      <c r="G15" s="470">
        <f t="shared" si="4"/>
        <v>0</v>
      </c>
      <c r="H15" s="470">
        <f t="shared" si="23"/>
        <v>0</v>
      </c>
      <c r="I15" s="470">
        <f>C15*3+D15*1+E15*0+INDEX(League!$BA$2:$BA$37,MATCH(Calcs!A15,League!$AZ$2:$AZ$37,0))</f>
        <v>0</v>
      </c>
      <c r="J15" s="471">
        <f t="shared" si="24"/>
        <v>0</v>
      </c>
      <c r="K15" s="470">
        <f t="shared" si="5"/>
        <v>0</v>
      </c>
      <c r="L15" s="470">
        <f t="shared" si="6"/>
        <v>0</v>
      </c>
      <c r="M15" s="470">
        <f t="shared" si="7"/>
        <v>0</v>
      </c>
      <c r="N15" s="470">
        <f t="shared" si="8"/>
        <v>0</v>
      </c>
      <c r="O15" s="470">
        <f t="shared" si="9"/>
        <v>0</v>
      </c>
      <c r="P15" s="470">
        <f t="shared" si="25"/>
        <v>0</v>
      </c>
      <c r="Q15" s="470">
        <f t="shared" si="26"/>
        <v>0</v>
      </c>
      <c r="R15" s="471">
        <f t="shared" si="27"/>
        <v>0</v>
      </c>
      <c r="S15" s="470">
        <f t="shared" si="10"/>
        <v>0</v>
      </c>
      <c r="T15" s="470">
        <f t="shared" si="11"/>
        <v>0</v>
      </c>
      <c r="U15" s="470">
        <f t="shared" si="12"/>
        <v>0</v>
      </c>
      <c r="V15" s="470">
        <f t="shared" si="13"/>
        <v>0</v>
      </c>
      <c r="W15" s="470">
        <f t="shared" si="14"/>
        <v>0</v>
      </c>
      <c r="X15" s="470">
        <f t="shared" si="28"/>
        <v>0</v>
      </c>
      <c r="Y15" s="472">
        <f t="shared" si="29"/>
        <v>0</v>
      </c>
      <c r="Z15" s="470" cm="1">
        <f t="array" ref="Z15">+INDEX(League!$BI$18:$CR$18,,MATCH(Calcs!A15,League!$BI$1:$CR$1,0))</f>
        <v>0</v>
      </c>
      <c r="AA15" s="470" cm="1">
        <f t="array" ref="AA15">+INDEX(League!$BI$27:$CR$27,,MATCH(Calcs!A15,League!$BI$1:$CR$1,0))</f>
        <v>0</v>
      </c>
      <c r="AB15" s="470" cm="1">
        <f t="array" ref="AB15">+INDEX(League!$BI$36:$CR$36,,MATCH(Calcs!A15,League!$BI$1:$CR$1,0))</f>
        <v>0</v>
      </c>
      <c r="AD15" s="470">
        <f t="shared" si="30"/>
        <v>1</v>
      </c>
      <c r="AF15" s="470" t="str">
        <f t="shared" si="31"/>
        <v>Pos. 1 (36)</v>
      </c>
      <c r="AH15" s="470">
        <f t="shared" si="15"/>
        <v>0</v>
      </c>
      <c r="AJ15" s="470">
        <f t="shared" si="16"/>
        <v>1</v>
      </c>
      <c r="AL15" s="470" t="str">
        <f t="shared" si="32"/>
        <v>Pos. 1 (36)</v>
      </c>
      <c r="AN15" s="470">
        <f t="shared" si="17"/>
        <v>0</v>
      </c>
      <c r="AP15" s="470">
        <f t="shared" si="33"/>
        <v>1</v>
      </c>
      <c r="AR15" s="470" t="str">
        <f t="shared" si="34"/>
        <v>Pos. 1 (36)</v>
      </c>
      <c r="AT15" s="470">
        <f t="shared" si="18"/>
        <v>0</v>
      </c>
      <c r="AV15" s="470">
        <f t="shared" si="35"/>
        <v>1</v>
      </c>
      <c r="AX15" s="470" t="str">
        <f t="shared" si="36"/>
        <v>Pos. 1 (36)</v>
      </c>
      <c r="AZ15" s="470">
        <f t="shared" si="19"/>
        <v>0</v>
      </c>
      <c r="BB15" s="470">
        <f t="shared" si="37"/>
        <v>1</v>
      </c>
      <c r="BD15" s="470" t="str">
        <f t="shared" si="38"/>
        <v>Pos. 1 (36)</v>
      </c>
      <c r="BF15" s="470">
        <f t="shared" si="20"/>
        <v>0</v>
      </c>
      <c r="BH15" s="470">
        <f t="shared" si="39"/>
        <v>1</v>
      </c>
      <c r="BJ15" s="470" t="str">
        <f t="shared" si="40"/>
        <v>Pos. 1 (36)</v>
      </c>
      <c r="BL15" s="470">
        <f t="shared" si="41"/>
        <v>0</v>
      </c>
      <c r="BN15" s="470">
        <f t="shared" si="42"/>
        <v>1</v>
      </c>
      <c r="BP15" s="470" t="str">
        <f t="shared" si="43"/>
        <v>Pos. 1 (36)</v>
      </c>
      <c r="BR15" s="470">
        <f t="shared" si="44"/>
        <v>0</v>
      </c>
      <c r="BT15" s="470">
        <f t="shared" si="45"/>
        <v>1</v>
      </c>
      <c r="BV15" s="470" t="str">
        <f t="shared" si="46"/>
        <v>Pos. 1 (36)</v>
      </c>
      <c r="BX15" s="470">
        <f t="shared" si="47"/>
        <v>0</v>
      </c>
      <c r="BZ15" s="470">
        <f t="shared" si="48"/>
        <v>1</v>
      </c>
      <c r="CB15" s="470" t="str">
        <f t="shared" si="49"/>
        <v>Pos. 1 (36)</v>
      </c>
      <c r="CD15" s="470">
        <f t="shared" si="21"/>
        <v>13</v>
      </c>
      <c r="CF15" s="470">
        <f t="shared" si="50"/>
        <v>14</v>
      </c>
      <c r="CH15" s="469">
        <f>IF(OR(INDEX(League!$AT$2:$AT$37,MATCH($A15,League!$AS$2:$AS$37,0))="",CB15="-"),CF15,INDEX(League!$AT$2:$AT$37,MATCH($A15,League!$AS$2:$AS$37,0))+ROW()/1000)</f>
        <v>14</v>
      </c>
      <c r="CI15" s="469">
        <f t="shared" si="51"/>
        <v>13</v>
      </c>
      <c r="CJ15" s="469">
        <f t="shared" si="52"/>
        <v>14</v>
      </c>
    </row>
    <row r="16" spans="1:89">
      <c r="A16" s="469" t="str">
        <f>TablaEquipos[[#This Row],[Team]]</f>
        <v>Inter Milan</v>
      </c>
      <c r="B16" s="470">
        <f t="shared" si="22"/>
        <v>0</v>
      </c>
      <c r="C16" s="470">
        <f t="shared" si="0"/>
        <v>0</v>
      </c>
      <c r="D16" s="470">
        <f t="shared" si="1"/>
        <v>0</v>
      </c>
      <c r="E16" s="470">
        <f t="shared" si="2"/>
        <v>0</v>
      </c>
      <c r="F16" s="470">
        <f t="shared" si="3"/>
        <v>0</v>
      </c>
      <c r="G16" s="470">
        <f t="shared" si="4"/>
        <v>0</v>
      </c>
      <c r="H16" s="470">
        <f t="shared" si="23"/>
        <v>0</v>
      </c>
      <c r="I16" s="470">
        <f>C16*3+D16*1+E16*0+INDEX(League!$BA$2:$BA$37,MATCH(Calcs!A16,League!$AZ$2:$AZ$37,0))</f>
        <v>0</v>
      </c>
      <c r="J16" s="471">
        <f t="shared" si="24"/>
        <v>0</v>
      </c>
      <c r="K16" s="470">
        <f t="shared" si="5"/>
        <v>0</v>
      </c>
      <c r="L16" s="470">
        <f t="shared" si="6"/>
        <v>0</v>
      </c>
      <c r="M16" s="470">
        <f t="shared" si="7"/>
        <v>0</v>
      </c>
      <c r="N16" s="470">
        <f t="shared" si="8"/>
        <v>0</v>
      </c>
      <c r="O16" s="470">
        <f t="shared" si="9"/>
        <v>0</v>
      </c>
      <c r="P16" s="470">
        <f t="shared" si="25"/>
        <v>0</v>
      </c>
      <c r="Q16" s="470">
        <f t="shared" si="26"/>
        <v>0</v>
      </c>
      <c r="R16" s="471">
        <f t="shared" si="27"/>
        <v>0</v>
      </c>
      <c r="S16" s="470">
        <f t="shared" si="10"/>
        <v>0</v>
      </c>
      <c r="T16" s="470">
        <f t="shared" si="11"/>
        <v>0</v>
      </c>
      <c r="U16" s="470">
        <f t="shared" si="12"/>
        <v>0</v>
      </c>
      <c r="V16" s="470">
        <f t="shared" si="13"/>
        <v>0</v>
      </c>
      <c r="W16" s="470">
        <f t="shared" si="14"/>
        <v>0</v>
      </c>
      <c r="X16" s="470">
        <f t="shared" si="28"/>
        <v>0</v>
      </c>
      <c r="Y16" s="472">
        <f t="shared" si="29"/>
        <v>0</v>
      </c>
      <c r="Z16" s="470" cm="1">
        <f t="array" ref="Z16">+INDEX(League!$BI$18:$CR$18,,MATCH(Calcs!A16,League!$BI$1:$CR$1,0))</f>
        <v>0</v>
      </c>
      <c r="AA16" s="470" cm="1">
        <f t="array" ref="AA16">+INDEX(League!$BI$27:$CR$27,,MATCH(Calcs!A16,League!$BI$1:$CR$1,0))</f>
        <v>0</v>
      </c>
      <c r="AB16" s="470" cm="1">
        <f t="array" ref="AB16">+INDEX(League!$BI$36:$CR$36,,MATCH(Calcs!A16,League!$BI$1:$CR$1,0))</f>
        <v>0</v>
      </c>
      <c r="AD16" s="470">
        <f t="shared" si="30"/>
        <v>1</v>
      </c>
      <c r="AF16" s="470" t="str">
        <f t="shared" si="31"/>
        <v>Pos. 1 (36)</v>
      </c>
      <c r="AH16" s="470">
        <f t="shared" si="15"/>
        <v>0</v>
      </c>
      <c r="AJ16" s="470">
        <f t="shared" si="16"/>
        <v>1</v>
      </c>
      <c r="AL16" s="470" t="str">
        <f t="shared" si="32"/>
        <v>Pos. 1 (36)</v>
      </c>
      <c r="AN16" s="470">
        <f t="shared" si="17"/>
        <v>0</v>
      </c>
      <c r="AP16" s="470">
        <f t="shared" si="33"/>
        <v>1</v>
      </c>
      <c r="AR16" s="470" t="str">
        <f t="shared" si="34"/>
        <v>Pos. 1 (36)</v>
      </c>
      <c r="AT16" s="470">
        <f t="shared" si="18"/>
        <v>0</v>
      </c>
      <c r="AV16" s="470">
        <f t="shared" si="35"/>
        <v>1</v>
      </c>
      <c r="AX16" s="470" t="str">
        <f t="shared" si="36"/>
        <v>Pos. 1 (36)</v>
      </c>
      <c r="AZ16" s="470">
        <f t="shared" si="19"/>
        <v>0</v>
      </c>
      <c r="BB16" s="470">
        <f t="shared" si="37"/>
        <v>1</v>
      </c>
      <c r="BD16" s="470" t="str">
        <f t="shared" si="38"/>
        <v>Pos. 1 (36)</v>
      </c>
      <c r="BF16" s="470">
        <f t="shared" si="20"/>
        <v>0</v>
      </c>
      <c r="BH16" s="470">
        <f t="shared" si="39"/>
        <v>1</v>
      </c>
      <c r="BJ16" s="470" t="str">
        <f t="shared" si="40"/>
        <v>Pos. 1 (36)</v>
      </c>
      <c r="BL16" s="470">
        <f t="shared" si="41"/>
        <v>0</v>
      </c>
      <c r="BN16" s="470">
        <f t="shared" si="42"/>
        <v>1</v>
      </c>
      <c r="BP16" s="470" t="str">
        <f t="shared" si="43"/>
        <v>Pos. 1 (36)</v>
      </c>
      <c r="BR16" s="470">
        <f t="shared" si="44"/>
        <v>0</v>
      </c>
      <c r="BT16" s="470">
        <f t="shared" si="45"/>
        <v>1</v>
      </c>
      <c r="BV16" s="470" t="str">
        <f t="shared" si="46"/>
        <v>Pos. 1 (36)</v>
      </c>
      <c r="BX16" s="470">
        <f t="shared" si="47"/>
        <v>0</v>
      </c>
      <c r="BZ16" s="470">
        <f t="shared" si="48"/>
        <v>1</v>
      </c>
      <c r="CB16" s="470" t="str">
        <f t="shared" si="49"/>
        <v>Pos. 1 (36)</v>
      </c>
      <c r="CD16" s="470">
        <f t="shared" si="21"/>
        <v>14</v>
      </c>
      <c r="CF16" s="470">
        <f t="shared" si="50"/>
        <v>15</v>
      </c>
      <c r="CH16" s="469">
        <f>IF(OR(INDEX(League!$AT$2:$AT$37,MATCH($A16,League!$AS$2:$AS$37,0))="",CB16="-"),CF16,INDEX(League!$AT$2:$AT$37,MATCH($A16,League!$AS$2:$AS$37,0))+ROW()/1000)</f>
        <v>15</v>
      </c>
      <c r="CI16" s="469">
        <f t="shared" si="51"/>
        <v>14</v>
      </c>
      <c r="CJ16" s="469">
        <f t="shared" si="52"/>
        <v>15</v>
      </c>
    </row>
    <row r="17" spans="1:88">
      <c r="A17" s="469" t="str">
        <f>TablaEquipos[[#This Row],[Team]]</f>
        <v>LASK</v>
      </c>
      <c r="B17" s="470">
        <f t="shared" si="22"/>
        <v>0</v>
      </c>
      <c r="C17" s="470">
        <f t="shared" si="0"/>
        <v>0</v>
      </c>
      <c r="D17" s="470">
        <f t="shared" si="1"/>
        <v>0</v>
      </c>
      <c r="E17" s="470">
        <f t="shared" si="2"/>
        <v>0</v>
      </c>
      <c r="F17" s="470">
        <f t="shared" si="3"/>
        <v>0</v>
      </c>
      <c r="G17" s="470">
        <f t="shared" si="4"/>
        <v>0</v>
      </c>
      <c r="H17" s="470">
        <f t="shared" si="23"/>
        <v>0</v>
      </c>
      <c r="I17" s="470">
        <f>C17*3+D17*1+E17*0+INDEX(League!$BA$2:$BA$37,MATCH(Calcs!A17,League!$AZ$2:$AZ$37,0))</f>
        <v>0</v>
      </c>
      <c r="J17" s="471">
        <f t="shared" si="24"/>
        <v>0</v>
      </c>
      <c r="K17" s="470">
        <f t="shared" si="5"/>
        <v>0</v>
      </c>
      <c r="L17" s="470">
        <f t="shared" si="6"/>
        <v>0</v>
      </c>
      <c r="M17" s="470">
        <f t="shared" si="7"/>
        <v>0</v>
      </c>
      <c r="N17" s="470">
        <f t="shared" si="8"/>
        <v>0</v>
      </c>
      <c r="O17" s="470">
        <f t="shared" si="9"/>
        <v>0</v>
      </c>
      <c r="P17" s="470">
        <f t="shared" si="25"/>
        <v>0</v>
      </c>
      <c r="Q17" s="470">
        <f t="shared" si="26"/>
        <v>0</v>
      </c>
      <c r="R17" s="471">
        <f t="shared" si="27"/>
        <v>0</v>
      </c>
      <c r="S17" s="470">
        <f t="shared" si="10"/>
        <v>0</v>
      </c>
      <c r="T17" s="470">
        <f t="shared" si="11"/>
        <v>0</v>
      </c>
      <c r="U17" s="470">
        <f t="shared" si="12"/>
        <v>0</v>
      </c>
      <c r="V17" s="470">
        <f t="shared" si="13"/>
        <v>0</v>
      </c>
      <c r="W17" s="470">
        <f t="shared" si="14"/>
        <v>0</v>
      </c>
      <c r="X17" s="470">
        <f t="shared" si="28"/>
        <v>0</v>
      </c>
      <c r="Y17" s="472">
        <f t="shared" si="29"/>
        <v>0</v>
      </c>
      <c r="Z17" s="470" cm="1">
        <f t="array" ref="Z17">+INDEX(League!$BI$18:$CR$18,,MATCH(Calcs!A17,League!$BI$1:$CR$1,0))</f>
        <v>0</v>
      </c>
      <c r="AA17" s="470" cm="1">
        <f t="array" ref="AA17">+INDEX(League!$BI$27:$CR$27,,MATCH(Calcs!A17,League!$BI$1:$CR$1,0))</f>
        <v>0</v>
      </c>
      <c r="AB17" s="470" cm="1">
        <f t="array" ref="AB17">+INDEX(League!$BI$36:$CR$36,,MATCH(Calcs!A17,League!$BI$1:$CR$1,0))</f>
        <v>0</v>
      </c>
      <c r="AD17" s="470">
        <f t="shared" si="30"/>
        <v>1</v>
      </c>
      <c r="AF17" s="470" t="str">
        <f t="shared" si="31"/>
        <v>Pos. 1 (36)</v>
      </c>
      <c r="AH17" s="470">
        <f t="shared" si="15"/>
        <v>0</v>
      </c>
      <c r="AJ17" s="470">
        <f t="shared" si="16"/>
        <v>1</v>
      </c>
      <c r="AL17" s="470" t="str">
        <f t="shared" si="32"/>
        <v>Pos. 1 (36)</v>
      </c>
      <c r="AN17" s="470">
        <f t="shared" si="17"/>
        <v>0</v>
      </c>
      <c r="AP17" s="470">
        <f t="shared" si="33"/>
        <v>1</v>
      </c>
      <c r="AR17" s="470" t="str">
        <f t="shared" si="34"/>
        <v>Pos. 1 (36)</v>
      </c>
      <c r="AT17" s="470">
        <f t="shared" si="18"/>
        <v>0</v>
      </c>
      <c r="AV17" s="470">
        <f t="shared" si="35"/>
        <v>1</v>
      </c>
      <c r="AX17" s="470" t="str">
        <f t="shared" si="36"/>
        <v>Pos. 1 (36)</v>
      </c>
      <c r="AZ17" s="470">
        <f t="shared" si="19"/>
        <v>0</v>
      </c>
      <c r="BB17" s="470">
        <f t="shared" si="37"/>
        <v>1</v>
      </c>
      <c r="BD17" s="470" t="str">
        <f t="shared" si="38"/>
        <v>Pos. 1 (36)</v>
      </c>
      <c r="BF17" s="470">
        <f t="shared" si="20"/>
        <v>0</v>
      </c>
      <c r="BH17" s="470">
        <f t="shared" si="39"/>
        <v>1</v>
      </c>
      <c r="BJ17" s="470" t="str">
        <f t="shared" si="40"/>
        <v>Pos. 1 (36)</v>
      </c>
      <c r="BL17" s="470">
        <f t="shared" si="41"/>
        <v>0</v>
      </c>
      <c r="BN17" s="470">
        <f t="shared" si="42"/>
        <v>1</v>
      </c>
      <c r="BP17" s="470" t="str">
        <f t="shared" si="43"/>
        <v>Pos. 1 (36)</v>
      </c>
      <c r="BR17" s="470">
        <f t="shared" si="44"/>
        <v>0</v>
      </c>
      <c r="BT17" s="470">
        <f t="shared" si="45"/>
        <v>1</v>
      </c>
      <c r="BV17" s="470" t="str">
        <f t="shared" si="46"/>
        <v>Pos. 1 (36)</v>
      </c>
      <c r="BX17" s="470">
        <f t="shared" si="47"/>
        <v>0</v>
      </c>
      <c r="BZ17" s="470">
        <f t="shared" si="48"/>
        <v>1</v>
      </c>
      <c r="CB17" s="470" t="str">
        <f t="shared" si="49"/>
        <v>Pos. 1 (36)</v>
      </c>
      <c r="CD17" s="470">
        <f t="shared" si="21"/>
        <v>15</v>
      </c>
      <c r="CF17" s="470">
        <f t="shared" si="50"/>
        <v>16</v>
      </c>
      <c r="CH17" s="469">
        <f>IF(OR(INDEX(League!$AT$2:$AT$37,MATCH($A17,League!$AS$2:$AS$37,0))="",CB17="-"),CF17,INDEX(League!$AT$2:$AT$37,MATCH($A17,League!$AS$2:$AS$37,0))+ROW()/1000)</f>
        <v>16</v>
      </c>
      <c r="CI17" s="469">
        <f t="shared" si="51"/>
        <v>15</v>
      </c>
      <c r="CJ17" s="469">
        <f t="shared" si="52"/>
        <v>16</v>
      </c>
    </row>
    <row r="18" spans="1:88">
      <c r="A18" s="469" t="str">
        <f>TablaEquipos[[#This Row],[Team]]</f>
        <v>Leipzig</v>
      </c>
      <c r="B18" s="470">
        <f t="shared" si="22"/>
        <v>0</v>
      </c>
      <c r="C18" s="470">
        <f t="shared" si="0"/>
        <v>0</v>
      </c>
      <c r="D18" s="470">
        <f t="shared" si="1"/>
        <v>0</v>
      </c>
      <c r="E18" s="470">
        <f t="shared" si="2"/>
        <v>0</v>
      </c>
      <c r="F18" s="470">
        <f t="shared" si="3"/>
        <v>0</v>
      </c>
      <c r="G18" s="470">
        <f t="shared" si="4"/>
        <v>0</v>
      </c>
      <c r="H18" s="470">
        <f t="shared" si="23"/>
        <v>0</v>
      </c>
      <c r="I18" s="470">
        <f>C18*3+D18*1+E18*0+INDEX(League!$BA$2:$BA$37,MATCH(Calcs!A18,League!$AZ$2:$AZ$37,0))</f>
        <v>0</v>
      </c>
      <c r="J18" s="471">
        <f t="shared" si="24"/>
        <v>0</v>
      </c>
      <c r="K18" s="470">
        <f t="shared" si="5"/>
        <v>0</v>
      </c>
      <c r="L18" s="470">
        <f t="shared" si="6"/>
        <v>0</v>
      </c>
      <c r="M18" s="470">
        <f t="shared" si="7"/>
        <v>0</v>
      </c>
      <c r="N18" s="470">
        <f t="shared" si="8"/>
        <v>0</v>
      </c>
      <c r="O18" s="470">
        <f t="shared" si="9"/>
        <v>0</v>
      </c>
      <c r="P18" s="470">
        <f t="shared" si="25"/>
        <v>0</v>
      </c>
      <c r="Q18" s="470">
        <f t="shared" si="26"/>
        <v>0</v>
      </c>
      <c r="R18" s="471">
        <f t="shared" si="27"/>
        <v>0</v>
      </c>
      <c r="S18" s="470">
        <f t="shared" si="10"/>
        <v>0</v>
      </c>
      <c r="T18" s="470">
        <f t="shared" si="11"/>
        <v>0</v>
      </c>
      <c r="U18" s="470">
        <f t="shared" si="12"/>
        <v>0</v>
      </c>
      <c r="V18" s="470">
        <f t="shared" si="13"/>
        <v>0</v>
      </c>
      <c r="W18" s="470">
        <f t="shared" si="14"/>
        <v>0</v>
      </c>
      <c r="X18" s="470">
        <f t="shared" si="28"/>
        <v>0</v>
      </c>
      <c r="Y18" s="472">
        <f t="shared" si="29"/>
        <v>0</v>
      </c>
      <c r="Z18" s="470" cm="1">
        <f t="array" ref="Z18">+INDEX(League!$BI$18:$CR$18,,MATCH(Calcs!A18,League!$BI$1:$CR$1,0))</f>
        <v>0</v>
      </c>
      <c r="AA18" s="470" cm="1">
        <f t="array" ref="AA18">+INDEX(League!$BI$27:$CR$27,,MATCH(Calcs!A18,League!$BI$1:$CR$1,0))</f>
        <v>0</v>
      </c>
      <c r="AB18" s="470" cm="1">
        <f t="array" ref="AB18">+INDEX(League!$BI$36:$CR$36,,MATCH(Calcs!A18,League!$BI$1:$CR$1,0))</f>
        <v>0</v>
      </c>
      <c r="AD18" s="470">
        <f t="shared" si="30"/>
        <v>1</v>
      </c>
      <c r="AF18" s="470" t="str">
        <f t="shared" si="31"/>
        <v>Pos. 1 (36)</v>
      </c>
      <c r="AH18" s="470">
        <f t="shared" si="15"/>
        <v>0</v>
      </c>
      <c r="AJ18" s="470">
        <f t="shared" si="16"/>
        <v>1</v>
      </c>
      <c r="AL18" s="470" t="str">
        <f t="shared" si="32"/>
        <v>Pos. 1 (36)</v>
      </c>
      <c r="AN18" s="470">
        <f t="shared" si="17"/>
        <v>0</v>
      </c>
      <c r="AP18" s="470">
        <f t="shared" si="33"/>
        <v>1</v>
      </c>
      <c r="AR18" s="470" t="str">
        <f t="shared" si="34"/>
        <v>Pos. 1 (36)</v>
      </c>
      <c r="AT18" s="470">
        <f t="shared" si="18"/>
        <v>0</v>
      </c>
      <c r="AV18" s="470">
        <f t="shared" si="35"/>
        <v>1</v>
      </c>
      <c r="AX18" s="470" t="str">
        <f t="shared" si="36"/>
        <v>Pos. 1 (36)</v>
      </c>
      <c r="AZ18" s="470">
        <f t="shared" si="19"/>
        <v>0</v>
      </c>
      <c r="BB18" s="470">
        <f t="shared" si="37"/>
        <v>1</v>
      </c>
      <c r="BD18" s="470" t="str">
        <f t="shared" si="38"/>
        <v>Pos. 1 (36)</v>
      </c>
      <c r="BF18" s="470">
        <f t="shared" si="20"/>
        <v>0</v>
      </c>
      <c r="BH18" s="470">
        <f t="shared" si="39"/>
        <v>1</v>
      </c>
      <c r="BJ18" s="470" t="str">
        <f t="shared" si="40"/>
        <v>Pos. 1 (36)</v>
      </c>
      <c r="BL18" s="470">
        <f t="shared" si="41"/>
        <v>0</v>
      </c>
      <c r="BN18" s="470">
        <f t="shared" si="42"/>
        <v>1</v>
      </c>
      <c r="BP18" s="470" t="str">
        <f t="shared" si="43"/>
        <v>Pos. 1 (36)</v>
      </c>
      <c r="BR18" s="470">
        <f t="shared" si="44"/>
        <v>0</v>
      </c>
      <c r="BT18" s="470">
        <f t="shared" si="45"/>
        <v>1</v>
      </c>
      <c r="BV18" s="470" t="str">
        <f t="shared" si="46"/>
        <v>Pos. 1 (36)</v>
      </c>
      <c r="BX18" s="470">
        <f t="shared" si="47"/>
        <v>0</v>
      </c>
      <c r="BZ18" s="470">
        <f t="shared" si="48"/>
        <v>1</v>
      </c>
      <c r="CB18" s="470" t="str">
        <f t="shared" si="49"/>
        <v>Pos. 1 (36)</v>
      </c>
      <c r="CD18" s="470">
        <f t="shared" si="21"/>
        <v>16</v>
      </c>
      <c r="CF18" s="470">
        <f t="shared" si="50"/>
        <v>17</v>
      </c>
      <c r="CH18" s="469">
        <f>IF(OR(INDEX(League!$AT$2:$AT$37,MATCH($A18,League!$AS$2:$AS$37,0))="",CB18="-"),CF18,INDEX(League!$AT$2:$AT$37,MATCH($A18,League!$AS$2:$AS$37,0))+ROW()/1000)</f>
        <v>17</v>
      </c>
      <c r="CI18" s="469">
        <f t="shared" si="51"/>
        <v>16</v>
      </c>
      <c r="CJ18" s="469">
        <f t="shared" si="52"/>
        <v>17</v>
      </c>
    </row>
    <row r="19" spans="1:88">
      <c r="A19" s="469" t="str">
        <f>TablaEquipos[[#This Row],[Team]]</f>
        <v>Lens</v>
      </c>
      <c r="B19" s="470">
        <f t="shared" si="22"/>
        <v>0</v>
      </c>
      <c r="C19" s="470">
        <f t="shared" si="0"/>
        <v>0</v>
      </c>
      <c r="D19" s="470">
        <f t="shared" si="1"/>
        <v>0</v>
      </c>
      <c r="E19" s="470">
        <f t="shared" si="2"/>
        <v>0</v>
      </c>
      <c r="F19" s="470">
        <f t="shared" si="3"/>
        <v>0</v>
      </c>
      <c r="G19" s="470">
        <f t="shared" si="4"/>
        <v>0</v>
      </c>
      <c r="H19" s="470">
        <f t="shared" si="23"/>
        <v>0</v>
      </c>
      <c r="I19" s="470">
        <f>C19*3+D19*1+E19*0+INDEX(League!$BA$2:$BA$37,MATCH(Calcs!A19,League!$AZ$2:$AZ$37,0))</f>
        <v>0</v>
      </c>
      <c r="J19" s="471">
        <f t="shared" si="24"/>
        <v>0</v>
      </c>
      <c r="K19" s="470">
        <f t="shared" si="5"/>
        <v>0</v>
      </c>
      <c r="L19" s="470">
        <f t="shared" si="6"/>
        <v>0</v>
      </c>
      <c r="M19" s="470">
        <f t="shared" si="7"/>
        <v>0</v>
      </c>
      <c r="N19" s="470">
        <f t="shared" si="8"/>
        <v>0</v>
      </c>
      <c r="O19" s="470">
        <f t="shared" si="9"/>
        <v>0</v>
      </c>
      <c r="P19" s="470">
        <f t="shared" si="25"/>
        <v>0</v>
      </c>
      <c r="Q19" s="470">
        <f t="shared" si="26"/>
        <v>0</v>
      </c>
      <c r="R19" s="471">
        <f t="shared" si="27"/>
        <v>0</v>
      </c>
      <c r="S19" s="470">
        <f t="shared" si="10"/>
        <v>0</v>
      </c>
      <c r="T19" s="470">
        <f t="shared" si="11"/>
        <v>0</v>
      </c>
      <c r="U19" s="470">
        <f t="shared" si="12"/>
        <v>0</v>
      </c>
      <c r="V19" s="470">
        <f t="shared" si="13"/>
        <v>0</v>
      </c>
      <c r="W19" s="470">
        <f t="shared" si="14"/>
        <v>0</v>
      </c>
      <c r="X19" s="470">
        <f t="shared" si="28"/>
        <v>0</v>
      </c>
      <c r="Y19" s="472">
        <f t="shared" si="29"/>
        <v>0</v>
      </c>
      <c r="Z19" s="470" cm="1">
        <f t="array" ref="Z19">+INDEX(League!$BI$18:$CR$18,,MATCH(Calcs!A19,League!$BI$1:$CR$1,0))</f>
        <v>0</v>
      </c>
      <c r="AA19" s="470" cm="1">
        <f t="array" ref="AA19">+INDEX(League!$BI$27:$CR$27,,MATCH(Calcs!A19,League!$BI$1:$CR$1,0))</f>
        <v>0</v>
      </c>
      <c r="AB19" s="470" cm="1">
        <f t="array" ref="AB19">+INDEX(League!$BI$36:$CR$36,,MATCH(Calcs!A19,League!$BI$1:$CR$1,0))</f>
        <v>0</v>
      </c>
      <c r="AD19" s="470">
        <f t="shared" si="30"/>
        <v>1</v>
      </c>
      <c r="AF19" s="470" t="str">
        <f t="shared" si="31"/>
        <v>Pos. 1 (36)</v>
      </c>
      <c r="AH19" s="470">
        <f t="shared" si="15"/>
        <v>0</v>
      </c>
      <c r="AJ19" s="470">
        <f t="shared" si="16"/>
        <v>1</v>
      </c>
      <c r="AL19" s="470" t="str">
        <f t="shared" si="32"/>
        <v>Pos. 1 (36)</v>
      </c>
      <c r="AN19" s="470">
        <f t="shared" si="17"/>
        <v>0</v>
      </c>
      <c r="AP19" s="470">
        <f t="shared" si="33"/>
        <v>1</v>
      </c>
      <c r="AR19" s="470" t="str">
        <f t="shared" si="34"/>
        <v>Pos. 1 (36)</v>
      </c>
      <c r="AT19" s="470">
        <f t="shared" si="18"/>
        <v>0</v>
      </c>
      <c r="AV19" s="470">
        <f t="shared" si="35"/>
        <v>1</v>
      </c>
      <c r="AX19" s="470" t="str">
        <f t="shared" si="36"/>
        <v>Pos. 1 (36)</v>
      </c>
      <c r="AZ19" s="470">
        <f t="shared" si="19"/>
        <v>0</v>
      </c>
      <c r="BB19" s="470">
        <f t="shared" si="37"/>
        <v>1</v>
      </c>
      <c r="BD19" s="470" t="str">
        <f t="shared" si="38"/>
        <v>Pos. 1 (36)</v>
      </c>
      <c r="BF19" s="470">
        <f t="shared" si="20"/>
        <v>0</v>
      </c>
      <c r="BH19" s="470">
        <f t="shared" si="39"/>
        <v>1</v>
      </c>
      <c r="BJ19" s="470" t="str">
        <f t="shared" si="40"/>
        <v>Pos. 1 (36)</v>
      </c>
      <c r="BL19" s="470">
        <f t="shared" si="41"/>
        <v>0</v>
      </c>
      <c r="BN19" s="470">
        <f t="shared" si="42"/>
        <v>1</v>
      </c>
      <c r="BP19" s="470" t="str">
        <f t="shared" si="43"/>
        <v>Pos. 1 (36)</v>
      </c>
      <c r="BR19" s="470">
        <f t="shared" si="44"/>
        <v>0</v>
      </c>
      <c r="BT19" s="470">
        <f t="shared" si="45"/>
        <v>1</v>
      </c>
      <c r="BV19" s="470" t="str">
        <f t="shared" si="46"/>
        <v>Pos. 1 (36)</v>
      </c>
      <c r="BX19" s="470">
        <f t="shared" si="47"/>
        <v>0</v>
      </c>
      <c r="BZ19" s="470">
        <f t="shared" si="48"/>
        <v>1</v>
      </c>
      <c r="CB19" s="470" t="str">
        <f t="shared" si="49"/>
        <v>Pos. 1 (36)</v>
      </c>
      <c r="CD19" s="470">
        <f t="shared" si="21"/>
        <v>17</v>
      </c>
      <c r="CF19" s="470">
        <f t="shared" si="50"/>
        <v>18</v>
      </c>
      <c r="CH19" s="469">
        <f>IF(OR(INDEX(League!$AT$2:$AT$37,MATCH($A19,League!$AS$2:$AS$37,0))="",CB19="-"),CF19,INDEX(League!$AT$2:$AT$37,MATCH($A19,League!$AS$2:$AS$37,0))+ROW()/1000)</f>
        <v>18</v>
      </c>
      <c r="CI19" s="469">
        <f t="shared" si="51"/>
        <v>17</v>
      </c>
      <c r="CJ19" s="469">
        <f t="shared" si="52"/>
        <v>18</v>
      </c>
    </row>
    <row r="20" spans="1:88">
      <c r="A20" s="469" t="str">
        <f>TablaEquipos[[#This Row],[Team]]</f>
        <v>Lille</v>
      </c>
      <c r="B20" s="470">
        <f t="shared" si="22"/>
        <v>0</v>
      </c>
      <c r="C20" s="470">
        <f t="shared" si="0"/>
        <v>0</v>
      </c>
      <c r="D20" s="470">
        <f t="shared" si="1"/>
        <v>0</v>
      </c>
      <c r="E20" s="470">
        <f t="shared" si="2"/>
        <v>0</v>
      </c>
      <c r="F20" s="470">
        <f t="shared" si="3"/>
        <v>0</v>
      </c>
      <c r="G20" s="470">
        <f t="shared" si="4"/>
        <v>0</v>
      </c>
      <c r="H20" s="470">
        <f t="shared" si="23"/>
        <v>0</v>
      </c>
      <c r="I20" s="470">
        <f>C20*3+D20*1+E20*0+INDEX(League!$BA$2:$BA$37,MATCH(Calcs!A20,League!$AZ$2:$AZ$37,0))</f>
        <v>0</v>
      </c>
      <c r="J20" s="471">
        <f t="shared" si="24"/>
        <v>0</v>
      </c>
      <c r="K20" s="470">
        <f t="shared" si="5"/>
        <v>0</v>
      </c>
      <c r="L20" s="470">
        <f t="shared" si="6"/>
        <v>0</v>
      </c>
      <c r="M20" s="470">
        <f t="shared" si="7"/>
        <v>0</v>
      </c>
      <c r="N20" s="470">
        <f t="shared" si="8"/>
        <v>0</v>
      </c>
      <c r="O20" s="470">
        <f t="shared" si="9"/>
        <v>0</v>
      </c>
      <c r="P20" s="470">
        <f t="shared" si="25"/>
        <v>0</v>
      </c>
      <c r="Q20" s="470">
        <f t="shared" si="26"/>
        <v>0</v>
      </c>
      <c r="R20" s="471">
        <f t="shared" si="27"/>
        <v>0</v>
      </c>
      <c r="S20" s="470">
        <f t="shared" si="10"/>
        <v>0</v>
      </c>
      <c r="T20" s="470">
        <f t="shared" si="11"/>
        <v>0</v>
      </c>
      <c r="U20" s="470">
        <f t="shared" si="12"/>
        <v>0</v>
      </c>
      <c r="V20" s="470">
        <f t="shared" si="13"/>
        <v>0</v>
      </c>
      <c r="W20" s="470">
        <f t="shared" si="14"/>
        <v>0</v>
      </c>
      <c r="X20" s="470">
        <f t="shared" si="28"/>
        <v>0</v>
      </c>
      <c r="Y20" s="472">
        <f t="shared" si="29"/>
        <v>0</v>
      </c>
      <c r="Z20" s="470" cm="1">
        <f t="array" ref="Z20">+INDEX(League!$BI$18:$CR$18,,MATCH(Calcs!A20,League!$BI$1:$CR$1,0))</f>
        <v>0</v>
      </c>
      <c r="AA20" s="470" cm="1">
        <f t="array" ref="AA20">+INDEX(League!$BI$27:$CR$27,,MATCH(Calcs!A20,League!$BI$1:$CR$1,0))</f>
        <v>0</v>
      </c>
      <c r="AB20" s="470" cm="1">
        <f t="array" ref="AB20">+INDEX(League!$BI$36:$CR$36,,MATCH(Calcs!A20,League!$BI$1:$CR$1,0))</f>
        <v>0</v>
      </c>
      <c r="AD20" s="470">
        <f t="shared" si="30"/>
        <v>1</v>
      </c>
      <c r="AF20" s="470" t="str">
        <f t="shared" si="31"/>
        <v>Pos. 1 (36)</v>
      </c>
      <c r="AH20" s="470">
        <f t="shared" si="15"/>
        <v>0</v>
      </c>
      <c r="AJ20" s="470">
        <f t="shared" si="16"/>
        <v>1</v>
      </c>
      <c r="AL20" s="470" t="str">
        <f t="shared" si="32"/>
        <v>Pos. 1 (36)</v>
      </c>
      <c r="AN20" s="470">
        <f t="shared" si="17"/>
        <v>0</v>
      </c>
      <c r="AP20" s="470">
        <f t="shared" si="33"/>
        <v>1</v>
      </c>
      <c r="AR20" s="470" t="str">
        <f t="shared" si="34"/>
        <v>Pos. 1 (36)</v>
      </c>
      <c r="AT20" s="470">
        <f t="shared" si="18"/>
        <v>0</v>
      </c>
      <c r="AV20" s="470">
        <f t="shared" si="35"/>
        <v>1</v>
      </c>
      <c r="AX20" s="470" t="str">
        <f t="shared" si="36"/>
        <v>Pos. 1 (36)</v>
      </c>
      <c r="AZ20" s="470">
        <f t="shared" si="19"/>
        <v>0</v>
      </c>
      <c r="BB20" s="470">
        <f t="shared" si="37"/>
        <v>1</v>
      </c>
      <c r="BD20" s="470" t="str">
        <f t="shared" si="38"/>
        <v>Pos. 1 (36)</v>
      </c>
      <c r="BF20" s="470">
        <f t="shared" si="20"/>
        <v>0</v>
      </c>
      <c r="BH20" s="470">
        <f t="shared" si="39"/>
        <v>1</v>
      </c>
      <c r="BJ20" s="470" t="str">
        <f t="shared" si="40"/>
        <v>Pos. 1 (36)</v>
      </c>
      <c r="BL20" s="470">
        <f t="shared" si="41"/>
        <v>0</v>
      </c>
      <c r="BN20" s="470">
        <f t="shared" si="42"/>
        <v>1</v>
      </c>
      <c r="BP20" s="470" t="str">
        <f t="shared" si="43"/>
        <v>Pos. 1 (36)</v>
      </c>
      <c r="BR20" s="470">
        <f t="shared" si="44"/>
        <v>0</v>
      </c>
      <c r="BT20" s="470">
        <f t="shared" si="45"/>
        <v>1</v>
      </c>
      <c r="BV20" s="470" t="str">
        <f t="shared" si="46"/>
        <v>Pos. 1 (36)</v>
      </c>
      <c r="BX20" s="470">
        <f t="shared" si="47"/>
        <v>0</v>
      </c>
      <c r="BZ20" s="470">
        <f t="shared" si="48"/>
        <v>1</v>
      </c>
      <c r="CB20" s="470" t="str">
        <f t="shared" si="49"/>
        <v>Pos. 1 (36)</v>
      </c>
      <c r="CD20" s="470">
        <f t="shared" si="21"/>
        <v>18</v>
      </c>
      <c r="CF20" s="470">
        <f t="shared" si="50"/>
        <v>19</v>
      </c>
      <c r="CH20" s="469">
        <f>IF(OR(INDEX(League!$AT$2:$AT$37,MATCH($A20,League!$AS$2:$AS$37,0))="",CB20="-"),CF20,INDEX(League!$AT$2:$AT$37,MATCH($A20,League!$AS$2:$AS$37,0))+ROW()/1000)</f>
        <v>19</v>
      </c>
      <c r="CI20" s="469">
        <f t="shared" si="51"/>
        <v>18</v>
      </c>
      <c r="CJ20" s="469">
        <f t="shared" si="52"/>
        <v>19</v>
      </c>
    </row>
    <row r="21" spans="1:88">
      <c r="A21" s="469" t="str">
        <f>TablaEquipos[[#This Row],[Team]]</f>
        <v>Liverpool</v>
      </c>
      <c r="B21" s="470">
        <f t="shared" si="22"/>
        <v>0</v>
      </c>
      <c r="C21" s="470">
        <f t="shared" si="0"/>
        <v>0</v>
      </c>
      <c r="D21" s="470">
        <f t="shared" si="1"/>
        <v>0</v>
      </c>
      <c r="E21" s="470">
        <f t="shared" si="2"/>
        <v>0</v>
      </c>
      <c r="F21" s="470">
        <f t="shared" si="3"/>
        <v>0</v>
      </c>
      <c r="G21" s="470">
        <f t="shared" si="4"/>
        <v>0</v>
      </c>
      <c r="H21" s="470">
        <f t="shared" si="23"/>
        <v>0</v>
      </c>
      <c r="I21" s="470">
        <f>C21*3+D21*1+E21*0+INDEX(League!$BA$2:$BA$37,MATCH(Calcs!A21,League!$AZ$2:$AZ$37,0))</f>
        <v>0</v>
      </c>
      <c r="J21" s="471">
        <f t="shared" si="24"/>
        <v>0</v>
      </c>
      <c r="K21" s="470">
        <f t="shared" si="5"/>
        <v>0</v>
      </c>
      <c r="L21" s="470">
        <f t="shared" si="6"/>
        <v>0</v>
      </c>
      <c r="M21" s="470">
        <f t="shared" si="7"/>
        <v>0</v>
      </c>
      <c r="N21" s="470">
        <f t="shared" si="8"/>
        <v>0</v>
      </c>
      <c r="O21" s="470">
        <f t="shared" si="9"/>
        <v>0</v>
      </c>
      <c r="P21" s="470">
        <f t="shared" si="25"/>
        <v>0</v>
      </c>
      <c r="Q21" s="470">
        <f t="shared" si="26"/>
        <v>0</v>
      </c>
      <c r="R21" s="471">
        <f t="shared" si="27"/>
        <v>0</v>
      </c>
      <c r="S21" s="470">
        <f t="shared" si="10"/>
        <v>0</v>
      </c>
      <c r="T21" s="470">
        <f t="shared" si="11"/>
        <v>0</v>
      </c>
      <c r="U21" s="470">
        <f t="shared" si="12"/>
        <v>0</v>
      </c>
      <c r="V21" s="470">
        <f t="shared" si="13"/>
        <v>0</v>
      </c>
      <c r="W21" s="470">
        <f t="shared" si="14"/>
        <v>0</v>
      </c>
      <c r="X21" s="470">
        <f t="shared" si="28"/>
        <v>0</v>
      </c>
      <c r="Y21" s="472">
        <f t="shared" si="29"/>
        <v>0</v>
      </c>
      <c r="Z21" s="470" cm="1">
        <f t="array" ref="Z21">+INDEX(League!$BI$18:$CR$18,,MATCH(Calcs!A21,League!$BI$1:$CR$1,0))</f>
        <v>0</v>
      </c>
      <c r="AA21" s="470" cm="1">
        <f t="array" ref="AA21">+INDEX(League!$BI$27:$CR$27,,MATCH(Calcs!A21,League!$BI$1:$CR$1,0))</f>
        <v>0</v>
      </c>
      <c r="AB21" s="470" cm="1">
        <f t="array" ref="AB21">+INDEX(League!$BI$36:$CR$36,,MATCH(Calcs!A21,League!$BI$1:$CR$1,0))</f>
        <v>0</v>
      </c>
      <c r="AD21" s="470">
        <f t="shared" si="30"/>
        <v>1</v>
      </c>
      <c r="AF21" s="470" t="str">
        <f t="shared" si="31"/>
        <v>Pos. 1 (36)</v>
      </c>
      <c r="AH21" s="470">
        <f t="shared" si="15"/>
        <v>0</v>
      </c>
      <c r="AJ21" s="470">
        <f t="shared" si="16"/>
        <v>1</v>
      </c>
      <c r="AL21" s="470" t="str">
        <f t="shared" si="32"/>
        <v>Pos. 1 (36)</v>
      </c>
      <c r="AN21" s="470">
        <f t="shared" si="17"/>
        <v>0</v>
      </c>
      <c r="AP21" s="470">
        <f t="shared" si="33"/>
        <v>1</v>
      </c>
      <c r="AR21" s="470" t="str">
        <f t="shared" si="34"/>
        <v>Pos. 1 (36)</v>
      </c>
      <c r="AT21" s="470">
        <f t="shared" si="18"/>
        <v>0</v>
      </c>
      <c r="AV21" s="470">
        <f t="shared" si="35"/>
        <v>1</v>
      </c>
      <c r="AX21" s="470" t="str">
        <f t="shared" si="36"/>
        <v>Pos. 1 (36)</v>
      </c>
      <c r="AZ21" s="470">
        <f t="shared" si="19"/>
        <v>0</v>
      </c>
      <c r="BB21" s="470">
        <f t="shared" si="37"/>
        <v>1</v>
      </c>
      <c r="BD21" s="470" t="str">
        <f t="shared" si="38"/>
        <v>Pos. 1 (36)</v>
      </c>
      <c r="BF21" s="470">
        <f t="shared" si="20"/>
        <v>0</v>
      </c>
      <c r="BH21" s="470">
        <f t="shared" si="39"/>
        <v>1</v>
      </c>
      <c r="BJ21" s="470" t="str">
        <f t="shared" si="40"/>
        <v>Pos. 1 (36)</v>
      </c>
      <c r="BL21" s="470">
        <f t="shared" si="41"/>
        <v>0</v>
      </c>
      <c r="BN21" s="470">
        <f t="shared" si="42"/>
        <v>1</v>
      </c>
      <c r="BP21" s="470" t="str">
        <f t="shared" si="43"/>
        <v>Pos. 1 (36)</v>
      </c>
      <c r="BR21" s="470">
        <f t="shared" si="44"/>
        <v>0</v>
      </c>
      <c r="BT21" s="470">
        <f t="shared" si="45"/>
        <v>1</v>
      </c>
      <c r="BV21" s="470" t="str">
        <f t="shared" si="46"/>
        <v>Pos. 1 (36)</v>
      </c>
      <c r="BX21" s="470">
        <f t="shared" si="47"/>
        <v>0</v>
      </c>
      <c r="BZ21" s="470">
        <f t="shared" si="48"/>
        <v>1</v>
      </c>
      <c r="CB21" s="470" t="str">
        <f t="shared" si="49"/>
        <v>Pos. 1 (36)</v>
      </c>
      <c r="CD21" s="470">
        <f t="shared" si="21"/>
        <v>19</v>
      </c>
      <c r="CF21" s="470">
        <f t="shared" si="50"/>
        <v>20</v>
      </c>
      <c r="CH21" s="469">
        <f>IF(OR(INDEX(League!$AT$2:$AT$37,MATCH($A21,League!$AS$2:$AS$37,0))="",CB21="-"),CF21,INDEX(League!$AT$2:$AT$37,MATCH($A21,League!$AS$2:$AS$37,0))+ROW()/1000)</f>
        <v>20</v>
      </c>
      <c r="CI21" s="469">
        <f t="shared" si="51"/>
        <v>19</v>
      </c>
      <c r="CJ21" s="469">
        <f t="shared" si="52"/>
        <v>20</v>
      </c>
    </row>
    <row r="22" spans="1:88">
      <c r="A22" s="469" t="str">
        <f>TablaEquipos[[#This Row],[Team]]</f>
        <v>Manchester City</v>
      </c>
      <c r="B22" s="470">
        <f t="shared" si="22"/>
        <v>0</v>
      </c>
      <c r="C22" s="470">
        <f t="shared" si="0"/>
        <v>0</v>
      </c>
      <c r="D22" s="470">
        <f t="shared" si="1"/>
        <v>0</v>
      </c>
      <c r="E22" s="470">
        <f t="shared" si="2"/>
        <v>0</v>
      </c>
      <c r="F22" s="470">
        <f t="shared" si="3"/>
        <v>0</v>
      </c>
      <c r="G22" s="470">
        <f t="shared" si="4"/>
        <v>0</v>
      </c>
      <c r="H22" s="470">
        <f t="shared" si="23"/>
        <v>0</v>
      </c>
      <c r="I22" s="470">
        <f>C22*3+D22*1+E22*0+INDEX(League!$BA$2:$BA$37,MATCH(Calcs!A22,League!$AZ$2:$AZ$37,0))</f>
        <v>0</v>
      </c>
      <c r="J22" s="471">
        <f t="shared" si="24"/>
        <v>0</v>
      </c>
      <c r="K22" s="470">
        <f t="shared" si="5"/>
        <v>0</v>
      </c>
      <c r="L22" s="470">
        <f t="shared" si="6"/>
        <v>0</v>
      </c>
      <c r="M22" s="470">
        <f t="shared" si="7"/>
        <v>0</v>
      </c>
      <c r="N22" s="470">
        <f t="shared" si="8"/>
        <v>0</v>
      </c>
      <c r="O22" s="470">
        <f t="shared" si="9"/>
        <v>0</v>
      </c>
      <c r="P22" s="470">
        <f t="shared" si="25"/>
        <v>0</v>
      </c>
      <c r="Q22" s="470">
        <f t="shared" si="26"/>
        <v>0</v>
      </c>
      <c r="R22" s="471">
        <f t="shared" si="27"/>
        <v>0</v>
      </c>
      <c r="S22" s="470">
        <f t="shared" si="10"/>
        <v>0</v>
      </c>
      <c r="T22" s="470">
        <f t="shared" si="11"/>
        <v>0</v>
      </c>
      <c r="U22" s="470">
        <f t="shared" si="12"/>
        <v>0</v>
      </c>
      <c r="V22" s="470">
        <f t="shared" si="13"/>
        <v>0</v>
      </c>
      <c r="W22" s="470">
        <f t="shared" si="14"/>
        <v>0</v>
      </c>
      <c r="X22" s="470">
        <f t="shared" si="28"/>
        <v>0</v>
      </c>
      <c r="Y22" s="472">
        <f t="shared" si="29"/>
        <v>0</v>
      </c>
      <c r="Z22" s="470" cm="1">
        <f t="array" ref="Z22">+INDEX(League!$BI$18:$CR$18,,MATCH(Calcs!A22,League!$BI$1:$CR$1,0))</f>
        <v>0</v>
      </c>
      <c r="AA22" s="470" cm="1">
        <f t="array" ref="AA22">+INDEX(League!$BI$27:$CR$27,,MATCH(Calcs!A22,League!$BI$1:$CR$1,0))</f>
        <v>0</v>
      </c>
      <c r="AB22" s="470" cm="1">
        <f t="array" ref="AB22">+INDEX(League!$BI$36:$CR$36,,MATCH(Calcs!A22,League!$BI$1:$CR$1,0))</f>
        <v>0</v>
      </c>
      <c r="AD22" s="470">
        <f t="shared" si="30"/>
        <v>1</v>
      </c>
      <c r="AF22" s="470" t="str">
        <f t="shared" si="31"/>
        <v>Pos. 1 (36)</v>
      </c>
      <c r="AH22" s="470">
        <f t="shared" si="15"/>
        <v>0</v>
      </c>
      <c r="AJ22" s="470">
        <f t="shared" si="16"/>
        <v>1</v>
      </c>
      <c r="AL22" s="470" t="str">
        <f t="shared" si="32"/>
        <v>Pos. 1 (36)</v>
      </c>
      <c r="AN22" s="470">
        <f t="shared" si="17"/>
        <v>0</v>
      </c>
      <c r="AP22" s="470">
        <f t="shared" si="33"/>
        <v>1</v>
      </c>
      <c r="AR22" s="470" t="str">
        <f t="shared" si="34"/>
        <v>Pos. 1 (36)</v>
      </c>
      <c r="AT22" s="470">
        <f t="shared" si="18"/>
        <v>0</v>
      </c>
      <c r="AV22" s="470">
        <f t="shared" si="35"/>
        <v>1</v>
      </c>
      <c r="AX22" s="470" t="str">
        <f t="shared" si="36"/>
        <v>Pos. 1 (36)</v>
      </c>
      <c r="AZ22" s="470">
        <f t="shared" si="19"/>
        <v>0</v>
      </c>
      <c r="BB22" s="470">
        <f t="shared" si="37"/>
        <v>1</v>
      </c>
      <c r="BD22" s="470" t="str">
        <f t="shared" si="38"/>
        <v>Pos. 1 (36)</v>
      </c>
      <c r="BF22" s="470">
        <f t="shared" si="20"/>
        <v>0</v>
      </c>
      <c r="BH22" s="470">
        <f t="shared" si="39"/>
        <v>1</v>
      </c>
      <c r="BJ22" s="470" t="str">
        <f t="shared" si="40"/>
        <v>Pos. 1 (36)</v>
      </c>
      <c r="BL22" s="470">
        <f t="shared" si="41"/>
        <v>0</v>
      </c>
      <c r="BN22" s="470">
        <f t="shared" si="42"/>
        <v>1</v>
      </c>
      <c r="BP22" s="470" t="str">
        <f t="shared" si="43"/>
        <v>Pos. 1 (36)</v>
      </c>
      <c r="BR22" s="470">
        <f t="shared" si="44"/>
        <v>0</v>
      </c>
      <c r="BT22" s="470">
        <f t="shared" si="45"/>
        <v>1</v>
      </c>
      <c r="BV22" s="470" t="str">
        <f t="shared" si="46"/>
        <v>Pos. 1 (36)</v>
      </c>
      <c r="BX22" s="470">
        <f t="shared" si="47"/>
        <v>0</v>
      </c>
      <c r="BZ22" s="470">
        <f t="shared" si="48"/>
        <v>1</v>
      </c>
      <c r="CB22" s="470" t="str">
        <f t="shared" si="49"/>
        <v>Pos. 1 (36)</v>
      </c>
      <c r="CD22" s="470">
        <f t="shared" si="21"/>
        <v>20</v>
      </c>
      <c r="CF22" s="470">
        <f t="shared" si="50"/>
        <v>21</v>
      </c>
      <c r="CH22" s="469">
        <f>IF(OR(INDEX(League!$AT$2:$AT$37,MATCH($A22,League!$AS$2:$AS$37,0))="",CB22="-"),CF22,INDEX(League!$AT$2:$AT$37,MATCH($A22,League!$AS$2:$AS$37,0))+ROW()/1000)</f>
        <v>21</v>
      </c>
      <c r="CI22" s="469">
        <f t="shared" si="51"/>
        <v>20</v>
      </c>
      <c r="CJ22" s="469">
        <f t="shared" si="52"/>
        <v>21</v>
      </c>
    </row>
    <row r="23" spans="1:88">
      <c r="A23" s="469" t="str">
        <f>TablaEquipos[[#This Row],[Team]]</f>
        <v>Manchester United</v>
      </c>
      <c r="B23" s="470">
        <f t="shared" si="22"/>
        <v>0</v>
      </c>
      <c r="C23" s="470">
        <f t="shared" si="0"/>
        <v>0</v>
      </c>
      <c r="D23" s="470">
        <f t="shared" si="1"/>
        <v>0</v>
      </c>
      <c r="E23" s="470">
        <f t="shared" si="2"/>
        <v>0</v>
      </c>
      <c r="F23" s="470">
        <f t="shared" si="3"/>
        <v>0</v>
      </c>
      <c r="G23" s="470">
        <f t="shared" si="4"/>
        <v>0</v>
      </c>
      <c r="H23" s="470">
        <f t="shared" si="23"/>
        <v>0</v>
      </c>
      <c r="I23" s="470">
        <f>C23*3+D23*1+E23*0+INDEX(League!$BA$2:$BA$37,MATCH(Calcs!A23,League!$AZ$2:$AZ$37,0))</f>
        <v>0</v>
      </c>
      <c r="J23" s="471">
        <f t="shared" si="24"/>
        <v>0</v>
      </c>
      <c r="K23" s="470">
        <f t="shared" si="5"/>
        <v>0</v>
      </c>
      <c r="L23" s="470">
        <f t="shared" si="6"/>
        <v>0</v>
      </c>
      <c r="M23" s="470">
        <f t="shared" si="7"/>
        <v>0</v>
      </c>
      <c r="N23" s="470">
        <f t="shared" si="8"/>
        <v>0</v>
      </c>
      <c r="O23" s="470">
        <f t="shared" si="9"/>
        <v>0</v>
      </c>
      <c r="P23" s="470">
        <f t="shared" si="25"/>
        <v>0</v>
      </c>
      <c r="Q23" s="470">
        <f t="shared" si="26"/>
        <v>0</v>
      </c>
      <c r="R23" s="471">
        <f t="shared" si="27"/>
        <v>0</v>
      </c>
      <c r="S23" s="470">
        <f t="shared" si="10"/>
        <v>0</v>
      </c>
      <c r="T23" s="470">
        <f t="shared" si="11"/>
        <v>0</v>
      </c>
      <c r="U23" s="470">
        <f t="shared" si="12"/>
        <v>0</v>
      </c>
      <c r="V23" s="470">
        <f t="shared" si="13"/>
        <v>0</v>
      </c>
      <c r="W23" s="470">
        <f t="shared" si="14"/>
        <v>0</v>
      </c>
      <c r="X23" s="470">
        <f t="shared" si="28"/>
        <v>0</v>
      </c>
      <c r="Y23" s="472">
        <f t="shared" si="29"/>
        <v>0</v>
      </c>
      <c r="Z23" s="470" cm="1">
        <f t="array" ref="Z23">+INDEX(League!$BI$18:$CR$18,,MATCH(Calcs!A23,League!$BI$1:$CR$1,0))</f>
        <v>0</v>
      </c>
      <c r="AA23" s="470" cm="1">
        <f t="array" ref="AA23">+INDEX(League!$BI$27:$CR$27,,MATCH(Calcs!A23,League!$BI$1:$CR$1,0))</f>
        <v>0</v>
      </c>
      <c r="AB23" s="470" cm="1">
        <f t="array" ref="AB23">+INDEX(League!$BI$36:$CR$36,,MATCH(Calcs!A23,League!$BI$1:$CR$1,0))</f>
        <v>0</v>
      </c>
      <c r="AD23" s="470">
        <f t="shared" si="30"/>
        <v>1</v>
      </c>
      <c r="AF23" s="470" t="str">
        <f t="shared" si="31"/>
        <v>Pos. 1 (36)</v>
      </c>
      <c r="AH23" s="470">
        <f t="shared" si="15"/>
        <v>0</v>
      </c>
      <c r="AJ23" s="470">
        <f t="shared" si="16"/>
        <v>1</v>
      </c>
      <c r="AL23" s="470" t="str">
        <f t="shared" si="32"/>
        <v>Pos. 1 (36)</v>
      </c>
      <c r="AN23" s="470">
        <f t="shared" si="17"/>
        <v>0</v>
      </c>
      <c r="AP23" s="470">
        <f t="shared" si="33"/>
        <v>1</v>
      </c>
      <c r="AR23" s="470" t="str">
        <f t="shared" si="34"/>
        <v>Pos. 1 (36)</v>
      </c>
      <c r="AT23" s="470">
        <f t="shared" si="18"/>
        <v>0</v>
      </c>
      <c r="AV23" s="470">
        <f t="shared" si="35"/>
        <v>1</v>
      </c>
      <c r="AX23" s="470" t="str">
        <f t="shared" si="36"/>
        <v>Pos. 1 (36)</v>
      </c>
      <c r="AZ23" s="470">
        <f t="shared" si="19"/>
        <v>0</v>
      </c>
      <c r="BB23" s="470">
        <f t="shared" si="37"/>
        <v>1</v>
      </c>
      <c r="BD23" s="470" t="str">
        <f t="shared" si="38"/>
        <v>Pos. 1 (36)</v>
      </c>
      <c r="BF23" s="470">
        <f t="shared" si="20"/>
        <v>0</v>
      </c>
      <c r="BH23" s="470">
        <f t="shared" si="39"/>
        <v>1</v>
      </c>
      <c r="BJ23" s="470" t="str">
        <f t="shared" si="40"/>
        <v>Pos. 1 (36)</v>
      </c>
      <c r="BL23" s="470">
        <f t="shared" si="41"/>
        <v>0</v>
      </c>
      <c r="BN23" s="470">
        <f t="shared" si="42"/>
        <v>1</v>
      </c>
      <c r="BP23" s="470" t="str">
        <f t="shared" si="43"/>
        <v>Pos. 1 (36)</v>
      </c>
      <c r="BR23" s="470">
        <f t="shared" si="44"/>
        <v>0</v>
      </c>
      <c r="BT23" s="470">
        <f t="shared" si="45"/>
        <v>1</v>
      </c>
      <c r="BV23" s="470" t="str">
        <f t="shared" si="46"/>
        <v>Pos. 1 (36)</v>
      </c>
      <c r="BX23" s="470">
        <f t="shared" si="47"/>
        <v>0</v>
      </c>
      <c r="BZ23" s="470">
        <f t="shared" si="48"/>
        <v>1</v>
      </c>
      <c r="CB23" s="470" t="str">
        <f t="shared" si="49"/>
        <v>Pos. 1 (36)</v>
      </c>
      <c r="CD23" s="470">
        <f t="shared" si="21"/>
        <v>21</v>
      </c>
      <c r="CF23" s="470">
        <f t="shared" si="50"/>
        <v>22</v>
      </c>
      <c r="CH23" s="469">
        <f>IF(OR(INDEX(League!$AT$2:$AT$37,MATCH($A23,League!$AS$2:$AS$37,0))="",CB23="-"),CF23,INDEX(League!$AT$2:$AT$37,MATCH($A23,League!$AS$2:$AS$37,0))+ROW()/1000)</f>
        <v>22</v>
      </c>
      <c r="CI23" s="469">
        <f t="shared" si="51"/>
        <v>21</v>
      </c>
      <c r="CJ23" s="469">
        <f t="shared" si="52"/>
        <v>22</v>
      </c>
    </row>
    <row r="24" spans="1:88">
      <c r="A24" s="469" t="str">
        <f>TablaEquipos[[#This Row],[Team]]</f>
        <v>Napoli</v>
      </c>
      <c r="B24" s="470">
        <f t="shared" si="22"/>
        <v>0</v>
      </c>
      <c r="C24" s="470">
        <f t="shared" si="0"/>
        <v>0</v>
      </c>
      <c r="D24" s="470">
        <f t="shared" si="1"/>
        <v>0</v>
      </c>
      <c r="E24" s="470">
        <f t="shared" si="2"/>
        <v>0</v>
      </c>
      <c r="F24" s="470">
        <f t="shared" si="3"/>
        <v>0</v>
      </c>
      <c r="G24" s="470">
        <f t="shared" si="4"/>
        <v>0</v>
      </c>
      <c r="H24" s="470">
        <f t="shared" si="23"/>
        <v>0</v>
      </c>
      <c r="I24" s="470">
        <f>C24*3+D24*1+E24*0+INDEX(League!$BA$2:$BA$37,MATCH(Calcs!A24,League!$AZ$2:$AZ$37,0))</f>
        <v>0</v>
      </c>
      <c r="J24" s="471">
        <f t="shared" si="24"/>
        <v>0</v>
      </c>
      <c r="K24" s="470">
        <f t="shared" si="5"/>
        <v>0</v>
      </c>
      <c r="L24" s="470">
        <f t="shared" si="6"/>
        <v>0</v>
      </c>
      <c r="M24" s="470">
        <f t="shared" si="7"/>
        <v>0</v>
      </c>
      <c r="N24" s="470">
        <f t="shared" si="8"/>
        <v>0</v>
      </c>
      <c r="O24" s="470">
        <f t="shared" si="9"/>
        <v>0</v>
      </c>
      <c r="P24" s="470">
        <f t="shared" si="25"/>
        <v>0</v>
      </c>
      <c r="Q24" s="470">
        <f t="shared" si="26"/>
        <v>0</v>
      </c>
      <c r="R24" s="471">
        <f t="shared" si="27"/>
        <v>0</v>
      </c>
      <c r="S24" s="470">
        <f t="shared" si="10"/>
        <v>0</v>
      </c>
      <c r="T24" s="470">
        <f t="shared" si="11"/>
        <v>0</v>
      </c>
      <c r="U24" s="470">
        <f t="shared" si="12"/>
        <v>0</v>
      </c>
      <c r="V24" s="470">
        <f t="shared" si="13"/>
        <v>0</v>
      </c>
      <c r="W24" s="470">
        <f t="shared" si="14"/>
        <v>0</v>
      </c>
      <c r="X24" s="470">
        <f t="shared" si="28"/>
        <v>0</v>
      </c>
      <c r="Y24" s="472">
        <f t="shared" si="29"/>
        <v>0</v>
      </c>
      <c r="Z24" s="470" cm="1">
        <f t="array" ref="Z24">+INDEX(League!$BI$18:$CR$18,,MATCH(Calcs!A24,League!$BI$1:$CR$1,0))</f>
        <v>0</v>
      </c>
      <c r="AA24" s="470" cm="1">
        <f t="array" ref="AA24">+INDEX(League!$BI$27:$CR$27,,MATCH(Calcs!A24,League!$BI$1:$CR$1,0))</f>
        <v>0</v>
      </c>
      <c r="AB24" s="470" cm="1">
        <f t="array" ref="AB24">+INDEX(League!$BI$36:$CR$36,,MATCH(Calcs!A24,League!$BI$1:$CR$1,0))</f>
        <v>0</v>
      </c>
      <c r="AD24" s="470">
        <f t="shared" si="30"/>
        <v>1</v>
      </c>
      <c r="AF24" s="470" t="str">
        <f t="shared" si="31"/>
        <v>Pos. 1 (36)</v>
      </c>
      <c r="AH24" s="470">
        <f t="shared" si="15"/>
        <v>0</v>
      </c>
      <c r="AJ24" s="470">
        <f t="shared" si="16"/>
        <v>1</v>
      </c>
      <c r="AL24" s="470" t="str">
        <f t="shared" si="32"/>
        <v>Pos. 1 (36)</v>
      </c>
      <c r="AN24" s="470">
        <f t="shared" si="17"/>
        <v>0</v>
      </c>
      <c r="AP24" s="470">
        <f t="shared" si="33"/>
        <v>1</v>
      </c>
      <c r="AR24" s="470" t="str">
        <f t="shared" si="34"/>
        <v>Pos. 1 (36)</v>
      </c>
      <c r="AT24" s="470">
        <f t="shared" si="18"/>
        <v>0</v>
      </c>
      <c r="AV24" s="470">
        <f t="shared" si="35"/>
        <v>1</v>
      </c>
      <c r="AX24" s="470" t="str">
        <f t="shared" si="36"/>
        <v>Pos. 1 (36)</v>
      </c>
      <c r="AZ24" s="470">
        <f t="shared" si="19"/>
        <v>0</v>
      </c>
      <c r="BB24" s="470">
        <f t="shared" si="37"/>
        <v>1</v>
      </c>
      <c r="BD24" s="470" t="str">
        <f t="shared" si="38"/>
        <v>Pos. 1 (36)</v>
      </c>
      <c r="BF24" s="470">
        <f t="shared" si="20"/>
        <v>0</v>
      </c>
      <c r="BH24" s="470">
        <f t="shared" si="39"/>
        <v>1</v>
      </c>
      <c r="BJ24" s="470" t="str">
        <f t="shared" si="40"/>
        <v>Pos. 1 (36)</v>
      </c>
      <c r="BL24" s="470">
        <f t="shared" si="41"/>
        <v>0</v>
      </c>
      <c r="BN24" s="470">
        <f t="shared" si="42"/>
        <v>1</v>
      </c>
      <c r="BP24" s="470" t="str">
        <f t="shared" si="43"/>
        <v>Pos. 1 (36)</v>
      </c>
      <c r="BR24" s="470">
        <f t="shared" si="44"/>
        <v>0</v>
      </c>
      <c r="BT24" s="470">
        <f t="shared" si="45"/>
        <v>1</v>
      </c>
      <c r="BV24" s="470" t="str">
        <f t="shared" si="46"/>
        <v>Pos. 1 (36)</v>
      </c>
      <c r="BX24" s="470">
        <f t="shared" si="47"/>
        <v>0</v>
      </c>
      <c r="BZ24" s="470">
        <f t="shared" si="48"/>
        <v>1</v>
      </c>
      <c r="CB24" s="470" t="str">
        <f t="shared" si="49"/>
        <v>Pos. 1 (36)</v>
      </c>
      <c r="CD24" s="470">
        <f t="shared" si="21"/>
        <v>22</v>
      </c>
      <c r="CF24" s="470">
        <f t="shared" si="50"/>
        <v>23</v>
      </c>
      <c r="CH24" s="469">
        <f>IF(OR(INDEX(League!$AT$2:$AT$37,MATCH($A24,League!$AS$2:$AS$37,0))="",CB24="-"),CF24,INDEX(League!$AT$2:$AT$37,MATCH($A24,League!$AS$2:$AS$37,0))+ROW()/1000)</f>
        <v>23</v>
      </c>
      <c r="CI24" s="469">
        <f t="shared" si="51"/>
        <v>22</v>
      </c>
      <c r="CJ24" s="469">
        <f t="shared" si="52"/>
        <v>23</v>
      </c>
    </row>
    <row r="25" spans="1:88">
      <c r="A25" s="469" t="str">
        <f>TablaEquipos[[#This Row],[Team]]</f>
        <v>Porto</v>
      </c>
      <c r="B25" s="470">
        <f t="shared" si="22"/>
        <v>0</v>
      </c>
      <c r="C25" s="470">
        <f t="shared" si="0"/>
        <v>0</v>
      </c>
      <c r="D25" s="470">
        <f t="shared" si="1"/>
        <v>0</v>
      </c>
      <c r="E25" s="470">
        <f t="shared" si="2"/>
        <v>0</v>
      </c>
      <c r="F25" s="470">
        <f t="shared" si="3"/>
        <v>0</v>
      </c>
      <c r="G25" s="470">
        <f t="shared" si="4"/>
        <v>0</v>
      </c>
      <c r="H25" s="470">
        <f t="shared" si="23"/>
        <v>0</v>
      </c>
      <c r="I25" s="470">
        <f>C25*3+D25*1+E25*0+INDEX(League!$BA$2:$BA$37,MATCH(Calcs!A25,League!$AZ$2:$AZ$37,0))</f>
        <v>0</v>
      </c>
      <c r="J25" s="471">
        <f t="shared" si="24"/>
        <v>0</v>
      </c>
      <c r="K25" s="470">
        <f t="shared" si="5"/>
        <v>0</v>
      </c>
      <c r="L25" s="470">
        <f t="shared" si="6"/>
        <v>0</v>
      </c>
      <c r="M25" s="470">
        <f t="shared" si="7"/>
        <v>0</v>
      </c>
      <c r="N25" s="470">
        <f t="shared" si="8"/>
        <v>0</v>
      </c>
      <c r="O25" s="470">
        <f t="shared" si="9"/>
        <v>0</v>
      </c>
      <c r="P25" s="470">
        <f t="shared" si="25"/>
        <v>0</v>
      </c>
      <c r="Q25" s="470">
        <f t="shared" si="26"/>
        <v>0</v>
      </c>
      <c r="R25" s="471">
        <f t="shared" si="27"/>
        <v>0</v>
      </c>
      <c r="S25" s="470">
        <f t="shared" si="10"/>
        <v>0</v>
      </c>
      <c r="T25" s="470">
        <f t="shared" si="11"/>
        <v>0</v>
      </c>
      <c r="U25" s="470">
        <f t="shared" si="12"/>
        <v>0</v>
      </c>
      <c r="V25" s="470">
        <f t="shared" si="13"/>
        <v>0</v>
      </c>
      <c r="W25" s="470">
        <f t="shared" si="14"/>
        <v>0</v>
      </c>
      <c r="X25" s="470">
        <f t="shared" si="28"/>
        <v>0</v>
      </c>
      <c r="Y25" s="472">
        <f t="shared" si="29"/>
        <v>0</v>
      </c>
      <c r="Z25" s="470" cm="1">
        <f t="array" ref="Z25">+INDEX(League!$BI$18:$CR$18,,MATCH(Calcs!A25,League!$BI$1:$CR$1,0))</f>
        <v>0</v>
      </c>
      <c r="AA25" s="470" cm="1">
        <f t="array" ref="AA25">+INDEX(League!$BI$27:$CR$27,,MATCH(Calcs!A25,League!$BI$1:$CR$1,0))</f>
        <v>0</v>
      </c>
      <c r="AB25" s="470" cm="1">
        <f t="array" ref="AB25">+INDEX(League!$BI$36:$CR$36,,MATCH(Calcs!A25,League!$BI$1:$CR$1,0))</f>
        <v>0</v>
      </c>
      <c r="AD25" s="470">
        <f t="shared" si="30"/>
        <v>1</v>
      </c>
      <c r="AF25" s="470" t="str">
        <f t="shared" si="31"/>
        <v>Pos. 1 (36)</v>
      </c>
      <c r="AH25" s="470">
        <f t="shared" si="15"/>
        <v>0</v>
      </c>
      <c r="AJ25" s="470">
        <f t="shared" si="16"/>
        <v>1</v>
      </c>
      <c r="AL25" s="470" t="str">
        <f t="shared" si="32"/>
        <v>Pos. 1 (36)</v>
      </c>
      <c r="AN25" s="470">
        <f t="shared" si="17"/>
        <v>0</v>
      </c>
      <c r="AP25" s="470">
        <f t="shared" si="33"/>
        <v>1</v>
      </c>
      <c r="AR25" s="470" t="str">
        <f t="shared" si="34"/>
        <v>Pos. 1 (36)</v>
      </c>
      <c r="AT25" s="470">
        <f t="shared" si="18"/>
        <v>0</v>
      </c>
      <c r="AV25" s="470">
        <f t="shared" si="35"/>
        <v>1</v>
      </c>
      <c r="AX25" s="470" t="str">
        <f t="shared" si="36"/>
        <v>Pos. 1 (36)</v>
      </c>
      <c r="AZ25" s="470">
        <f t="shared" si="19"/>
        <v>0</v>
      </c>
      <c r="BB25" s="470">
        <f t="shared" si="37"/>
        <v>1</v>
      </c>
      <c r="BD25" s="470" t="str">
        <f t="shared" si="38"/>
        <v>Pos. 1 (36)</v>
      </c>
      <c r="BF25" s="470">
        <f t="shared" si="20"/>
        <v>0</v>
      </c>
      <c r="BH25" s="470">
        <f t="shared" si="39"/>
        <v>1</v>
      </c>
      <c r="BJ25" s="470" t="str">
        <f t="shared" si="40"/>
        <v>Pos. 1 (36)</v>
      </c>
      <c r="BL25" s="470">
        <f t="shared" si="41"/>
        <v>0</v>
      </c>
      <c r="BN25" s="470">
        <f t="shared" si="42"/>
        <v>1</v>
      </c>
      <c r="BP25" s="470" t="str">
        <f t="shared" si="43"/>
        <v>Pos. 1 (36)</v>
      </c>
      <c r="BR25" s="470">
        <f t="shared" si="44"/>
        <v>0</v>
      </c>
      <c r="BT25" s="470">
        <f t="shared" si="45"/>
        <v>1</v>
      </c>
      <c r="BV25" s="470" t="str">
        <f t="shared" si="46"/>
        <v>Pos. 1 (36)</v>
      </c>
      <c r="BX25" s="470">
        <f t="shared" si="47"/>
        <v>0</v>
      </c>
      <c r="BZ25" s="470">
        <f t="shared" si="48"/>
        <v>1</v>
      </c>
      <c r="CB25" s="470" t="str">
        <f t="shared" si="49"/>
        <v>Pos. 1 (36)</v>
      </c>
      <c r="CD25" s="470">
        <f t="shared" si="21"/>
        <v>23</v>
      </c>
      <c r="CF25" s="470">
        <f t="shared" si="50"/>
        <v>24</v>
      </c>
      <c r="CH25" s="469">
        <f>IF(OR(INDEX(League!$AT$2:$AT$37,MATCH($A25,League!$AS$2:$AS$37,0))="",CB25="-"),CF25,INDEX(League!$AT$2:$AT$37,MATCH($A25,League!$AS$2:$AS$37,0))+ROW()/1000)</f>
        <v>24</v>
      </c>
      <c r="CI25" s="469">
        <f t="shared" si="51"/>
        <v>23</v>
      </c>
      <c r="CJ25" s="469">
        <f t="shared" si="52"/>
        <v>24</v>
      </c>
    </row>
    <row r="26" spans="1:88">
      <c r="A26" s="469" t="str">
        <f>TablaEquipos[[#This Row],[Team]]</f>
        <v>PSG</v>
      </c>
      <c r="B26" s="470">
        <f t="shared" si="22"/>
        <v>0</v>
      </c>
      <c r="C26" s="470">
        <f t="shared" si="0"/>
        <v>0</v>
      </c>
      <c r="D26" s="470">
        <f t="shared" si="1"/>
        <v>0</v>
      </c>
      <c r="E26" s="470">
        <f t="shared" si="2"/>
        <v>0</v>
      </c>
      <c r="F26" s="470">
        <f t="shared" si="3"/>
        <v>0</v>
      </c>
      <c r="G26" s="470">
        <f t="shared" si="4"/>
        <v>0</v>
      </c>
      <c r="H26" s="470">
        <f t="shared" si="23"/>
        <v>0</v>
      </c>
      <c r="I26" s="470">
        <f>C26*3+D26*1+E26*0+INDEX(League!$BA$2:$BA$37,MATCH(Calcs!A26,League!$AZ$2:$AZ$37,0))</f>
        <v>0</v>
      </c>
      <c r="J26" s="471">
        <f t="shared" si="24"/>
        <v>0</v>
      </c>
      <c r="K26" s="470">
        <f t="shared" si="5"/>
        <v>0</v>
      </c>
      <c r="L26" s="470">
        <f t="shared" si="6"/>
        <v>0</v>
      </c>
      <c r="M26" s="470">
        <f t="shared" si="7"/>
        <v>0</v>
      </c>
      <c r="N26" s="470">
        <f t="shared" si="8"/>
        <v>0</v>
      </c>
      <c r="O26" s="470">
        <f t="shared" si="9"/>
        <v>0</v>
      </c>
      <c r="P26" s="470">
        <f t="shared" si="25"/>
        <v>0</v>
      </c>
      <c r="Q26" s="470">
        <f t="shared" si="26"/>
        <v>0</v>
      </c>
      <c r="R26" s="471">
        <f t="shared" si="27"/>
        <v>0</v>
      </c>
      <c r="S26" s="470">
        <f t="shared" si="10"/>
        <v>0</v>
      </c>
      <c r="T26" s="470">
        <f t="shared" si="11"/>
        <v>0</v>
      </c>
      <c r="U26" s="470">
        <f t="shared" si="12"/>
        <v>0</v>
      </c>
      <c r="V26" s="470">
        <f t="shared" si="13"/>
        <v>0</v>
      </c>
      <c r="W26" s="470">
        <f t="shared" si="14"/>
        <v>0</v>
      </c>
      <c r="X26" s="470">
        <f t="shared" si="28"/>
        <v>0</v>
      </c>
      <c r="Y26" s="472">
        <f t="shared" si="29"/>
        <v>0</v>
      </c>
      <c r="Z26" s="470" cm="1">
        <f t="array" ref="Z26">+INDEX(League!$BI$18:$CR$18,,MATCH(Calcs!A26,League!$BI$1:$CR$1,0))</f>
        <v>0</v>
      </c>
      <c r="AA26" s="470" cm="1">
        <f t="array" ref="AA26">+INDEX(League!$BI$27:$CR$27,,MATCH(Calcs!A26,League!$BI$1:$CR$1,0))</f>
        <v>0</v>
      </c>
      <c r="AB26" s="470" cm="1">
        <f t="array" ref="AB26">+INDEX(League!$BI$36:$CR$36,,MATCH(Calcs!A26,League!$BI$1:$CR$1,0))</f>
        <v>0</v>
      </c>
      <c r="AD26" s="470">
        <f t="shared" si="30"/>
        <v>1</v>
      </c>
      <c r="AF26" s="470" t="str">
        <f t="shared" si="31"/>
        <v>Pos. 1 (36)</v>
      </c>
      <c r="AH26" s="470">
        <f t="shared" si="15"/>
        <v>0</v>
      </c>
      <c r="AJ26" s="470">
        <f t="shared" si="16"/>
        <v>1</v>
      </c>
      <c r="AL26" s="470" t="str">
        <f t="shared" si="32"/>
        <v>Pos. 1 (36)</v>
      </c>
      <c r="AN26" s="470">
        <f t="shared" si="17"/>
        <v>0</v>
      </c>
      <c r="AP26" s="470">
        <f t="shared" si="33"/>
        <v>1</v>
      </c>
      <c r="AR26" s="470" t="str">
        <f t="shared" si="34"/>
        <v>Pos. 1 (36)</v>
      </c>
      <c r="AT26" s="470">
        <f t="shared" si="18"/>
        <v>0</v>
      </c>
      <c r="AV26" s="470">
        <f t="shared" si="35"/>
        <v>1</v>
      </c>
      <c r="AX26" s="470" t="str">
        <f t="shared" si="36"/>
        <v>Pos. 1 (36)</v>
      </c>
      <c r="AZ26" s="470">
        <f t="shared" si="19"/>
        <v>0</v>
      </c>
      <c r="BB26" s="470">
        <f t="shared" si="37"/>
        <v>1</v>
      </c>
      <c r="BD26" s="470" t="str">
        <f t="shared" si="38"/>
        <v>Pos. 1 (36)</v>
      </c>
      <c r="BF26" s="470">
        <f t="shared" si="20"/>
        <v>0</v>
      </c>
      <c r="BH26" s="470">
        <f t="shared" si="39"/>
        <v>1</v>
      </c>
      <c r="BJ26" s="470" t="str">
        <f t="shared" si="40"/>
        <v>Pos. 1 (36)</v>
      </c>
      <c r="BL26" s="470">
        <f t="shared" si="41"/>
        <v>0</v>
      </c>
      <c r="BN26" s="470">
        <f t="shared" si="42"/>
        <v>1</v>
      </c>
      <c r="BP26" s="470" t="str">
        <f t="shared" si="43"/>
        <v>Pos. 1 (36)</v>
      </c>
      <c r="BR26" s="470">
        <f t="shared" si="44"/>
        <v>0</v>
      </c>
      <c r="BT26" s="470">
        <f t="shared" si="45"/>
        <v>1</v>
      </c>
      <c r="BV26" s="470" t="str">
        <f t="shared" si="46"/>
        <v>Pos. 1 (36)</v>
      </c>
      <c r="BX26" s="470">
        <f t="shared" si="47"/>
        <v>0</v>
      </c>
      <c r="BZ26" s="470">
        <f t="shared" si="48"/>
        <v>1</v>
      </c>
      <c r="CB26" s="470" t="str">
        <f t="shared" si="49"/>
        <v>Pos. 1 (36)</v>
      </c>
      <c r="CD26" s="470">
        <f t="shared" si="21"/>
        <v>24</v>
      </c>
      <c r="CF26" s="470">
        <f t="shared" si="50"/>
        <v>25</v>
      </c>
      <c r="CH26" s="469">
        <f>IF(OR(INDEX(League!$AT$2:$AT$37,MATCH($A26,League!$AS$2:$AS$37,0))="",CB26="-"),CF26,INDEX(League!$AT$2:$AT$37,MATCH($A26,League!$AS$2:$AS$37,0))+ROW()/1000)</f>
        <v>25</v>
      </c>
      <c r="CI26" s="469">
        <f t="shared" si="51"/>
        <v>24</v>
      </c>
      <c r="CJ26" s="469">
        <f t="shared" si="52"/>
        <v>25</v>
      </c>
    </row>
    <row r="27" spans="1:88">
      <c r="A27" s="469" t="str">
        <f>TablaEquipos[[#This Row],[Team]]</f>
        <v>PSV Eindhoven</v>
      </c>
      <c r="B27" s="470">
        <f t="shared" si="22"/>
        <v>0</v>
      </c>
      <c r="C27" s="470">
        <f t="shared" si="0"/>
        <v>0</v>
      </c>
      <c r="D27" s="470">
        <f t="shared" si="1"/>
        <v>0</v>
      </c>
      <c r="E27" s="470">
        <f t="shared" si="2"/>
        <v>0</v>
      </c>
      <c r="F27" s="470">
        <f t="shared" si="3"/>
        <v>0</v>
      </c>
      <c r="G27" s="470">
        <f t="shared" si="4"/>
        <v>0</v>
      </c>
      <c r="H27" s="470">
        <f t="shared" si="23"/>
        <v>0</v>
      </c>
      <c r="I27" s="470">
        <f>C27*3+D27*1+E27*0+INDEX(League!$BA$2:$BA$37,MATCH(Calcs!A27,League!$AZ$2:$AZ$37,0))</f>
        <v>0</v>
      </c>
      <c r="J27" s="471">
        <f t="shared" si="24"/>
        <v>0</v>
      </c>
      <c r="K27" s="470">
        <f t="shared" si="5"/>
        <v>0</v>
      </c>
      <c r="L27" s="470">
        <f t="shared" si="6"/>
        <v>0</v>
      </c>
      <c r="M27" s="470">
        <f t="shared" si="7"/>
        <v>0</v>
      </c>
      <c r="N27" s="470">
        <f t="shared" si="8"/>
        <v>0</v>
      </c>
      <c r="O27" s="470">
        <f t="shared" si="9"/>
        <v>0</v>
      </c>
      <c r="P27" s="470">
        <f t="shared" si="25"/>
        <v>0</v>
      </c>
      <c r="Q27" s="470">
        <f t="shared" si="26"/>
        <v>0</v>
      </c>
      <c r="R27" s="471">
        <f t="shared" si="27"/>
        <v>0</v>
      </c>
      <c r="S27" s="470">
        <f t="shared" si="10"/>
        <v>0</v>
      </c>
      <c r="T27" s="470">
        <f t="shared" si="11"/>
        <v>0</v>
      </c>
      <c r="U27" s="470">
        <f t="shared" si="12"/>
        <v>0</v>
      </c>
      <c r="V27" s="470">
        <f t="shared" si="13"/>
        <v>0</v>
      </c>
      <c r="W27" s="470">
        <f t="shared" si="14"/>
        <v>0</v>
      </c>
      <c r="X27" s="470">
        <f t="shared" si="28"/>
        <v>0</v>
      </c>
      <c r="Y27" s="472">
        <f t="shared" si="29"/>
        <v>0</v>
      </c>
      <c r="Z27" s="470" cm="1">
        <f t="array" ref="Z27">+INDEX(League!$BI$18:$CR$18,,MATCH(Calcs!A27,League!$BI$1:$CR$1,0))</f>
        <v>0</v>
      </c>
      <c r="AA27" s="470" cm="1">
        <f t="array" ref="AA27">+INDEX(League!$BI$27:$CR$27,,MATCH(Calcs!A27,League!$BI$1:$CR$1,0))</f>
        <v>0</v>
      </c>
      <c r="AB27" s="470" cm="1">
        <f t="array" ref="AB27">+INDEX(League!$BI$36:$CR$36,,MATCH(Calcs!A27,League!$BI$1:$CR$1,0))</f>
        <v>0</v>
      </c>
      <c r="AD27" s="470">
        <f t="shared" si="30"/>
        <v>1</v>
      </c>
      <c r="AF27" s="470" t="str">
        <f t="shared" si="31"/>
        <v>Pos. 1 (36)</v>
      </c>
      <c r="AH27" s="470">
        <f t="shared" si="15"/>
        <v>0</v>
      </c>
      <c r="AJ27" s="470">
        <f t="shared" si="16"/>
        <v>1</v>
      </c>
      <c r="AL27" s="470" t="str">
        <f t="shared" si="32"/>
        <v>Pos. 1 (36)</v>
      </c>
      <c r="AN27" s="470">
        <f t="shared" si="17"/>
        <v>0</v>
      </c>
      <c r="AP27" s="470">
        <f t="shared" si="33"/>
        <v>1</v>
      </c>
      <c r="AR27" s="470" t="str">
        <f t="shared" si="34"/>
        <v>Pos. 1 (36)</v>
      </c>
      <c r="AT27" s="470">
        <f t="shared" si="18"/>
        <v>0</v>
      </c>
      <c r="AV27" s="470">
        <f t="shared" si="35"/>
        <v>1</v>
      </c>
      <c r="AX27" s="470" t="str">
        <f t="shared" si="36"/>
        <v>Pos. 1 (36)</v>
      </c>
      <c r="AZ27" s="470">
        <f t="shared" si="19"/>
        <v>0</v>
      </c>
      <c r="BB27" s="470">
        <f t="shared" si="37"/>
        <v>1</v>
      </c>
      <c r="BD27" s="470" t="str">
        <f t="shared" si="38"/>
        <v>Pos. 1 (36)</v>
      </c>
      <c r="BF27" s="470">
        <f t="shared" si="20"/>
        <v>0</v>
      </c>
      <c r="BH27" s="470">
        <f t="shared" si="39"/>
        <v>1</v>
      </c>
      <c r="BJ27" s="470" t="str">
        <f t="shared" si="40"/>
        <v>Pos. 1 (36)</v>
      </c>
      <c r="BL27" s="470">
        <f t="shared" si="41"/>
        <v>0</v>
      </c>
      <c r="BN27" s="470">
        <f t="shared" si="42"/>
        <v>1</v>
      </c>
      <c r="BP27" s="470" t="str">
        <f t="shared" si="43"/>
        <v>Pos. 1 (36)</v>
      </c>
      <c r="BR27" s="470">
        <f t="shared" si="44"/>
        <v>0</v>
      </c>
      <c r="BT27" s="470">
        <f t="shared" si="45"/>
        <v>1</v>
      </c>
      <c r="BV27" s="470" t="str">
        <f t="shared" si="46"/>
        <v>Pos. 1 (36)</v>
      </c>
      <c r="BX27" s="470">
        <f t="shared" si="47"/>
        <v>0</v>
      </c>
      <c r="BZ27" s="470">
        <f t="shared" si="48"/>
        <v>1</v>
      </c>
      <c r="CB27" s="470" t="str">
        <f t="shared" si="49"/>
        <v>Pos. 1 (36)</v>
      </c>
      <c r="CD27" s="470">
        <f t="shared" si="21"/>
        <v>25</v>
      </c>
      <c r="CF27" s="470">
        <f t="shared" si="50"/>
        <v>26</v>
      </c>
      <c r="CH27" s="469">
        <f>IF(OR(INDEX(League!$AT$2:$AT$37,MATCH($A27,League!$AS$2:$AS$37,0))="",CB27="-"),CF27,INDEX(League!$AT$2:$AT$37,MATCH($A27,League!$AS$2:$AS$37,0))+ROW()/1000)</f>
        <v>26</v>
      </c>
      <c r="CI27" s="469">
        <f t="shared" si="51"/>
        <v>25</v>
      </c>
      <c r="CJ27" s="469">
        <f t="shared" si="52"/>
        <v>26</v>
      </c>
    </row>
    <row r="28" spans="1:88">
      <c r="A28" s="469" t="str">
        <f>TablaEquipos[[#This Row],[Team]]</f>
        <v>Real Madrid</v>
      </c>
      <c r="B28" s="470">
        <f t="shared" si="22"/>
        <v>0</v>
      </c>
      <c r="C28" s="470">
        <f t="shared" si="0"/>
        <v>0</v>
      </c>
      <c r="D28" s="470">
        <f t="shared" si="1"/>
        <v>0</v>
      </c>
      <c r="E28" s="470">
        <f t="shared" si="2"/>
        <v>0</v>
      </c>
      <c r="F28" s="470">
        <f t="shared" si="3"/>
        <v>0</v>
      </c>
      <c r="G28" s="470">
        <f t="shared" si="4"/>
        <v>0</v>
      </c>
      <c r="H28" s="470">
        <f t="shared" si="23"/>
        <v>0</v>
      </c>
      <c r="I28" s="470">
        <f>C28*3+D28*1+E28*0+INDEX(League!$BA$2:$BA$37,MATCH(Calcs!A28,League!$AZ$2:$AZ$37,0))</f>
        <v>0</v>
      </c>
      <c r="J28" s="471">
        <f t="shared" si="24"/>
        <v>0</v>
      </c>
      <c r="K28" s="470">
        <f t="shared" si="5"/>
        <v>0</v>
      </c>
      <c r="L28" s="470">
        <f t="shared" si="6"/>
        <v>0</v>
      </c>
      <c r="M28" s="470">
        <f t="shared" si="7"/>
        <v>0</v>
      </c>
      <c r="N28" s="470">
        <f t="shared" si="8"/>
        <v>0</v>
      </c>
      <c r="O28" s="470">
        <f t="shared" si="9"/>
        <v>0</v>
      </c>
      <c r="P28" s="470">
        <f t="shared" si="25"/>
        <v>0</v>
      </c>
      <c r="Q28" s="470">
        <f t="shared" si="26"/>
        <v>0</v>
      </c>
      <c r="R28" s="471">
        <f t="shared" si="27"/>
        <v>0</v>
      </c>
      <c r="S28" s="470">
        <f t="shared" si="10"/>
        <v>0</v>
      </c>
      <c r="T28" s="470">
        <f t="shared" si="11"/>
        <v>0</v>
      </c>
      <c r="U28" s="470">
        <f t="shared" si="12"/>
        <v>0</v>
      </c>
      <c r="V28" s="470">
        <f t="shared" si="13"/>
        <v>0</v>
      </c>
      <c r="W28" s="470">
        <f t="shared" si="14"/>
        <v>0</v>
      </c>
      <c r="X28" s="470">
        <f t="shared" si="28"/>
        <v>0</v>
      </c>
      <c r="Y28" s="472">
        <f t="shared" si="29"/>
        <v>0</v>
      </c>
      <c r="Z28" s="470" cm="1">
        <f t="array" ref="Z28">+INDEX(League!$BI$18:$CR$18,,MATCH(Calcs!A28,League!$BI$1:$CR$1,0))</f>
        <v>0</v>
      </c>
      <c r="AA28" s="470" cm="1">
        <f t="array" ref="AA28">+INDEX(League!$BI$27:$CR$27,,MATCH(Calcs!A28,League!$BI$1:$CR$1,0))</f>
        <v>0</v>
      </c>
      <c r="AB28" s="470" cm="1">
        <f t="array" ref="AB28">+INDEX(League!$BI$36:$CR$36,,MATCH(Calcs!A28,League!$BI$1:$CR$1,0))</f>
        <v>0</v>
      </c>
      <c r="AD28" s="470">
        <f t="shared" si="30"/>
        <v>1</v>
      </c>
      <c r="AF28" s="470" t="str">
        <f t="shared" si="31"/>
        <v>Pos. 1 (36)</v>
      </c>
      <c r="AH28" s="470">
        <f t="shared" si="15"/>
        <v>0</v>
      </c>
      <c r="AJ28" s="470">
        <f t="shared" si="16"/>
        <v>1</v>
      </c>
      <c r="AL28" s="470" t="str">
        <f t="shared" si="32"/>
        <v>Pos. 1 (36)</v>
      </c>
      <c r="AN28" s="470">
        <f t="shared" si="17"/>
        <v>0</v>
      </c>
      <c r="AP28" s="470">
        <f t="shared" si="33"/>
        <v>1</v>
      </c>
      <c r="AR28" s="470" t="str">
        <f t="shared" si="34"/>
        <v>Pos. 1 (36)</v>
      </c>
      <c r="AT28" s="470">
        <f t="shared" si="18"/>
        <v>0</v>
      </c>
      <c r="AV28" s="470">
        <f t="shared" si="35"/>
        <v>1</v>
      </c>
      <c r="AX28" s="470" t="str">
        <f t="shared" si="36"/>
        <v>Pos. 1 (36)</v>
      </c>
      <c r="AZ28" s="470">
        <f t="shared" si="19"/>
        <v>0</v>
      </c>
      <c r="BB28" s="470">
        <f t="shared" si="37"/>
        <v>1</v>
      </c>
      <c r="BD28" s="470" t="str">
        <f t="shared" si="38"/>
        <v>Pos. 1 (36)</v>
      </c>
      <c r="BF28" s="470">
        <f t="shared" si="20"/>
        <v>0</v>
      </c>
      <c r="BH28" s="470">
        <f t="shared" si="39"/>
        <v>1</v>
      </c>
      <c r="BJ28" s="470" t="str">
        <f t="shared" si="40"/>
        <v>Pos. 1 (36)</v>
      </c>
      <c r="BL28" s="470">
        <f t="shared" si="41"/>
        <v>0</v>
      </c>
      <c r="BN28" s="470">
        <f t="shared" si="42"/>
        <v>1</v>
      </c>
      <c r="BP28" s="470" t="str">
        <f t="shared" si="43"/>
        <v>Pos. 1 (36)</v>
      </c>
      <c r="BR28" s="470">
        <f t="shared" si="44"/>
        <v>0</v>
      </c>
      <c r="BT28" s="470">
        <f t="shared" si="45"/>
        <v>1</v>
      </c>
      <c r="BV28" s="470" t="str">
        <f t="shared" si="46"/>
        <v>Pos. 1 (36)</v>
      </c>
      <c r="BX28" s="470">
        <f t="shared" si="47"/>
        <v>0</v>
      </c>
      <c r="BZ28" s="470">
        <f t="shared" si="48"/>
        <v>1</v>
      </c>
      <c r="CB28" s="470" t="str">
        <f t="shared" si="49"/>
        <v>Pos. 1 (36)</v>
      </c>
      <c r="CD28" s="470">
        <f t="shared" si="21"/>
        <v>26</v>
      </c>
      <c r="CF28" s="470">
        <f t="shared" si="50"/>
        <v>27</v>
      </c>
      <c r="CH28" s="469">
        <f>IF(OR(INDEX(League!$AT$2:$AT$37,MATCH($A28,League!$AS$2:$AS$37,0))="",CB28="-"),CF28,INDEX(League!$AT$2:$AT$37,MATCH($A28,League!$AS$2:$AS$37,0))+ROW()/1000)</f>
        <v>27</v>
      </c>
      <c r="CI28" s="469">
        <f t="shared" si="51"/>
        <v>26</v>
      </c>
      <c r="CJ28" s="469">
        <f t="shared" si="52"/>
        <v>27</v>
      </c>
    </row>
    <row r="29" spans="1:88">
      <c r="A29" s="469" t="str">
        <f>TablaEquipos[[#This Row],[Team]]</f>
        <v>Roma</v>
      </c>
      <c r="B29" s="470">
        <f t="shared" si="22"/>
        <v>0</v>
      </c>
      <c r="C29" s="470">
        <f t="shared" si="0"/>
        <v>0</v>
      </c>
      <c r="D29" s="470">
        <f t="shared" si="1"/>
        <v>0</v>
      </c>
      <c r="E29" s="470">
        <f t="shared" si="2"/>
        <v>0</v>
      </c>
      <c r="F29" s="470">
        <f t="shared" si="3"/>
        <v>0</v>
      </c>
      <c r="G29" s="470">
        <f t="shared" si="4"/>
        <v>0</v>
      </c>
      <c r="H29" s="470">
        <f t="shared" si="23"/>
        <v>0</v>
      </c>
      <c r="I29" s="470">
        <f>C29*3+D29*1+E29*0+INDEX(League!$BA$2:$BA$37,MATCH(Calcs!A29,League!$AZ$2:$AZ$37,0))</f>
        <v>0</v>
      </c>
      <c r="J29" s="471">
        <f t="shared" si="24"/>
        <v>0</v>
      </c>
      <c r="K29" s="470">
        <f t="shared" si="5"/>
        <v>0</v>
      </c>
      <c r="L29" s="470">
        <f t="shared" si="6"/>
        <v>0</v>
      </c>
      <c r="M29" s="470">
        <f t="shared" si="7"/>
        <v>0</v>
      </c>
      <c r="N29" s="470">
        <f t="shared" si="8"/>
        <v>0</v>
      </c>
      <c r="O29" s="470">
        <f t="shared" si="9"/>
        <v>0</v>
      </c>
      <c r="P29" s="470">
        <f t="shared" si="25"/>
        <v>0</v>
      </c>
      <c r="Q29" s="470">
        <f t="shared" si="26"/>
        <v>0</v>
      </c>
      <c r="R29" s="471">
        <f t="shared" si="27"/>
        <v>0</v>
      </c>
      <c r="S29" s="470">
        <f t="shared" si="10"/>
        <v>0</v>
      </c>
      <c r="T29" s="470">
        <f t="shared" si="11"/>
        <v>0</v>
      </c>
      <c r="U29" s="470">
        <f t="shared" si="12"/>
        <v>0</v>
      </c>
      <c r="V29" s="470">
        <f t="shared" si="13"/>
        <v>0</v>
      </c>
      <c r="W29" s="470">
        <f t="shared" si="14"/>
        <v>0</v>
      </c>
      <c r="X29" s="470">
        <f t="shared" si="28"/>
        <v>0</v>
      </c>
      <c r="Y29" s="472">
        <f t="shared" si="29"/>
        <v>0</v>
      </c>
      <c r="Z29" s="470" cm="1">
        <f t="array" ref="Z29">+INDEX(League!$BI$18:$CR$18,,MATCH(Calcs!A29,League!$BI$1:$CR$1,0))</f>
        <v>0</v>
      </c>
      <c r="AA29" s="470" cm="1">
        <f t="array" ref="AA29">+INDEX(League!$BI$27:$CR$27,,MATCH(Calcs!A29,League!$BI$1:$CR$1,0))</f>
        <v>0</v>
      </c>
      <c r="AB29" s="470" cm="1">
        <f t="array" ref="AB29">+INDEX(League!$BI$36:$CR$36,,MATCH(Calcs!A29,League!$BI$1:$CR$1,0))</f>
        <v>0</v>
      </c>
      <c r="AD29" s="470">
        <f t="shared" si="30"/>
        <v>1</v>
      </c>
      <c r="AF29" s="470" t="str">
        <f t="shared" si="31"/>
        <v>Pos. 1 (36)</v>
      </c>
      <c r="AH29" s="470">
        <f t="shared" si="15"/>
        <v>0</v>
      </c>
      <c r="AJ29" s="470">
        <f t="shared" si="16"/>
        <v>1</v>
      </c>
      <c r="AL29" s="470" t="str">
        <f t="shared" si="32"/>
        <v>Pos. 1 (36)</v>
      </c>
      <c r="AN29" s="470">
        <f t="shared" si="17"/>
        <v>0</v>
      </c>
      <c r="AP29" s="470">
        <f t="shared" si="33"/>
        <v>1</v>
      </c>
      <c r="AR29" s="470" t="str">
        <f t="shared" si="34"/>
        <v>Pos. 1 (36)</v>
      </c>
      <c r="AT29" s="470">
        <f t="shared" si="18"/>
        <v>0</v>
      </c>
      <c r="AV29" s="470">
        <f t="shared" si="35"/>
        <v>1</v>
      </c>
      <c r="AX29" s="470" t="str">
        <f t="shared" si="36"/>
        <v>Pos. 1 (36)</v>
      </c>
      <c r="AZ29" s="470">
        <f t="shared" si="19"/>
        <v>0</v>
      </c>
      <c r="BB29" s="470">
        <f t="shared" si="37"/>
        <v>1</v>
      </c>
      <c r="BD29" s="470" t="str">
        <f t="shared" si="38"/>
        <v>Pos. 1 (36)</v>
      </c>
      <c r="BF29" s="470">
        <f t="shared" si="20"/>
        <v>0</v>
      </c>
      <c r="BH29" s="470">
        <f t="shared" si="39"/>
        <v>1</v>
      </c>
      <c r="BJ29" s="470" t="str">
        <f t="shared" si="40"/>
        <v>Pos. 1 (36)</v>
      </c>
      <c r="BL29" s="470">
        <f t="shared" si="41"/>
        <v>0</v>
      </c>
      <c r="BN29" s="470">
        <f t="shared" si="42"/>
        <v>1</v>
      </c>
      <c r="BP29" s="470" t="str">
        <f t="shared" si="43"/>
        <v>Pos. 1 (36)</v>
      </c>
      <c r="BR29" s="470">
        <f t="shared" si="44"/>
        <v>0</v>
      </c>
      <c r="BT29" s="470">
        <f t="shared" si="45"/>
        <v>1</v>
      </c>
      <c r="BV29" s="470" t="str">
        <f t="shared" si="46"/>
        <v>Pos. 1 (36)</v>
      </c>
      <c r="BX29" s="470">
        <f t="shared" si="47"/>
        <v>0</v>
      </c>
      <c r="BZ29" s="470">
        <f t="shared" si="48"/>
        <v>1</v>
      </c>
      <c r="CB29" s="470" t="str">
        <f t="shared" si="49"/>
        <v>Pos. 1 (36)</v>
      </c>
      <c r="CD29" s="470">
        <f t="shared" si="21"/>
        <v>27</v>
      </c>
      <c r="CF29" s="470">
        <f t="shared" si="50"/>
        <v>28</v>
      </c>
      <c r="CH29" s="469">
        <f>IF(OR(INDEX(League!$AT$2:$AT$37,MATCH($A29,League!$AS$2:$AS$37,0))="",CB29="-"),CF29,INDEX(League!$AT$2:$AT$37,MATCH($A29,League!$AS$2:$AS$37,0))+ROW()/1000)</f>
        <v>28</v>
      </c>
      <c r="CI29" s="469">
        <f t="shared" si="51"/>
        <v>27</v>
      </c>
      <c r="CJ29" s="469">
        <f t="shared" si="52"/>
        <v>28</v>
      </c>
    </row>
    <row r="30" spans="1:88">
      <c r="A30" s="469" t="str">
        <f>TablaEquipos[[#This Row],[Team]]</f>
        <v>Sabah</v>
      </c>
      <c r="B30" s="470">
        <f t="shared" si="22"/>
        <v>0</v>
      </c>
      <c r="C30" s="470">
        <f t="shared" si="0"/>
        <v>0</v>
      </c>
      <c r="D30" s="470">
        <f t="shared" si="1"/>
        <v>0</v>
      </c>
      <c r="E30" s="470">
        <f t="shared" si="2"/>
        <v>0</v>
      </c>
      <c r="F30" s="470">
        <f t="shared" si="3"/>
        <v>0</v>
      </c>
      <c r="G30" s="470">
        <f t="shared" si="4"/>
        <v>0</v>
      </c>
      <c r="H30" s="470">
        <f t="shared" si="23"/>
        <v>0</v>
      </c>
      <c r="I30" s="470">
        <f>C30*3+D30*1+E30*0+INDEX(League!$BA$2:$BA$37,MATCH(Calcs!A30,League!$AZ$2:$AZ$37,0))</f>
        <v>0</v>
      </c>
      <c r="J30" s="471">
        <f t="shared" si="24"/>
        <v>0</v>
      </c>
      <c r="K30" s="470">
        <f t="shared" si="5"/>
        <v>0</v>
      </c>
      <c r="L30" s="470">
        <f t="shared" si="6"/>
        <v>0</v>
      </c>
      <c r="M30" s="470">
        <f t="shared" si="7"/>
        <v>0</v>
      </c>
      <c r="N30" s="470">
        <f t="shared" si="8"/>
        <v>0</v>
      </c>
      <c r="O30" s="470">
        <f t="shared" si="9"/>
        <v>0</v>
      </c>
      <c r="P30" s="470">
        <f t="shared" si="25"/>
        <v>0</v>
      </c>
      <c r="Q30" s="470">
        <f t="shared" si="26"/>
        <v>0</v>
      </c>
      <c r="R30" s="471">
        <f t="shared" si="27"/>
        <v>0</v>
      </c>
      <c r="S30" s="470">
        <f t="shared" si="10"/>
        <v>0</v>
      </c>
      <c r="T30" s="470">
        <f t="shared" si="11"/>
        <v>0</v>
      </c>
      <c r="U30" s="470">
        <f t="shared" si="12"/>
        <v>0</v>
      </c>
      <c r="V30" s="470">
        <f t="shared" si="13"/>
        <v>0</v>
      </c>
      <c r="W30" s="470">
        <f t="shared" si="14"/>
        <v>0</v>
      </c>
      <c r="X30" s="470">
        <f t="shared" si="28"/>
        <v>0</v>
      </c>
      <c r="Y30" s="472">
        <f t="shared" si="29"/>
        <v>0</v>
      </c>
      <c r="Z30" s="470" cm="1">
        <f t="array" ref="Z30">+INDEX(League!$BI$18:$CR$18,,MATCH(Calcs!A30,League!$BI$1:$CR$1,0))</f>
        <v>0</v>
      </c>
      <c r="AA30" s="470" cm="1">
        <f t="array" ref="AA30">+INDEX(League!$BI$27:$CR$27,,MATCH(Calcs!A30,League!$BI$1:$CR$1,0))</f>
        <v>0</v>
      </c>
      <c r="AB30" s="470" cm="1">
        <f t="array" ref="AB30">+INDEX(League!$BI$36:$CR$36,,MATCH(Calcs!A30,League!$BI$1:$CR$1,0))</f>
        <v>0</v>
      </c>
      <c r="AD30" s="470">
        <f t="shared" si="30"/>
        <v>1</v>
      </c>
      <c r="AF30" s="470" t="str">
        <f t="shared" si="31"/>
        <v>Pos. 1 (36)</v>
      </c>
      <c r="AH30" s="470">
        <f t="shared" si="15"/>
        <v>0</v>
      </c>
      <c r="AJ30" s="470">
        <f t="shared" si="16"/>
        <v>1</v>
      </c>
      <c r="AL30" s="470" t="str">
        <f t="shared" si="32"/>
        <v>Pos. 1 (36)</v>
      </c>
      <c r="AN30" s="470">
        <f t="shared" si="17"/>
        <v>0</v>
      </c>
      <c r="AP30" s="470">
        <f t="shared" si="33"/>
        <v>1</v>
      </c>
      <c r="AR30" s="470" t="str">
        <f t="shared" si="34"/>
        <v>Pos. 1 (36)</v>
      </c>
      <c r="AT30" s="470">
        <f t="shared" si="18"/>
        <v>0</v>
      </c>
      <c r="AV30" s="470">
        <f t="shared" si="35"/>
        <v>1</v>
      </c>
      <c r="AX30" s="470" t="str">
        <f t="shared" si="36"/>
        <v>Pos. 1 (36)</v>
      </c>
      <c r="AZ30" s="470">
        <f t="shared" si="19"/>
        <v>0</v>
      </c>
      <c r="BB30" s="470">
        <f t="shared" si="37"/>
        <v>1</v>
      </c>
      <c r="BD30" s="470" t="str">
        <f t="shared" si="38"/>
        <v>Pos. 1 (36)</v>
      </c>
      <c r="BF30" s="470">
        <f t="shared" si="20"/>
        <v>0</v>
      </c>
      <c r="BH30" s="470">
        <f t="shared" si="39"/>
        <v>1</v>
      </c>
      <c r="BJ30" s="470" t="str">
        <f t="shared" si="40"/>
        <v>Pos. 1 (36)</v>
      </c>
      <c r="BL30" s="470">
        <f t="shared" si="41"/>
        <v>0</v>
      </c>
      <c r="BN30" s="470">
        <f t="shared" si="42"/>
        <v>1</v>
      </c>
      <c r="BP30" s="470" t="str">
        <f t="shared" si="43"/>
        <v>Pos. 1 (36)</v>
      </c>
      <c r="BR30" s="470">
        <f t="shared" si="44"/>
        <v>0</v>
      </c>
      <c r="BT30" s="470">
        <f t="shared" si="45"/>
        <v>1</v>
      </c>
      <c r="BV30" s="470" t="str">
        <f t="shared" si="46"/>
        <v>Pos. 1 (36)</v>
      </c>
      <c r="BX30" s="470">
        <f t="shared" si="47"/>
        <v>0</v>
      </c>
      <c r="BZ30" s="470">
        <f t="shared" si="48"/>
        <v>1</v>
      </c>
      <c r="CB30" s="470" t="str">
        <f t="shared" si="49"/>
        <v>Pos. 1 (36)</v>
      </c>
      <c r="CD30" s="470">
        <f t="shared" si="21"/>
        <v>28</v>
      </c>
      <c r="CF30" s="470">
        <f t="shared" si="50"/>
        <v>29</v>
      </c>
      <c r="CH30" s="469">
        <f>IF(OR(INDEX(League!$AT$2:$AT$37,MATCH($A30,League!$AS$2:$AS$37,0))="",CB30="-"),CF30,INDEX(League!$AT$2:$AT$37,MATCH($A30,League!$AS$2:$AS$37,0))+ROW()/1000)</f>
        <v>29</v>
      </c>
      <c r="CI30" s="469">
        <f t="shared" si="51"/>
        <v>28</v>
      </c>
      <c r="CJ30" s="469">
        <f t="shared" si="52"/>
        <v>29</v>
      </c>
    </row>
    <row r="31" spans="1:88">
      <c r="A31" s="469" t="str">
        <f>TablaEquipos[[#This Row],[Team]]</f>
        <v>Shakhtar Donetsk</v>
      </c>
      <c r="B31" s="470">
        <f t="shared" si="22"/>
        <v>0</v>
      </c>
      <c r="C31" s="470">
        <f t="shared" si="0"/>
        <v>0</v>
      </c>
      <c r="D31" s="470">
        <f t="shared" si="1"/>
        <v>0</v>
      </c>
      <c r="E31" s="470">
        <f t="shared" si="2"/>
        <v>0</v>
      </c>
      <c r="F31" s="470">
        <f t="shared" si="3"/>
        <v>0</v>
      </c>
      <c r="G31" s="470">
        <f t="shared" si="4"/>
        <v>0</v>
      </c>
      <c r="H31" s="470">
        <f t="shared" si="23"/>
        <v>0</v>
      </c>
      <c r="I31" s="470">
        <f>C31*3+D31*1+E31*0+INDEX(League!$BA$2:$BA$37,MATCH(Calcs!A31,League!$AZ$2:$AZ$37,0))</f>
        <v>0</v>
      </c>
      <c r="J31" s="471">
        <f t="shared" si="24"/>
        <v>0</v>
      </c>
      <c r="K31" s="470">
        <f t="shared" si="5"/>
        <v>0</v>
      </c>
      <c r="L31" s="470">
        <f t="shared" si="6"/>
        <v>0</v>
      </c>
      <c r="M31" s="470">
        <f t="shared" si="7"/>
        <v>0</v>
      </c>
      <c r="N31" s="470">
        <f t="shared" si="8"/>
        <v>0</v>
      </c>
      <c r="O31" s="470">
        <f t="shared" si="9"/>
        <v>0</v>
      </c>
      <c r="P31" s="470">
        <f t="shared" si="25"/>
        <v>0</v>
      </c>
      <c r="Q31" s="470">
        <f t="shared" si="26"/>
        <v>0</v>
      </c>
      <c r="R31" s="471">
        <f t="shared" si="27"/>
        <v>0</v>
      </c>
      <c r="S31" s="470">
        <f t="shared" si="10"/>
        <v>0</v>
      </c>
      <c r="T31" s="470">
        <f t="shared" si="11"/>
        <v>0</v>
      </c>
      <c r="U31" s="470">
        <f t="shared" si="12"/>
        <v>0</v>
      </c>
      <c r="V31" s="470">
        <f t="shared" si="13"/>
        <v>0</v>
      </c>
      <c r="W31" s="470">
        <f t="shared" si="14"/>
        <v>0</v>
      </c>
      <c r="X31" s="470">
        <f t="shared" si="28"/>
        <v>0</v>
      </c>
      <c r="Y31" s="472">
        <f t="shared" si="29"/>
        <v>0</v>
      </c>
      <c r="Z31" s="470" cm="1">
        <f t="array" ref="Z31">+INDEX(League!$BI$18:$CR$18,,MATCH(Calcs!A31,League!$BI$1:$CR$1,0))</f>
        <v>0</v>
      </c>
      <c r="AA31" s="470" cm="1">
        <f t="array" ref="AA31">+INDEX(League!$BI$27:$CR$27,,MATCH(Calcs!A31,League!$BI$1:$CR$1,0))</f>
        <v>0</v>
      </c>
      <c r="AB31" s="470" cm="1">
        <f t="array" ref="AB31">+INDEX(League!$BI$36:$CR$36,,MATCH(Calcs!A31,League!$BI$1:$CR$1,0))</f>
        <v>0</v>
      </c>
      <c r="AD31" s="470">
        <f t="shared" si="30"/>
        <v>1</v>
      </c>
      <c r="AF31" s="470" t="str">
        <f t="shared" si="31"/>
        <v>Pos. 1 (36)</v>
      </c>
      <c r="AH31" s="470">
        <f t="shared" si="15"/>
        <v>0</v>
      </c>
      <c r="AJ31" s="470">
        <f t="shared" si="16"/>
        <v>1</v>
      </c>
      <c r="AL31" s="470" t="str">
        <f t="shared" si="32"/>
        <v>Pos. 1 (36)</v>
      </c>
      <c r="AN31" s="470">
        <f t="shared" si="17"/>
        <v>0</v>
      </c>
      <c r="AP31" s="470">
        <f t="shared" si="33"/>
        <v>1</v>
      </c>
      <c r="AR31" s="470" t="str">
        <f t="shared" si="34"/>
        <v>Pos. 1 (36)</v>
      </c>
      <c r="AT31" s="470">
        <f t="shared" si="18"/>
        <v>0</v>
      </c>
      <c r="AV31" s="470">
        <f t="shared" si="35"/>
        <v>1</v>
      </c>
      <c r="AX31" s="470" t="str">
        <f t="shared" si="36"/>
        <v>Pos. 1 (36)</v>
      </c>
      <c r="AZ31" s="470">
        <f t="shared" si="19"/>
        <v>0</v>
      </c>
      <c r="BB31" s="470">
        <f t="shared" si="37"/>
        <v>1</v>
      </c>
      <c r="BD31" s="470" t="str">
        <f t="shared" si="38"/>
        <v>Pos. 1 (36)</v>
      </c>
      <c r="BF31" s="470">
        <f t="shared" si="20"/>
        <v>0</v>
      </c>
      <c r="BH31" s="470">
        <f t="shared" si="39"/>
        <v>1</v>
      </c>
      <c r="BJ31" s="470" t="str">
        <f t="shared" si="40"/>
        <v>Pos. 1 (36)</v>
      </c>
      <c r="BL31" s="470">
        <f t="shared" si="41"/>
        <v>0</v>
      </c>
      <c r="BN31" s="470">
        <f t="shared" si="42"/>
        <v>1</v>
      </c>
      <c r="BP31" s="470" t="str">
        <f t="shared" si="43"/>
        <v>Pos. 1 (36)</v>
      </c>
      <c r="BR31" s="470">
        <f t="shared" si="44"/>
        <v>0</v>
      </c>
      <c r="BT31" s="470">
        <f t="shared" si="45"/>
        <v>1</v>
      </c>
      <c r="BV31" s="470" t="str">
        <f t="shared" si="46"/>
        <v>Pos. 1 (36)</v>
      </c>
      <c r="BX31" s="470">
        <f t="shared" si="47"/>
        <v>0</v>
      </c>
      <c r="BZ31" s="470">
        <f t="shared" si="48"/>
        <v>1</v>
      </c>
      <c r="CB31" s="470" t="str">
        <f t="shared" si="49"/>
        <v>Pos. 1 (36)</v>
      </c>
      <c r="CD31" s="470">
        <f t="shared" si="21"/>
        <v>29</v>
      </c>
      <c r="CF31" s="470">
        <f t="shared" si="50"/>
        <v>30</v>
      </c>
      <c r="CH31" s="469">
        <f>IF(OR(INDEX(League!$AT$2:$AT$37,MATCH($A31,League!$AS$2:$AS$37,0))="",CB31="-"),CF31,INDEX(League!$AT$2:$AT$37,MATCH($A31,League!$AS$2:$AS$37,0))+ROW()/1000)</f>
        <v>30</v>
      </c>
      <c r="CI31" s="469">
        <f t="shared" si="51"/>
        <v>29</v>
      </c>
      <c r="CJ31" s="469">
        <f t="shared" si="52"/>
        <v>30</v>
      </c>
    </row>
    <row r="32" spans="1:88">
      <c r="A32" s="469" t="str">
        <f>TablaEquipos[[#This Row],[Team]]</f>
        <v>Slavia Praha</v>
      </c>
      <c r="B32" s="470">
        <f t="shared" si="22"/>
        <v>0</v>
      </c>
      <c r="C32" s="470">
        <f t="shared" si="0"/>
        <v>0</v>
      </c>
      <c r="D32" s="470">
        <f t="shared" si="1"/>
        <v>0</v>
      </c>
      <c r="E32" s="470">
        <f t="shared" si="2"/>
        <v>0</v>
      </c>
      <c r="F32" s="470">
        <f t="shared" si="3"/>
        <v>0</v>
      </c>
      <c r="G32" s="470">
        <f t="shared" si="4"/>
        <v>0</v>
      </c>
      <c r="H32" s="470">
        <f t="shared" si="23"/>
        <v>0</v>
      </c>
      <c r="I32" s="470">
        <f>C32*3+D32*1+E32*0+INDEX(League!$BA$2:$BA$37,MATCH(Calcs!A32,League!$AZ$2:$AZ$37,0))</f>
        <v>0</v>
      </c>
      <c r="J32" s="471">
        <f t="shared" si="24"/>
        <v>0</v>
      </c>
      <c r="K32" s="470">
        <f t="shared" si="5"/>
        <v>0</v>
      </c>
      <c r="L32" s="470">
        <f t="shared" si="6"/>
        <v>0</v>
      </c>
      <c r="M32" s="470">
        <f t="shared" si="7"/>
        <v>0</v>
      </c>
      <c r="N32" s="470">
        <f t="shared" si="8"/>
        <v>0</v>
      </c>
      <c r="O32" s="470">
        <f t="shared" si="9"/>
        <v>0</v>
      </c>
      <c r="P32" s="470">
        <f t="shared" si="25"/>
        <v>0</v>
      </c>
      <c r="Q32" s="470">
        <f t="shared" si="26"/>
        <v>0</v>
      </c>
      <c r="R32" s="471">
        <f t="shared" si="27"/>
        <v>0</v>
      </c>
      <c r="S32" s="470">
        <f t="shared" si="10"/>
        <v>0</v>
      </c>
      <c r="T32" s="470">
        <f t="shared" si="11"/>
        <v>0</v>
      </c>
      <c r="U32" s="470">
        <f t="shared" si="12"/>
        <v>0</v>
      </c>
      <c r="V32" s="470">
        <f t="shared" si="13"/>
        <v>0</v>
      </c>
      <c r="W32" s="470">
        <f t="shared" si="14"/>
        <v>0</v>
      </c>
      <c r="X32" s="470">
        <f t="shared" si="28"/>
        <v>0</v>
      </c>
      <c r="Y32" s="472">
        <f t="shared" si="29"/>
        <v>0</v>
      </c>
      <c r="Z32" s="470" cm="1">
        <f t="array" ref="Z32">+INDEX(League!$BI$18:$CR$18,,MATCH(Calcs!A32,League!$BI$1:$CR$1,0))</f>
        <v>0</v>
      </c>
      <c r="AA32" s="470" cm="1">
        <f t="array" ref="AA32">+INDEX(League!$BI$27:$CR$27,,MATCH(Calcs!A32,League!$BI$1:$CR$1,0))</f>
        <v>0</v>
      </c>
      <c r="AB32" s="470" cm="1">
        <f t="array" ref="AB32">+INDEX(League!$BI$36:$CR$36,,MATCH(Calcs!A32,League!$BI$1:$CR$1,0))</f>
        <v>0</v>
      </c>
      <c r="AD32" s="470">
        <f t="shared" si="30"/>
        <v>1</v>
      </c>
      <c r="AF32" s="470" t="str">
        <f t="shared" si="31"/>
        <v>Pos. 1 (36)</v>
      </c>
      <c r="AH32" s="470">
        <f t="shared" si="15"/>
        <v>0</v>
      </c>
      <c r="AJ32" s="470">
        <f t="shared" si="16"/>
        <v>1</v>
      </c>
      <c r="AL32" s="470" t="str">
        <f t="shared" si="32"/>
        <v>Pos. 1 (36)</v>
      </c>
      <c r="AN32" s="470">
        <f t="shared" si="17"/>
        <v>0</v>
      </c>
      <c r="AP32" s="470">
        <f t="shared" si="33"/>
        <v>1</v>
      </c>
      <c r="AR32" s="470" t="str">
        <f t="shared" si="34"/>
        <v>Pos. 1 (36)</v>
      </c>
      <c r="AT32" s="470">
        <f t="shared" si="18"/>
        <v>0</v>
      </c>
      <c r="AV32" s="470">
        <f t="shared" si="35"/>
        <v>1</v>
      </c>
      <c r="AX32" s="470" t="str">
        <f t="shared" si="36"/>
        <v>Pos. 1 (36)</v>
      </c>
      <c r="AZ32" s="470">
        <f t="shared" si="19"/>
        <v>0</v>
      </c>
      <c r="BB32" s="470">
        <f t="shared" si="37"/>
        <v>1</v>
      </c>
      <c r="BD32" s="470" t="str">
        <f t="shared" si="38"/>
        <v>Pos. 1 (36)</v>
      </c>
      <c r="BF32" s="470">
        <f t="shared" si="20"/>
        <v>0</v>
      </c>
      <c r="BH32" s="470">
        <f t="shared" si="39"/>
        <v>1</v>
      </c>
      <c r="BJ32" s="470" t="str">
        <f t="shared" si="40"/>
        <v>Pos. 1 (36)</v>
      </c>
      <c r="BL32" s="470">
        <f t="shared" si="41"/>
        <v>0</v>
      </c>
      <c r="BN32" s="470">
        <f t="shared" si="42"/>
        <v>1</v>
      </c>
      <c r="BP32" s="470" t="str">
        <f t="shared" si="43"/>
        <v>Pos. 1 (36)</v>
      </c>
      <c r="BR32" s="470">
        <f t="shared" si="44"/>
        <v>0</v>
      </c>
      <c r="BT32" s="470">
        <f t="shared" si="45"/>
        <v>1</v>
      </c>
      <c r="BV32" s="470" t="str">
        <f t="shared" si="46"/>
        <v>Pos. 1 (36)</v>
      </c>
      <c r="BX32" s="470">
        <f t="shared" si="47"/>
        <v>0</v>
      </c>
      <c r="BZ32" s="470">
        <f t="shared" si="48"/>
        <v>1</v>
      </c>
      <c r="CB32" s="470" t="str">
        <f t="shared" si="49"/>
        <v>Pos. 1 (36)</v>
      </c>
      <c r="CD32" s="470">
        <f t="shared" si="21"/>
        <v>30</v>
      </c>
      <c r="CF32" s="470">
        <f t="shared" si="50"/>
        <v>31</v>
      </c>
      <c r="CH32" s="469">
        <f>IF(OR(INDEX(League!$AT$2:$AT$37,MATCH($A32,League!$AS$2:$AS$37,0))="",CB32="-"),CF32,INDEX(League!$AT$2:$AT$37,MATCH($A32,League!$AS$2:$AS$37,0))+ROW()/1000)</f>
        <v>31</v>
      </c>
      <c r="CI32" s="469">
        <f t="shared" si="51"/>
        <v>30</v>
      </c>
      <c r="CJ32" s="469">
        <f t="shared" si="52"/>
        <v>31</v>
      </c>
    </row>
    <row r="33" spans="1:88">
      <c r="A33" s="469" t="str">
        <f>TablaEquipos[[#This Row],[Team]]</f>
        <v>Slovan Bratislava </v>
      </c>
      <c r="B33" s="470">
        <f t="shared" si="22"/>
        <v>0</v>
      </c>
      <c r="C33" s="470">
        <f t="shared" si="0"/>
        <v>0</v>
      </c>
      <c r="D33" s="470">
        <f t="shared" si="1"/>
        <v>0</v>
      </c>
      <c r="E33" s="470">
        <f t="shared" si="2"/>
        <v>0</v>
      </c>
      <c r="F33" s="470">
        <f t="shared" si="3"/>
        <v>0</v>
      </c>
      <c r="G33" s="470">
        <f t="shared" si="4"/>
        <v>0</v>
      </c>
      <c r="H33" s="470">
        <f t="shared" si="23"/>
        <v>0</v>
      </c>
      <c r="I33" s="470">
        <f>C33*3+D33*1+E33*0+INDEX(League!$BA$2:$BA$37,MATCH(Calcs!A33,League!$AZ$2:$AZ$37,0))</f>
        <v>0</v>
      </c>
      <c r="J33" s="471">
        <f t="shared" si="24"/>
        <v>0</v>
      </c>
      <c r="K33" s="470">
        <f t="shared" si="5"/>
        <v>0</v>
      </c>
      <c r="L33" s="470">
        <f t="shared" si="6"/>
        <v>0</v>
      </c>
      <c r="M33" s="470">
        <f t="shared" si="7"/>
        <v>0</v>
      </c>
      <c r="N33" s="470">
        <f t="shared" si="8"/>
        <v>0</v>
      </c>
      <c r="O33" s="470">
        <f t="shared" si="9"/>
        <v>0</v>
      </c>
      <c r="P33" s="470">
        <f t="shared" si="25"/>
        <v>0</v>
      </c>
      <c r="Q33" s="470">
        <f t="shared" si="26"/>
        <v>0</v>
      </c>
      <c r="R33" s="471">
        <f t="shared" si="27"/>
        <v>0</v>
      </c>
      <c r="S33" s="470">
        <f t="shared" si="10"/>
        <v>0</v>
      </c>
      <c r="T33" s="470">
        <f t="shared" si="11"/>
        <v>0</v>
      </c>
      <c r="U33" s="470">
        <f t="shared" si="12"/>
        <v>0</v>
      </c>
      <c r="V33" s="470">
        <f t="shared" si="13"/>
        <v>0</v>
      </c>
      <c r="W33" s="470">
        <f t="shared" si="14"/>
        <v>0</v>
      </c>
      <c r="X33" s="470">
        <f t="shared" si="28"/>
        <v>0</v>
      </c>
      <c r="Y33" s="472">
        <f t="shared" si="29"/>
        <v>0</v>
      </c>
      <c r="Z33" s="470" cm="1">
        <f t="array" ref="Z33">+INDEX(League!$BI$18:$CR$18,,MATCH(Calcs!A33,League!$BI$1:$CR$1,0))</f>
        <v>0</v>
      </c>
      <c r="AA33" s="470" cm="1">
        <f t="array" ref="AA33">+INDEX(League!$BI$27:$CR$27,,MATCH(Calcs!A33,League!$BI$1:$CR$1,0))</f>
        <v>0</v>
      </c>
      <c r="AB33" s="470" cm="1">
        <f t="array" ref="AB33">+INDEX(League!$BI$36:$CR$36,,MATCH(Calcs!A33,League!$BI$1:$CR$1,0))</f>
        <v>0</v>
      </c>
      <c r="AD33" s="470">
        <f t="shared" si="30"/>
        <v>1</v>
      </c>
      <c r="AF33" s="470" t="str">
        <f t="shared" si="31"/>
        <v>Pos. 1 (36)</v>
      </c>
      <c r="AH33" s="470">
        <f t="shared" si="15"/>
        <v>0</v>
      </c>
      <c r="AJ33" s="470">
        <f t="shared" si="16"/>
        <v>1</v>
      </c>
      <c r="AL33" s="470" t="str">
        <f t="shared" si="32"/>
        <v>Pos. 1 (36)</v>
      </c>
      <c r="AN33" s="470">
        <f t="shared" si="17"/>
        <v>0</v>
      </c>
      <c r="AP33" s="470">
        <f t="shared" si="33"/>
        <v>1</v>
      </c>
      <c r="AR33" s="470" t="str">
        <f t="shared" si="34"/>
        <v>Pos. 1 (36)</v>
      </c>
      <c r="AT33" s="470">
        <f t="shared" si="18"/>
        <v>0</v>
      </c>
      <c r="AV33" s="470">
        <f t="shared" si="35"/>
        <v>1</v>
      </c>
      <c r="AX33" s="470" t="str">
        <f t="shared" si="36"/>
        <v>Pos. 1 (36)</v>
      </c>
      <c r="AZ33" s="470">
        <f t="shared" si="19"/>
        <v>0</v>
      </c>
      <c r="BB33" s="470">
        <f t="shared" si="37"/>
        <v>1</v>
      </c>
      <c r="BD33" s="470" t="str">
        <f t="shared" si="38"/>
        <v>Pos. 1 (36)</v>
      </c>
      <c r="BF33" s="470">
        <f t="shared" si="20"/>
        <v>0</v>
      </c>
      <c r="BH33" s="470">
        <f t="shared" si="39"/>
        <v>1</v>
      </c>
      <c r="BJ33" s="470" t="str">
        <f t="shared" si="40"/>
        <v>Pos. 1 (36)</v>
      </c>
      <c r="BL33" s="470">
        <f t="shared" si="41"/>
        <v>0</v>
      </c>
      <c r="BN33" s="470">
        <f t="shared" si="42"/>
        <v>1</v>
      </c>
      <c r="BP33" s="470" t="str">
        <f t="shared" si="43"/>
        <v>Pos. 1 (36)</v>
      </c>
      <c r="BR33" s="470">
        <f t="shared" si="44"/>
        <v>0</v>
      </c>
      <c r="BT33" s="470">
        <f t="shared" si="45"/>
        <v>1</v>
      </c>
      <c r="BV33" s="470" t="str">
        <f t="shared" si="46"/>
        <v>Pos. 1 (36)</v>
      </c>
      <c r="BX33" s="470">
        <f t="shared" si="47"/>
        <v>0</v>
      </c>
      <c r="BZ33" s="470">
        <f t="shared" si="48"/>
        <v>1</v>
      </c>
      <c r="CB33" s="470" t="str">
        <f t="shared" si="49"/>
        <v>Pos. 1 (36)</v>
      </c>
      <c r="CD33" s="470">
        <f t="shared" si="21"/>
        <v>31</v>
      </c>
      <c r="CF33" s="470">
        <f t="shared" si="50"/>
        <v>32</v>
      </c>
      <c r="CH33" s="469">
        <f>IF(OR(INDEX(League!$AT$2:$AT$37,MATCH($A33,League!$AS$2:$AS$37,0))="",CB33="-"),CF33,INDEX(League!$AT$2:$AT$37,MATCH($A33,League!$AS$2:$AS$37,0))+ROW()/1000)</f>
        <v>32</v>
      </c>
      <c r="CI33" s="469">
        <f t="shared" si="51"/>
        <v>31</v>
      </c>
      <c r="CJ33" s="469">
        <f t="shared" si="52"/>
        <v>32</v>
      </c>
    </row>
    <row r="34" spans="1:88">
      <c r="A34" s="469" t="str">
        <f>TablaEquipos[[#This Row],[Team]]</f>
        <v>Sporting Portugal</v>
      </c>
      <c r="B34" s="470">
        <f t="shared" si="22"/>
        <v>0</v>
      </c>
      <c r="C34" s="470">
        <f t="shared" si="0"/>
        <v>0</v>
      </c>
      <c r="D34" s="470">
        <f t="shared" si="1"/>
        <v>0</v>
      </c>
      <c r="E34" s="470">
        <f t="shared" si="2"/>
        <v>0</v>
      </c>
      <c r="F34" s="470">
        <f t="shared" si="3"/>
        <v>0</v>
      </c>
      <c r="G34" s="470">
        <f t="shared" si="4"/>
        <v>0</v>
      </c>
      <c r="H34" s="470">
        <f t="shared" si="23"/>
        <v>0</v>
      </c>
      <c r="I34" s="470">
        <f>C34*3+D34*1+E34*0+INDEX(League!$BA$2:$BA$37,MATCH(Calcs!A34,League!$AZ$2:$AZ$37,0))</f>
        <v>0</v>
      </c>
      <c r="J34" s="471">
        <f t="shared" si="24"/>
        <v>0</v>
      </c>
      <c r="K34" s="470">
        <f t="shared" si="5"/>
        <v>0</v>
      </c>
      <c r="L34" s="470">
        <f t="shared" si="6"/>
        <v>0</v>
      </c>
      <c r="M34" s="470">
        <f t="shared" si="7"/>
        <v>0</v>
      </c>
      <c r="N34" s="470">
        <f t="shared" si="8"/>
        <v>0</v>
      </c>
      <c r="O34" s="470">
        <f t="shared" si="9"/>
        <v>0</v>
      </c>
      <c r="P34" s="470">
        <f t="shared" si="25"/>
        <v>0</v>
      </c>
      <c r="Q34" s="470">
        <f t="shared" si="26"/>
        <v>0</v>
      </c>
      <c r="R34" s="471">
        <f t="shared" si="27"/>
        <v>0</v>
      </c>
      <c r="S34" s="470">
        <f t="shared" si="10"/>
        <v>0</v>
      </c>
      <c r="T34" s="470">
        <f t="shared" si="11"/>
        <v>0</v>
      </c>
      <c r="U34" s="470">
        <f t="shared" si="12"/>
        <v>0</v>
      </c>
      <c r="V34" s="470">
        <f t="shared" si="13"/>
        <v>0</v>
      </c>
      <c r="W34" s="470">
        <f t="shared" si="14"/>
        <v>0</v>
      </c>
      <c r="X34" s="470">
        <f t="shared" si="28"/>
        <v>0</v>
      </c>
      <c r="Y34" s="472">
        <f t="shared" si="29"/>
        <v>0</v>
      </c>
      <c r="Z34" s="470" cm="1">
        <f t="array" ref="Z34">+INDEX(League!$BI$18:$CR$18,,MATCH(Calcs!A34,League!$BI$1:$CR$1,0))</f>
        <v>0</v>
      </c>
      <c r="AA34" s="470" cm="1">
        <f t="array" ref="AA34">+INDEX(League!$BI$27:$CR$27,,MATCH(Calcs!A34,League!$BI$1:$CR$1,0))</f>
        <v>0</v>
      </c>
      <c r="AB34" s="470" cm="1">
        <f t="array" ref="AB34">+INDEX(League!$BI$36:$CR$36,,MATCH(Calcs!A34,League!$BI$1:$CR$1,0))</f>
        <v>0</v>
      </c>
      <c r="AD34" s="470">
        <f t="shared" si="30"/>
        <v>1</v>
      </c>
      <c r="AF34" s="470" t="str">
        <f t="shared" si="31"/>
        <v>Pos. 1 (36)</v>
      </c>
      <c r="AH34" s="470">
        <f t="shared" si="15"/>
        <v>0</v>
      </c>
      <c r="AJ34" s="470">
        <f t="shared" si="16"/>
        <v>1</v>
      </c>
      <c r="AL34" s="470" t="str">
        <f t="shared" si="32"/>
        <v>Pos. 1 (36)</v>
      </c>
      <c r="AN34" s="470">
        <f t="shared" si="17"/>
        <v>0</v>
      </c>
      <c r="AP34" s="470">
        <f t="shared" si="33"/>
        <v>1</v>
      </c>
      <c r="AR34" s="470" t="str">
        <f t="shared" si="34"/>
        <v>Pos. 1 (36)</v>
      </c>
      <c r="AT34" s="470">
        <f t="shared" si="18"/>
        <v>0</v>
      </c>
      <c r="AV34" s="470">
        <f t="shared" si="35"/>
        <v>1</v>
      </c>
      <c r="AX34" s="470" t="str">
        <f t="shared" si="36"/>
        <v>Pos. 1 (36)</v>
      </c>
      <c r="AZ34" s="470">
        <f t="shared" si="19"/>
        <v>0</v>
      </c>
      <c r="BB34" s="470">
        <f t="shared" si="37"/>
        <v>1</v>
      </c>
      <c r="BD34" s="470" t="str">
        <f t="shared" si="38"/>
        <v>Pos. 1 (36)</v>
      </c>
      <c r="BF34" s="470">
        <f t="shared" si="20"/>
        <v>0</v>
      </c>
      <c r="BH34" s="470">
        <f t="shared" si="39"/>
        <v>1</v>
      </c>
      <c r="BJ34" s="470" t="str">
        <f t="shared" si="40"/>
        <v>Pos. 1 (36)</v>
      </c>
      <c r="BL34" s="470">
        <f t="shared" si="41"/>
        <v>0</v>
      </c>
      <c r="BN34" s="470">
        <f t="shared" si="42"/>
        <v>1</v>
      </c>
      <c r="BP34" s="470" t="str">
        <f t="shared" si="43"/>
        <v>Pos. 1 (36)</v>
      </c>
      <c r="BR34" s="470">
        <f t="shared" si="44"/>
        <v>0</v>
      </c>
      <c r="BT34" s="470">
        <f t="shared" si="45"/>
        <v>1</v>
      </c>
      <c r="BV34" s="470" t="str">
        <f t="shared" si="46"/>
        <v>Pos. 1 (36)</v>
      </c>
      <c r="BX34" s="470">
        <f t="shared" si="47"/>
        <v>0</v>
      </c>
      <c r="BZ34" s="470">
        <f t="shared" si="48"/>
        <v>1</v>
      </c>
      <c r="CB34" s="470" t="str">
        <f t="shared" si="49"/>
        <v>Pos. 1 (36)</v>
      </c>
      <c r="CD34" s="470">
        <f t="shared" si="21"/>
        <v>32</v>
      </c>
      <c r="CF34" s="470">
        <f t="shared" si="50"/>
        <v>33</v>
      </c>
      <c r="CH34" s="469">
        <f>IF(OR(INDEX(League!$AT$2:$AT$37,MATCH($A34,League!$AS$2:$AS$37,0))="",CB34="-"),CF34,INDEX(League!$AT$2:$AT$37,MATCH($A34,League!$AS$2:$AS$37,0))+ROW()/1000)</f>
        <v>33</v>
      </c>
      <c r="CI34" s="469">
        <f t="shared" si="51"/>
        <v>32</v>
      </c>
      <c r="CJ34" s="469">
        <f t="shared" si="52"/>
        <v>33</v>
      </c>
    </row>
    <row r="35" spans="1:88">
      <c r="A35" s="469" t="str">
        <f>TablaEquipos[[#This Row],[Team]]</f>
        <v>Stuttgart</v>
      </c>
      <c r="B35" s="470">
        <f t="shared" si="22"/>
        <v>0</v>
      </c>
      <c r="C35" s="470">
        <f t="shared" si="0"/>
        <v>0</v>
      </c>
      <c r="D35" s="470">
        <f t="shared" si="1"/>
        <v>0</v>
      </c>
      <c r="E35" s="470">
        <f t="shared" si="2"/>
        <v>0</v>
      </c>
      <c r="F35" s="470">
        <f t="shared" si="3"/>
        <v>0</v>
      </c>
      <c r="G35" s="470">
        <f t="shared" si="4"/>
        <v>0</v>
      </c>
      <c r="H35" s="470">
        <f t="shared" si="23"/>
        <v>0</v>
      </c>
      <c r="I35" s="470">
        <f>C35*3+D35*1+E35*0+INDEX(League!$BA$2:$BA$37,MATCH(Calcs!A35,League!$AZ$2:$AZ$37,0))</f>
        <v>0</v>
      </c>
      <c r="J35" s="471">
        <f t="shared" si="24"/>
        <v>0</v>
      </c>
      <c r="K35" s="470">
        <f t="shared" si="5"/>
        <v>0</v>
      </c>
      <c r="L35" s="470">
        <f t="shared" si="6"/>
        <v>0</v>
      </c>
      <c r="M35" s="470">
        <f t="shared" si="7"/>
        <v>0</v>
      </c>
      <c r="N35" s="470">
        <f t="shared" si="8"/>
        <v>0</v>
      </c>
      <c r="O35" s="470">
        <f t="shared" si="9"/>
        <v>0</v>
      </c>
      <c r="P35" s="470">
        <f t="shared" si="25"/>
        <v>0</v>
      </c>
      <c r="Q35" s="470">
        <f t="shared" si="26"/>
        <v>0</v>
      </c>
      <c r="R35" s="471">
        <f t="shared" si="27"/>
        <v>0</v>
      </c>
      <c r="S35" s="470">
        <f t="shared" si="10"/>
        <v>0</v>
      </c>
      <c r="T35" s="470">
        <f t="shared" si="11"/>
        <v>0</v>
      </c>
      <c r="U35" s="470">
        <f t="shared" si="12"/>
        <v>0</v>
      </c>
      <c r="V35" s="470">
        <f t="shared" si="13"/>
        <v>0</v>
      </c>
      <c r="W35" s="470">
        <f t="shared" si="14"/>
        <v>0</v>
      </c>
      <c r="X35" s="470">
        <f t="shared" si="28"/>
        <v>0</v>
      </c>
      <c r="Y35" s="472">
        <f t="shared" si="29"/>
        <v>0</v>
      </c>
      <c r="Z35" s="470" cm="1">
        <f t="array" ref="Z35">+INDEX(League!$BI$18:$CR$18,,MATCH(Calcs!A35,League!$BI$1:$CR$1,0))</f>
        <v>0</v>
      </c>
      <c r="AA35" s="470" cm="1">
        <f t="array" ref="AA35">+INDEX(League!$BI$27:$CR$27,,MATCH(Calcs!A35,League!$BI$1:$CR$1,0))</f>
        <v>0</v>
      </c>
      <c r="AB35" s="470" cm="1">
        <f t="array" ref="AB35">+INDEX(League!$BI$36:$CR$36,,MATCH(Calcs!A35,League!$BI$1:$CR$1,0))</f>
        <v>0</v>
      </c>
      <c r="AD35" s="470">
        <f t="shared" si="30"/>
        <v>1</v>
      </c>
      <c r="AF35" s="470" t="str">
        <f t="shared" si="31"/>
        <v>Pos. 1 (36)</v>
      </c>
      <c r="AH35" s="470">
        <f t="shared" si="15"/>
        <v>0</v>
      </c>
      <c r="AJ35" s="470">
        <f t="shared" si="16"/>
        <v>1</v>
      </c>
      <c r="AL35" s="470" t="str">
        <f t="shared" si="32"/>
        <v>Pos. 1 (36)</v>
      </c>
      <c r="AN35" s="470">
        <f t="shared" si="17"/>
        <v>0</v>
      </c>
      <c r="AP35" s="470">
        <f t="shared" si="33"/>
        <v>1</v>
      </c>
      <c r="AR35" s="470" t="str">
        <f t="shared" si="34"/>
        <v>Pos. 1 (36)</v>
      </c>
      <c r="AT35" s="470">
        <f t="shared" si="18"/>
        <v>0</v>
      </c>
      <c r="AV35" s="470">
        <f t="shared" si="35"/>
        <v>1</v>
      </c>
      <c r="AX35" s="470" t="str">
        <f t="shared" si="36"/>
        <v>Pos. 1 (36)</v>
      </c>
      <c r="AZ35" s="470">
        <f t="shared" si="19"/>
        <v>0</v>
      </c>
      <c r="BB35" s="470">
        <f t="shared" si="37"/>
        <v>1</v>
      </c>
      <c r="BD35" s="470" t="str">
        <f t="shared" si="38"/>
        <v>Pos. 1 (36)</v>
      </c>
      <c r="BF35" s="470">
        <f t="shared" si="20"/>
        <v>0</v>
      </c>
      <c r="BH35" s="470">
        <f t="shared" si="39"/>
        <v>1</v>
      </c>
      <c r="BJ35" s="470" t="str">
        <f t="shared" si="40"/>
        <v>Pos. 1 (36)</v>
      </c>
      <c r="BL35" s="470">
        <f t="shared" si="41"/>
        <v>0</v>
      </c>
      <c r="BN35" s="470">
        <f t="shared" si="42"/>
        <v>1</v>
      </c>
      <c r="BP35" s="470" t="str">
        <f t="shared" si="43"/>
        <v>Pos. 1 (36)</v>
      </c>
      <c r="BR35" s="470">
        <f t="shared" si="44"/>
        <v>0</v>
      </c>
      <c r="BT35" s="470">
        <f t="shared" si="45"/>
        <v>1</v>
      </c>
      <c r="BV35" s="470" t="str">
        <f t="shared" si="46"/>
        <v>Pos. 1 (36)</v>
      </c>
      <c r="BX35" s="470">
        <f t="shared" si="47"/>
        <v>0</v>
      </c>
      <c r="BZ35" s="470">
        <f t="shared" si="48"/>
        <v>1</v>
      </c>
      <c r="CB35" s="470" t="str">
        <f t="shared" si="49"/>
        <v>Pos. 1 (36)</v>
      </c>
      <c r="CD35" s="470">
        <f t="shared" si="21"/>
        <v>33</v>
      </c>
      <c r="CF35" s="470">
        <f t="shared" si="50"/>
        <v>34</v>
      </c>
      <c r="CH35" s="469">
        <f>IF(OR(INDEX(League!$AT$2:$AT$37,MATCH($A35,League!$AS$2:$AS$37,0))="",CB35="-"),CF35,INDEX(League!$AT$2:$AT$37,MATCH($A35,League!$AS$2:$AS$37,0))+ROW()/1000)</f>
        <v>34</v>
      </c>
      <c r="CI35" s="469">
        <f t="shared" si="51"/>
        <v>33</v>
      </c>
      <c r="CJ35" s="469">
        <f t="shared" si="52"/>
        <v>34</v>
      </c>
    </row>
    <row r="36" spans="1:88">
      <c r="A36" s="469" t="str">
        <f>TablaEquipos[[#This Row],[Team]]</f>
        <v>Viking</v>
      </c>
      <c r="B36" s="470">
        <f t="shared" si="22"/>
        <v>0</v>
      </c>
      <c r="C36" s="470">
        <f t="shared" si="0"/>
        <v>0</v>
      </c>
      <c r="D36" s="470">
        <f t="shared" si="1"/>
        <v>0</v>
      </c>
      <c r="E36" s="470">
        <f t="shared" si="2"/>
        <v>0</v>
      </c>
      <c r="F36" s="470">
        <f t="shared" si="3"/>
        <v>0</v>
      </c>
      <c r="G36" s="470">
        <f t="shared" si="4"/>
        <v>0</v>
      </c>
      <c r="H36" s="470">
        <f t="shared" si="23"/>
        <v>0</v>
      </c>
      <c r="I36" s="470">
        <f>C36*3+D36*1+E36*0+INDEX(League!$BA$2:$BA$37,MATCH(Calcs!A36,League!$AZ$2:$AZ$37,0))</f>
        <v>0</v>
      </c>
      <c r="J36" s="471">
        <f t="shared" si="24"/>
        <v>0</v>
      </c>
      <c r="K36" s="470">
        <f t="shared" si="5"/>
        <v>0</v>
      </c>
      <c r="L36" s="470">
        <f t="shared" si="6"/>
        <v>0</v>
      </c>
      <c r="M36" s="470">
        <f t="shared" si="7"/>
        <v>0</v>
      </c>
      <c r="N36" s="470">
        <f t="shared" si="8"/>
        <v>0</v>
      </c>
      <c r="O36" s="470">
        <f t="shared" si="9"/>
        <v>0</v>
      </c>
      <c r="P36" s="470">
        <f t="shared" si="25"/>
        <v>0</v>
      </c>
      <c r="Q36" s="470">
        <f t="shared" si="26"/>
        <v>0</v>
      </c>
      <c r="R36" s="471">
        <f t="shared" si="27"/>
        <v>0</v>
      </c>
      <c r="S36" s="470">
        <f t="shared" si="10"/>
        <v>0</v>
      </c>
      <c r="T36" s="470">
        <f t="shared" si="11"/>
        <v>0</v>
      </c>
      <c r="U36" s="470">
        <f t="shared" si="12"/>
        <v>0</v>
      </c>
      <c r="V36" s="470">
        <f t="shared" si="13"/>
        <v>0</v>
      </c>
      <c r="W36" s="470">
        <f t="shared" si="14"/>
        <v>0</v>
      </c>
      <c r="X36" s="470">
        <f t="shared" si="28"/>
        <v>0</v>
      </c>
      <c r="Y36" s="472">
        <f t="shared" si="29"/>
        <v>0</v>
      </c>
      <c r="Z36" s="470" cm="1">
        <f t="array" ref="Z36">+INDEX(League!$BI$18:$CR$18,,MATCH(Calcs!A36,League!$BI$1:$CR$1,0))</f>
        <v>0</v>
      </c>
      <c r="AA36" s="470" cm="1">
        <f t="array" ref="AA36">+INDEX(League!$BI$27:$CR$27,,MATCH(Calcs!A36,League!$BI$1:$CR$1,0))</f>
        <v>0</v>
      </c>
      <c r="AB36" s="470" cm="1">
        <f t="array" ref="AB36">+INDEX(League!$BI$36:$CR$36,,MATCH(Calcs!A36,League!$BI$1:$CR$1,0))</f>
        <v>0</v>
      </c>
      <c r="AD36" s="470">
        <f t="shared" si="30"/>
        <v>1</v>
      </c>
      <c r="AF36" s="470" t="str">
        <f t="shared" si="31"/>
        <v>Pos. 1 (36)</v>
      </c>
      <c r="AH36" s="470">
        <f t="shared" si="15"/>
        <v>0</v>
      </c>
      <c r="AJ36" s="470">
        <f t="shared" si="16"/>
        <v>1</v>
      </c>
      <c r="AL36" s="470" t="str">
        <f t="shared" si="32"/>
        <v>Pos. 1 (36)</v>
      </c>
      <c r="AN36" s="470">
        <f t="shared" si="17"/>
        <v>0</v>
      </c>
      <c r="AP36" s="470">
        <f t="shared" si="33"/>
        <v>1</v>
      </c>
      <c r="AR36" s="470" t="str">
        <f t="shared" si="34"/>
        <v>Pos. 1 (36)</v>
      </c>
      <c r="AT36" s="470">
        <f t="shared" si="18"/>
        <v>0</v>
      </c>
      <c r="AV36" s="470">
        <f t="shared" si="35"/>
        <v>1</v>
      </c>
      <c r="AX36" s="470" t="str">
        <f t="shared" si="36"/>
        <v>Pos. 1 (36)</v>
      </c>
      <c r="AZ36" s="470">
        <f t="shared" si="19"/>
        <v>0</v>
      </c>
      <c r="BB36" s="470">
        <f t="shared" si="37"/>
        <v>1</v>
      </c>
      <c r="BD36" s="470" t="str">
        <f t="shared" si="38"/>
        <v>Pos. 1 (36)</v>
      </c>
      <c r="BF36" s="470">
        <f t="shared" si="20"/>
        <v>0</v>
      </c>
      <c r="BH36" s="470">
        <f t="shared" si="39"/>
        <v>1</v>
      </c>
      <c r="BJ36" s="470" t="str">
        <f t="shared" si="40"/>
        <v>Pos. 1 (36)</v>
      </c>
      <c r="BL36" s="470">
        <f t="shared" si="41"/>
        <v>0</v>
      </c>
      <c r="BN36" s="470">
        <f t="shared" si="42"/>
        <v>1</v>
      </c>
      <c r="BP36" s="470" t="str">
        <f t="shared" si="43"/>
        <v>Pos. 1 (36)</v>
      </c>
      <c r="BR36" s="470">
        <f t="shared" si="44"/>
        <v>0</v>
      </c>
      <c r="BT36" s="470">
        <f t="shared" si="45"/>
        <v>1</v>
      </c>
      <c r="BV36" s="470" t="str">
        <f t="shared" si="46"/>
        <v>Pos. 1 (36)</v>
      </c>
      <c r="BX36" s="470">
        <f t="shared" si="47"/>
        <v>0</v>
      </c>
      <c r="BZ36" s="470">
        <f t="shared" si="48"/>
        <v>1</v>
      </c>
      <c r="CB36" s="470" t="str">
        <f t="shared" si="49"/>
        <v>Pos. 1 (36)</v>
      </c>
      <c r="CD36" s="470">
        <f t="shared" si="21"/>
        <v>34</v>
      </c>
      <c r="CF36" s="470">
        <f t="shared" si="50"/>
        <v>35</v>
      </c>
      <c r="CH36" s="469">
        <f>IF(OR(INDEX(League!$AT$2:$AT$37,MATCH($A36,League!$AS$2:$AS$37,0))="",CB36="-"),CF36,INDEX(League!$AT$2:$AT$37,MATCH($A36,League!$AS$2:$AS$37,0))+ROW()/1000)</f>
        <v>35</v>
      </c>
      <c r="CI36" s="469">
        <f t="shared" si="51"/>
        <v>34</v>
      </c>
      <c r="CJ36" s="469">
        <f t="shared" si="52"/>
        <v>35</v>
      </c>
    </row>
    <row r="37" spans="1:88">
      <c r="A37" s="469" t="str">
        <f>TablaEquipos[[#This Row],[Team]]</f>
        <v>Villarreal</v>
      </c>
      <c r="B37" s="470">
        <f t="shared" si="22"/>
        <v>0</v>
      </c>
      <c r="C37" s="470">
        <f t="shared" si="0"/>
        <v>0</v>
      </c>
      <c r="D37" s="470">
        <f t="shared" si="1"/>
        <v>0</v>
      </c>
      <c r="E37" s="470">
        <f t="shared" si="2"/>
        <v>0</v>
      </c>
      <c r="F37" s="470">
        <f t="shared" si="3"/>
        <v>0</v>
      </c>
      <c r="G37" s="470">
        <f t="shared" si="4"/>
        <v>0</v>
      </c>
      <c r="H37" s="470">
        <f t="shared" si="23"/>
        <v>0</v>
      </c>
      <c r="I37" s="470">
        <f>C37*3+D37*1+E37*0+INDEX(League!$BA$2:$BA$37,MATCH(Calcs!A37,League!$AZ$2:$AZ$37,0))</f>
        <v>0</v>
      </c>
      <c r="J37" s="471">
        <f t="shared" si="24"/>
        <v>0</v>
      </c>
      <c r="K37" s="470">
        <f t="shared" si="5"/>
        <v>0</v>
      </c>
      <c r="L37" s="470">
        <f t="shared" si="6"/>
        <v>0</v>
      </c>
      <c r="M37" s="470">
        <f t="shared" si="7"/>
        <v>0</v>
      </c>
      <c r="N37" s="470">
        <f t="shared" si="8"/>
        <v>0</v>
      </c>
      <c r="O37" s="470">
        <f t="shared" si="9"/>
        <v>0</v>
      </c>
      <c r="P37" s="470">
        <f t="shared" si="25"/>
        <v>0</v>
      </c>
      <c r="Q37" s="470">
        <f t="shared" si="26"/>
        <v>0</v>
      </c>
      <c r="R37" s="471">
        <f t="shared" si="27"/>
        <v>0</v>
      </c>
      <c r="S37" s="470">
        <f t="shared" si="10"/>
        <v>0</v>
      </c>
      <c r="T37" s="470">
        <f t="shared" si="11"/>
        <v>0</v>
      </c>
      <c r="U37" s="470">
        <f t="shared" si="12"/>
        <v>0</v>
      </c>
      <c r="V37" s="470">
        <f t="shared" si="13"/>
        <v>0</v>
      </c>
      <c r="W37" s="470">
        <f t="shared" si="14"/>
        <v>0</v>
      </c>
      <c r="X37" s="470">
        <f t="shared" si="28"/>
        <v>0</v>
      </c>
      <c r="Y37" s="472">
        <f t="shared" si="29"/>
        <v>0</v>
      </c>
      <c r="Z37" s="470" cm="1">
        <f t="array" ref="Z37">+INDEX(League!$BI$18:$CR$18,,MATCH(Calcs!A37,League!$BI$1:$CR$1,0))</f>
        <v>0</v>
      </c>
      <c r="AA37" s="470" cm="1">
        <f t="array" ref="AA37">+INDEX(League!$BI$27:$CR$27,,MATCH(Calcs!A37,League!$BI$1:$CR$1,0))</f>
        <v>0</v>
      </c>
      <c r="AB37" s="470" cm="1">
        <f t="array" ref="AB37">+INDEX(League!$BI$36:$CR$36,,MATCH(Calcs!A37,League!$BI$1:$CR$1,0))</f>
        <v>0</v>
      </c>
      <c r="AD37" s="470">
        <f t="shared" si="30"/>
        <v>1</v>
      </c>
      <c r="AF37" s="470" t="str">
        <f t="shared" si="31"/>
        <v>Pos. 1 (36)</v>
      </c>
      <c r="AH37" s="470">
        <f t="shared" si="15"/>
        <v>0</v>
      </c>
      <c r="AJ37" s="470">
        <f t="shared" si="16"/>
        <v>1</v>
      </c>
      <c r="AL37" s="470" t="str">
        <f t="shared" si="32"/>
        <v>Pos. 1 (36)</v>
      </c>
      <c r="AN37" s="470">
        <f t="shared" si="17"/>
        <v>0</v>
      </c>
      <c r="AP37" s="470">
        <f t="shared" si="33"/>
        <v>1</v>
      </c>
      <c r="AR37" s="470" t="str">
        <f t="shared" si="34"/>
        <v>Pos. 1 (36)</v>
      </c>
      <c r="AT37" s="470">
        <f t="shared" si="18"/>
        <v>0</v>
      </c>
      <c r="AV37" s="470">
        <f t="shared" si="35"/>
        <v>1</v>
      </c>
      <c r="AX37" s="470" t="str">
        <f t="shared" si="36"/>
        <v>Pos. 1 (36)</v>
      </c>
      <c r="AZ37" s="470">
        <f t="shared" si="19"/>
        <v>0</v>
      </c>
      <c r="BB37" s="470">
        <f t="shared" si="37"/>
        <v>1</v>
      </c>
      <c r="BD37" s="470" t="str">
        <f t="shared" si="38"/>
        <v>Pos. 1 (36)</v>
      </c>
      <c r="BF37" s="470">
        <f t="shared" si="20"/>
        <v>0</v>
      </c>
      <c r="BH37" s="470">
        <f t="shared" si="39"/>
        <v>1</v>
      </c>
      <c r="BJ37" s="470" t="str">
        <f t="shared" si="40"/>
        <v>Pos. 1 (36)</v>
      </c>
      <c r="BL37" s="470">
        <f t="shared" si="41"/>
        <v>0</v>
      </c>
      <c r="BN37" s="470">
        <f t="shared" si="42"/>
        <v>1</v>
      </c>
      <c r="BP37" s="470" t="str">
        <f t="shared" si="43"/>
        <v>Pos. 1 (36)</v>
      </c>
      <c r="BR37" s="470">
        <f t="shared" si="44"/>
        <v>0</v>
      </c>
      <c r="BT37" s="470">
        <f t="shared" si="45"/>
        <v>1</v>
      </c>
      <c r="BV37" s="470" t="str">
        <f t="shared" si="46"/>
        <v>Pos. 1 (36)</v>
      </c>
      <c r="BX37" s="470">
        <f t="shared" si="47"/>
        <v>0</v>
      </c>
      <c r="BZ37" s="470">
        <f t="shared" si="48"/>
        <v>1</v>
      </c>
      <c r="CB37" s="470" t="str">
        <f t="shared" si="49"/>
        <v>Pos. 1 (36)</v>
      </c>
      <c r="CD37" s="470">
        <f t="shared" si="21"/>
        <v>35</v>
      </c>
      <c r="CF37" s="470">
        <f t="shared" si="50"/>
        <v>36</v>
      </c>
      <c r="CH37" s="469">
        <f>IF(OR(INDEX(League!$AT$2:$AT$37,MATCH($A37,League!$AS$2:$AS$37,0))="",CB37="-"),CF37,INDEX(League!$AT$2:$AT$37,MATCH($A37,League!$AS$2:$AS$37,0))+ROW()/1000)</f>
        <v>36</v>
      </c>
      <c r="CI37" s="469">
        <f t="shared" si="51"/>
        <v>35</v>
      </c>
      <c r="CJ37" s="469">
        <f t="shared" si="52"/>
        <v>36</v>
      </c>
    </row>
  </sheetData>
  <sheetProtection algorithmName="SHA-512" hashValue="0k8Zuks2V+gGWxjC2uUZ4WjrgP9OlHcz8O1WO5PE9j3qSJ0s2F5F7M/yMzw7xOXgIc1bty8K17yMKHeCXeVi7Q==" saltValue="OGUl6w1tj29sJH6t/8ZRAA==" spinCount="100000" sheet="1" scenarios="1" selectLockedCells="1" selectUnlockedCells="1"/>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C7E84-560F-274D-93D1-D47092568B87}">
  <sheetPr codeName="Hoja4"/>
  <dimension ref="A1:AG37"/>
  <sheetViews>
    <sheetView workbookViewId="0">
      <selection activeCell="B18" sqref="B18"/>
      <extLst>
        <ext xmlns:xlsdti="http://schemas.microsoft.com/office/spreadsheetml/2023/showDataTypeIcons" uri="{77bfe23e-c014-4d31-8a63-9c772dbf06b6}">
          <xlsdti:showDataTypeIcons visible="0"/>
        </ext>
      </extLst>
    </sheetView>
  </sheetViews>
  <sheetFormatPr baseColWidth="10" defaultRowHeight="16"/>
  <cols>
    <col min="1" max="1" width="16.5" bestFit="1" customWidth="1"/>
    <col min="11" max="11" width="16.6640625" bestFit="1" customWidth="1"/>
    <col min="14" max="14" width="12.33203125" bestFit="1" customWidth="1"/>
    <col min="15" max="15" width="18.1640625" bestFit="1" customWidth="1"/>
    <col min="17" max="18" width="17.83203125" bestFit="1" customWidth="1"/>
    <col min="22" max="22" width="14.83203125" bestFit="1" customWidth="1"/>
    <col min="24" max="24" width="14" bestFit="1" customWidth="1"/>
    <col min="25" max="25" width="14" customWidth="1"/>
    <col min="26" max="26" width="15.1640625" bestFit="1" customWidth="1"/>
  </cols>
  <sheetData>
    <row r="1" spans="1:33">
      <c r="A1" t="s">
        <v>689</v>
      </c>
      <c r="B1" t="s">
        <v>714</v>
      </c>
    </row>
    <row r="2" spans="1:33" ht="17">
      <c r="A2" s="462" t="s">
        <v>1031</v>
      </c>
      <c r="B2" s="70" t="e" vm="37">
        <v>#VALUE!</v>
      </c>
      <c r="K2" s="462"/>
      <c r="L2" s="70"/>
      <c r="N2" s="62"/>
      <c r="V2" s="71"/>
      <c r="X2" s="70"/>
      <c r="Y2" s="70"/>
      <c r="Z2" s="71"/>
      <c r="AA2" s="70"/>
      <c r="AB2" s="70"/>
      <c r="AC2" s="70"/>
      <c r="AD2" s="70"/>
      <c r="AE2" s="70"/>
      <c r="AF2" s="70"/>
      <c r="AG2" s="72"/>
    </row>
    <row r="3" spans="1:33" ht="17">
      <c r="A3" t="s">
        <v>735</v>
      </c>
      <c r="B3" t="e" vm="38">
        <v>#VALUE!</v>
      </c>
      <c r="N3" s="64"/>
      <c r="Y3" s="70"/>
      <c r="AB3" s="70"/>
      <c r="AC3" s="70"/>
      <c r="AD3" s="70"/>
      <c r="AE3" s="70"/>
      <c r="AF3" s="70"/>
    </row>
    <row r="4" spans="1:33" ht="17">
      <c r="A4" t="s">
        <v>808</v>
      </c>
      <c r="B4" t="e" vm="39">
        <v>#VALUE!</v>
      </c>
      <c r="N4" s="65"/>
      <c r="W4" s="70"/>
      <c r="X4" s="70"/>
      <c r="Y4" s="70"/>
      <c r="Z4" s="70"/>
      <c r="AA4" s="70"/>
      <c r="AB4" s="70"/>
      <c r="AC4" s="70"/>
      <c r="AD4" s="70"/>
      <c r="AE4" s="70"/>
      <c r="AF4" s="70"/>
    </row>
    <row r="5" spans="1:33" ht="17">
      <c r="A5" t="s">
        <v>992</v>
      </c>
      <c r="B5" t="e" vm="40">
        <v>#VALUE!</v>
      </c>
      <c r="N5" s="64"/>
      <c r="Y5" s="70"/>
      <c r="AB5" s="70"/>
      <c r="AC5" s="70"/>
      <c r="AD5" s="70"/>
      <c r="AE5" s="70"/>
      <c r="AF5" s="70"/>
    </row>
    <row r="6" spans="1:33" ht="17">
      <c r="A6" t="s">
        <v>692</v>
      </c>
      <c r="B6" t="e" vm="41">
        <v>#VALUE!</v>
      </c>
      <c r="N6" s="64"/>
      <c r="Y6" s="70"/>
      <c r="AB6" s="70"/>
      <c r="AC6" s="70"/>
      <c r="AD6" s="70"/>
      <c r="AE6" s="70"/>
      <c r="AF6" s="70"/>
    </row>
    <row r="7" spans="1:33" ht="17">
      <c r="A7" t="s">
        <v>993</v>
      </c>
      <c r="B7" t="e" vm="42">
        <v>#VALUE!</v>
      </c>
      <c r="Y7" s="70"/>
      <c r="AB7" s="70"/>
      <c r="AC7" s="70"/>
      <c r="AD7" s="70"/>
      <c r="AE7" s="70"/>
      <c r="AF7" s="70"/>
    </row>
    <row r="8" spans="1:33" ht="17">
      <c r="A8" t="s">
        <v>1009</v>
      </c>
      <c r="B8" t="e" vm="43">
        <v>#VALUE!</v>
      </c>
      <c r="AB8" s="70"/>
      <c r="AC8" s="70"/>
      <c r="AD8" s="70"/>
      <c r="AE8" s="70"/>
      <c r="AF8" s="70"/>
    </row>
    <row r="9" spans="1:33" ht="17">
      <c r="A9" t="s">
        <v>821</v>
      </c>
      <c r="B9" t="e" vm="44">
        <v>#VALUE!</v>
      </c>
      <c r="Y9" s="70"/>
      <c r="AB9" s="70"/>
      <c r="AC9" s="70"/>
      <c r="AD9" s="70"/>
      <c r="AE9" s="70"/>
      <c r="AF9" s="70"/>
    </row>
    <row r="10" spans="1:33" ht="17">
      <c r="A10" t="s">
        <v>736</v>
      </c>
      <c r="B10" t="e" vm="45">
        <v>#VALUE!</v>
      </c>
      <c r="Y10" s="70"/>
      <c r="AB10" s="70"/>
      <c r="AC10" s="70"/>
      <c r="AD10" s="70"/>
      <c r="AE10" s="70"/>
      <c r="AF10" s="70"/>
      <c r="AG10" s="72"/>
    </row>
    <row r="11" spans="1:33" ht="17">
      <c r="A11" t="s">
        <v>815</v>
      </c>
      <c r="B11" t="e" vm="46">
        <v>#VALUE!</v>
      </c>
      <c r="AB11" s="70"/>
      <c r="AC11" s="70"/>
      <c r="AD11" s="70"/>
      <c r="AE11" s="70"/>
      <c r="AF11" s="70"/>
    </row>
    <row r="12" spans="1:33" ht="17">
      <c r="A12" t="s">
        <v>1002</v>
      </c>
      <c r="B12" t="e" vm="47">
        <v>#VALUE!</v>
      </c>
      <c r="AB12" s="70"/>
      <c r="AC12" s="70"/>
      <c r="AD12" s="70"/>
      <c r="AE12" s="70"/>
      <c r="AF12" s="70"/>
    </row>
    <row r="13" spans="1:33" ht="17">
      <c r="A13" s="462" t="s">
        <v>1028</v>
      </c>
      <c r="B13" t="e" vm="48">
        <v>#VALUE!</v>
      </c>
      <c r="K13" s="462"/>
      <c r="V13" s="71"/>
      <c r="X13" s="70"/>
      <c r="Y13" s="70"/>
      <c r="Z13" s="71"/>
      <c r="AA13" s="70"/>
      <c r="AB13" s="70"/>
      <c r="AC13" s="70"/>
      <c r="AD13" s="70"/>
      <c r="AE13" s="70"/>
      <c r="AF13" s="70"/>
    </row>
    <row r="14" spans="1:33" ht="17">
      <c r="A14" t="s">
        <v>737</v>
      </c>
      <c r="B14" t="e" vm="49">
        <v>#VALUE!</v>
      </c>
      <c r="V14" s="71"/>
      <c r="Y14" s="70"/>
      <c r="Z14" s="71"/>
      <c r="AA14" s="70"/>
      <c r="AB14" s="70"/>
      <c r="AC14" s="70"/>
      <c r="AD14" s="70"/>
      <c r="AE14" s="70"/>
      <c r="AF14" s="70"/>
    </row>
    <row r="15" spans="1:33" ht="17">
      <c r="A15" t="s">
        <v>986</v>
      </c>
      <c r="B15" t="e" vm="50">
        <v>#VALUE!</v>
      </c>
      <c r="R15" s="140"/>
      <c r="S15" s="103"/>
      <c r="V15" s="71"/>
      <c r="X15" s="70"/>
      <c r="Y15" s="70"/>
      <c r="Z15" s="71"/>
      <c r="AA15" s="70"/>
      <c r="AB15" s="70"/>
      <c r="AC15" s="70"/>
      <c r="AD15" s="70"/>
      <c r="AE15" s="70"/>
      <c r="AF15" s="70"/>
    </row>
    <row r="16" spans="1:33" ht="17">
      <c r="A16" t="s">
        <v>695</v>
      </c>
      <c r="B16" t="e" vm="51">
        <v>#VALUE!</v>
      </c>
      <c r="O16" s="462"/>
      <c r="P16" s="63"/>
      <c r="V16" s="71"/>
      <c r="X16" s="70"/>
      <c r="Y16" s="70"/>
      <c r="Z16" s="71"/>
      <c r="AA16" s="70"/>
      <c r="AB16" s="70"/>
      <c r="AC16" s="70"/>
      <c r="AD16" s="70"/>
      <c r="AE16" s="70"/>
      <c r="AF16" s="70"/>
    </row>
    <row r="17" spans="1:32" ht="17">
      <c r="A17" s="462" t="s">
        <v>1032</v>
      </c>
      <c r="B17" t="e" vm="52">
        <v>#VALUE!</v>
      </c>
      <c r="K17" s="462"/>
      <c r="P17" s="63"/>
      <c r="Q17" s="462"/>
      <c r="V17" s="71"/>
      <c r="X17" s="70"/>
      <c r="Y17" s="70"/>
      <c r="Z17" s="71"/>
      <c r="AA17" s="70"/>
      <c r="AB17" s="70"/>
      <c r="AC17" s="70"/>
      <c r="AD17" s="70"/>
      <c r="AE17" s="70"/>
      <c r="AF17" s="70"/>
    </row>
    <row r="18" spans="1:32" ht="17">
      <c r="A18" t="s">
        <v>738</v>
      </c>
      <c r="B18" t="e" vm="53">
        <v>#VALUE!</v>
      </c>
      <c r="P18" s="63"/>
      <c r="Q18" s="462"/>
      <c r="X18" s="70"/>
      <c r="Y18" s="70"/>
      <c r="Z18" s="71"/>
      <c r="AA18" s="70"/>
      <c r="AB18" s="70"/>
      <c r="AC18" s="70"/>
      <c r="AD18" s="70"/>
      <c r="AE18" s="70"/>
      <c r="AF18" s="70"/>
    </row>
    <row r="19" spans="1:32" ht="17">
      <c r="A19" t="s">
        <v>1003</v>
      </c>
      <c r="B19" t="e" vm="54">
        <v>#VALUE!</v>
      </c>
      <c r="P19" s="63"/>
      <c r="Q19" s="462"/>
      <c r="V19" s="71"/>
      <c r="X19" s="70"/>
      <c r="Y19" s="70"/>
      <c r="Z19" s="71"/>
      <c r="AA19" s="70"/>
      <c r="AB19" s="70"/>
      <c r="AC19" s="70"/>
      <c r="AD19" s="70"/>
      <c r="AE19" s="70"/>
      <c r="AF19" s="70"/>
    </row>
    <row r="20" spans="1:32" ht="17">
      <c r="A20" t="s">
        <v>699</v>
      </c>
      <c r="B20" t="e" vm="55">
        <v>#VALUE!</v>
      </c>
      <c r="Q20" s="462"/>
      <c r="V20" s="71"/>
      <c r="X20" s="70"/>
      <c r="Y20" s="70"/>
      <c r="Z20" s="71"/>
      <c r="AA20" s="70"/>
      <c r="AB20" s="70"/>
      <c r="AC20" s="70"/>
      <c r="AD20" s="70"/>
      <c r="AE20" s="70"/>
      <c r="AF20" s="70"/>
    </row>
    <row r="21" spans="1:32" ht="17">
      <c r="A21" t="s">
        <v>739</v>
      </c>
      <c r="B21" t="e" vm="56">
        <v>#VALUE!</v>
      </c>
      <c r="P21" s="63"/>
      <c r="Q21" s="462"/>
      <c r="S21" s="147"/>
      <c r="V21" s="71"/>
      <c r="X21" s="70"/>
      <c r="Y21" s="70"/>
      <c r="Z21" s="71"/>
      <c r="AA21" s="70"/>
      <c r="AB21" s="70"/>
      <c r="AC21" s="70"/>
      <c r="AD21" s="70"/>
      <c r="AE21" s="70"/>
      <c r="AF21" s="70"/>
    </row>
    <row r="22" spans="1:32" ht="17">
      <c r="A22" t="s">
        <v>740</v>
      </c>
      <c r="B22" t="e" vm="57">
        <v>#VALUE!</v>
      </c>
      <c r="P22" s="63"/>
      <c r="Q22" s="462"/>
      <c r="V22" s="71"/>
      <c r="X22" s="70"/>
      <c r="Y22" s="70"/>
      <c r="Z22" s="71"/>
      <c r="AA22" s="70"/>
      <c r="AB22" s="70"/>
      <c r="AC22" s="70"/>
      <c r="AD22" s="70"/>
      <c r="AE22" s="70"/>
      <c r="AF22" s="70"/>
    </row>
    <row r="23" spans="1:32" ht="17">
      <c r="A23" t="s">
        <v>1004</v>
      </c>
      <c r="B23" t="e" vm="58">
        <v>#VALUE!</v>
      </c>
      <c r="P23" s="63"/>
      <c r="Q23" s="462"/>
      <c r="V23" s="71"/>
      <c r="X23" s="70"/>
      <c r="Y23" s="70"/>
      <c r="Z23" s="71"/>
      <c r="AA23" s="70"/>
      <c r="AB23" s="70"/>
      <c r="AC23" s="70"/>
      <c r="AD23" s="70"/>
      <c r="AE23" s="70"/>
      <c r="AF23" s="70"/>
    </row>
    <row r="24" spans="1:32" ht="17">
      <c r="A24" t="s">
        <v>980</v>
      </c>
      <c r="B24" t="e" vm="59">
        <v>#VALUE!</v>
      </c>
      <c r="P24" s="63"/>
      <c r="V24" s="71"/>
      <c r="X24" s="70"/>
      <c r="Y24" s="70"/>
    </row>
    <row r="25" spans="1:32" ht="17">
      <c r="A25" t="s">
        <v>1005</v>
      </c>
      <c r="B25" t="e" vm="60">
        <v>#VALUE!</v>
      </c>
      <c r="P25" s="63"/>
      <c r="V25" s="71"/>
    </row>
    <row r="26" spans="1:32" ht="17">
      <c r="A26" t="s">
        <v>698</v>
      </c>
      <c r="B26" t="e" vm="61">
        <v>#VALUE!</v>
      </c>
      <c r="P26" s="63"/>
      <c r="V26" s="71"/>
    </row>
    <row r="27" spans="1:32" ht="17">
      <c r="A27" t="s">
        <v>741</v>
      </c>
      <c r="B27" t="e" vm="62">
        <v>#VALUE!</v>
      </c>
      <c r="P27" s="63"/>
      <c r="V27" s="71"/>
    </row>
    <row r="28" spans="1:32" ht="17">
      <c r="A28" t="s">
        <v>2</v>
      </c>
      <c r="B28" t="e" vm="63">
        <v>#VALUE!</v>
      </c>
      <c r="P28" s="63"/>
      <c r="V28" s="71"/>
    </row>
    <row r="29" spans="1:32" ht="17">
      <c r="A29" t="s">
        <v>1006</v>
      </c>
      <c r="B29" t="e" vm="64">
        <v>#VALUE!</v>
      </c>
      <c r="P29" s="63"/>
      <c r="V29" s="71"/>
    </row>
    <row r="30" spans="1:32" ht="17">
      <c r="A30" s="462" t="s">
        <v>1030</v>
      </c>
      <c r="B30" t="e" vm="65">
        <v>#VALUE!</v>
      </c>
      <c r="K30" s="462"/>
      <c r="L30" s="63"/>
      <c r="P30" s="63"/>
      <c r="V30" s="71"/>
    </row>
    <row r="31" spans="1:32" ht="17">
      <c r="A31" t="s">
        <v>818</v>
      </c>
      <c r="B31" t="e" vm="66">
        <v>#VALUE!</v>
      </c>
      <c r="P31" s="63"/>
      <c r="V31" s="71"/>
    </row>
    <row r="32" spans="1:32" ht="17">
      <c r="A32" t="s">
        <v>995</v>
      </c>
      <c r="B32" t="e" vm="67">
        <v>#VALUE!</v>
      </c>
      <c r="P32" s="63"/>
      <c r="V32" s="71"/>
    </row>
    <row r="33" spans="1:22" ht="17">
      <c r="A33" s="462" t="s">
        <v>1027</v>
      </c>
      <c r="B33" t="e" vm="68">
        <v>#VALUE!</v>
      </c>
      <c r="K33" s="462"/>
      <c r="P33" s="63"/>
      <c r="V33" s="71"/>
    </row>
    <row r="34" spans="1:22" ht="17">
      <c r="A34" t="s">
        <v>803</v>
      </c>
      <c r="B34" t="e" vm="69">
        <v>#VALUE!</v>
      </c>
      <c r="P34" s="63"/>
      <c r="V34" s="71"/>
    </row>
    <row r="35" spans="1:22" ht="17">
      <c r="A35" t="s">
        <v>694</v>
      </c>
      <c r="B35" t="e" vm="70">
        <v>#VALUE!</v>
      </c>
      <c r="P35" s="63"/>
      <c r="V35" s="71"/>
    </row>
    <row r="36" spans="1:22" ht="17">
      <c r="A36" s="462" t="s">
        <v>1029</v>
      </c>
      <c r="B36" t="e" vm="71">
        <v>#VALUE!</v>
      </c>
      <c r="K36" s="462"/>
      <c r="L36" s="71"/>
      <c r="P36" s="63"/>
      <c r="V36" s="71"/>
    </row>
    <row r="37" spans="1:22" ht="17">
      <c r="A37" t="s">
        <v>982</v>
      </c>
      <c r="B37" t="e" vm="72">
        <v>#VALUE!</v>
      </c>
      <c r="P37" s="63"/>
      <c r="R37" s="140"/>
      <c r="S37" s="103"/>
      <c r="V37" s="71"/>
    </row>
  </sheetData>
  <sheetProtection algorithmName="SHA-512" hashValue="P2oOpk18eXeURHkJb1LSUqOXNqpYEFBe/QTJU6LIBSD1+a7eIMK5VAmlXanwfeFrqGesqsEZfPqaI07tyY4iiA==" saltValue="8pnfUCjaB4lHx/Vbm7qb0A==" spinCount="100000" sheet="1" scenarios="1" selectLockedCells="1" selectUnlockedCells="1"/>
  <phoneticPr fontId="8" type="noConversion"/>
  <conditionalFormatting sqref="Q2 Q24 Q26 Q11:Q15 Q28:Q30">
    <cfRule type="duplicateValues" dxfId="5" priority="409"/>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B4EB2-8746-B647-82B3-65D9B5DB1D69}">
  <sheetPr codeName="Hoja10"/>
  <dimension ref="A2:P370"/>
  <sheetViews>
    <sheetView workbookViewId="0">
      <selection activeCell="G16" sqref="G16"/>
      <extLst>
        <ext xmlns:xlsdti="http://schemas.microsoft.com/office/spreadsheetml/2023/showDataTypeIcons" uri="{77bfe23e-c014-4d31-8a63-9c772dbf06b6}">
          <xlsdti:showDataTypeIcons visible="0"/>
        </ext>
      </extLst>
    </sheetView>
  </sheetViews>
  <sheetFormatPr baseColWidth="10" defaultColWidth="10.83203125" defaultRowHeight="15"/>
  <cols>
    <col min="1" max="3" width="10.83203125" style="397"/>
    <col min="4" max="4" width="17.33203125" style="397" bestFit="1" customWidth="1"/>
    <col min="5" max="6" width="10.83203125" style="397"/>
    <col min="7" max="7" width="17.33203125" style="397" bestFit="1" customWidth="1"/>
    <col min="8" max="16384" width="10.83203125" style="397"/>
  </cols>
  <sheetData>
    <row r="2" spans="1:8">
      <c r="A2" s="397" t="s">
        <v>106</v>
      </c>
      <c r="B2" s="397">
        <f>IF(Home!$C$7=Idiomas!A2,1,0)</f>
        <v>1</v>
      </c>
    </row>
    <row r="3" spans="1:8" ht="16" thickBot="1">
      <c r="A3" s="397" t="s">
        <v>107</v>
      </c>
      <c r="B3" s="397">
        <f>IF(Home!$C$7=Idiomas!A3,1,0)</f>
        <v>0</v>
      </c>
      <c r="E3" s="398" t="s">
        <v>108</v>
      </c>
      <c r="F3" s="398" t="s">
        <v>109</v>
      </c>
      <c r="G3" s="398" t="s">
        <v>106</v>
      </c>
      <c r="H3" s="398" t="s">
        <v>110</v>
      </c>
    </row>
    <row r="4" spans="1:8">
      <c r="D4" s="399" t="str">
        <f>IF($B$2,G4,H4)</f>
        <v>Introducir resultados Fase de Liga</v>
      </c>
      <c r="E4" s="400" t="s">
        <v>10</v>
      </c>
      <c r="F4" s="400" t="s">
        <v>111</v>
      </c>
      <c r="G4" s="400" t="s">
        <v>819</v>
      </c>
      <c r="H4" s="401" t="s">
        <v>820</v>
      </c>
    </row>
    <row r="5" spans="1:8">
      <c r="D5" s="402" t="str">
        <f>IF($B$2,G5,H5)</f>
        <v>Introducir resultados Fase KO</v>
      </c>
      <c r="E5" s="397" t="s">
        <v>10</v>
      </c>
      <c r="F5" s="397" t="s">
        <v>111</v>
      </c>
      <c r="G5" s="397" t="s">
        <v>839</v>
      </c>
      <c r="H5" s="403" t="s">
        <v>840</v>
      </c>
    </row>
    <row r="6" spans="1:8">
      <c r="D6" s="402" t="str">
        <f>IF($B$2,G6,H6)</f>
        <v>Predictor Equipos</v>
      </c>
      <c r="E6" s="397" t="s">
        <v>10</v>
      </c>
      <c r="F6" s="397" t="s">
        <v>111</v>
      </c>
      <c r="G6" s="397" t="s">
        <v>841</v>
      </c>
      <c r="H6" s="403" t="s">
        <v>842</v>
      </c>
    </row>
    <row r="7" spans="1:8">
      <c r="D7" s="402" t="str">
        <f t="shared" ref="D7:D16" si="0">IF($B$2,G7,H7)</f>
        <v>Si quieres organizar una porra con tu grupo puedes descargar el archivo para administrarla desde aquí.</v>
      </c>
      <c r="E7" s="397" t="s">
        <v>10</v>
      </c>
      <c r="F7" s="397" t="s">
        <v>112</v>
      </c>
      <c r="G7" s="397" t="s">
        <v>976</v>
      </c>
      <c r="H7" s="403" t="s">
        <v>843</v>
      </c>
    </row>
    <row r="8" spans="1:8">
      <c r="D8" s="402" t="str">
        <f t="shared" si="0"/>
        <v>Selecciona idioma -&gt;</v>
      </c>
      <c r="E8" s="397" t="s">
        <v>10</v>
      </c>
      <c r="F8" s="397" t="s">
        <v>113</v>
      </c>
      <c r="G8" s="397" t="s">
        <v>916</v>
      </c>
      <c r="H8" s="403" t="s">
        <v>917</v>
      </c>
    </row>
    <row r="9" spans="1:8">
      <c r="D9" s="402" t="str">
        <f t="shared" si="0"/>
        <v>LXXII
Champions League
2026-2027</v>
      </c>
      <c r="E9" s="397" t="s">
        <v>10</v>
      </c>
      <c r="F9" s="397" t="s">
        <v>114</v>
      </c>
      <c r="G9" s="397" t="str">
        <f>"LXXII"&amp;CHAR(10)&amp;"Champions League"&amp;CHAR(10)&amp;"2026-2027"</f>
        <v>LXXII
Champions League
2026-2027</v>
      </c>
      <c r="H9" s="397" t="str">
        <f>"LXXII"&amp;CHAR(10)&amp;"Champions League"&amp;CHAR(10)&amp;"2026-2027"</f>
        <v>LXXII
Champions League
2026-2027</v>
      </c>
    </row>
    <row r="10" spans="1:8">
      <c r="D10" s="402" t="str">
        <f t="shared" si="0"/>
        <v>Versiones para más participantes</v>
      </c>
      <c r="E10" s="397" t="s">
        <v>10</v>
      </c>
      <c r="F10" s="397" t="s">
        <v>115</v>
      </c>
      <c r="G10" s="397" t="s">
        <v>116</v>
      </c>
      <c r="H10" s="403" t="s">
        <v>117</v>
      </c>
    </row>
    <row r="11" spans="1:8" ht="16">
      <c r="C11" s="404" t="s">
        <v>118</v>
      </c>
      <c r="D11" s="402" t="str">
        <f t="shared" si="0"/>
        <v>https://matejero.es/download/admin-champions-26-27/</v>
      </c>
      <c r="E11" s="397" t="s">
        <v>10</v>
      </c>
      <c r="F11" s="397" t="s">
        <v>115</v>
      </c>
      <c r="G11" t="s">
        <v>1102</v>
      </c>
      <c r="H11" t="s">
        <v>1103</v>
      </c>
    </row>
    <row r="12" spans="1:8" ht="16" thickBot="1">
      <c r="C12" s="404" t="s">
        <v>707</v>
      </c>
      <c r="D12" s="405" t="str">
        <f t="shared" si="0"/>
        <v>Esta versión para un máximo de 500 participantes</v>
      </c>
      <c r="E12" s="406" t="s">
        <v>10</v>
      </c>
      <c r="F12" s="406"/>
      <c r="G12" s="407" t="s">
        <v>119</v>
      </c>
      <c r="H12" s="408" t="s">
        <v>120</v>
      </c>
    </row>
    <row r="13" spans="1:8" ht="16">
      <c r="C13" s="404"/>
      <c r="D13" s="402" t="str">
        <f t="shared" si="0"/>
        <v xml:space="preserve">Si en la hoja League, no ves los escudos de los equipos </v>
      </c>
      <c r="G13" s="397" t="s">
        <v>920</v>
      </c>
      <c r="H13" s="140" t="s">
        <v>922</v>
      </c>
    </row>
    <row r="14" spans="1:8" ht="16" thickBot="1">
      <c r="C14" s="404"/>
      <c r="D14" s="405" t="str">
        <f t="shared" si="0"/>
        <v>utiliza el otro archivo que venia en el archivo .zip</v>
      </c>
      <c r="G14" s="397" t="s">
        <v>921</v>
      </c>
      <c r="H14" s="397" t="s">
        <v>923</v>
      </c>
    </row>
    <row r="15" spans="1:8">
      <c r="C15" s="404"/>
      <c r="D15" s="397" t="str">
        <f t="shared" si="0"/>
        <v>Excel Mundial Femenino 2027</v>
      </c>
      <c r="G15" s="397" t="s">
        <v>1022</v>
      </c>
      <c r="H15" s="397" t="s">
        <v>1023</v>
      </c>
    </row>
    <row r="16" spans="1:8" ht="16">
      <c r="C16" s="404"/>
      <c r="D16" s="397" t="str">
        <f t="shared" si="0"/>
        <v>https://matejero.es/porra-mundial-femenino-excel/</v>
      </c>
      <c r="G16" s="397" t="s">
        <v>1104</v>
      </c>
      <c r="H16" t="s">
        <v>1105</v>
      </c>
    </row>
    <row r="17" spans="1:8" ht="16" thickBot="1"/>
    <row r="18" spans="1:8">
      <c r="D18" s="399" t="str">
        <f t="shared" ref="D18:D64" si="1">IF($B$2,G18,H18)</f>
        <v>Selecciona Horario -&gt;</v>
      </c>
      <c r="E18" s="400" t="s">
        <v>121</v>
      </c>
      <c r="F18" s="400" t="s">
        <v>122</v>
      </c>
      <c r="G18" s="400" t="s">
        <v>915</v>
      </c>
      <c r="H18" s="401" t="s">
        <v>914</v>
      </c>
    </row>
    <row r="19" spans="1:8">
      <c r="D19" s="402" t="str">
        <f t="shared" si="1"/>
        <v>Rellenar los cuadros grises</v>
      </c>
      <c r="E19" s="397" t="s">
        <v>121</v>
      </c>
      <c r="F19" s="397" t="s">
        <v>123</v>
      </c>
      <c r="G19" s="397" t="s">
        <v>12</v>
      </c>
      <c r="H19" s="403" t="s">
        <v>124</v>
      </c>
    </row>
    <row r="20" spans="1:8">
      <c r="D20" s="402" t="str">
        <f t="shared" si="1"/>
        <v>Fecha</v>
      </c>
      <c r="E20" s="397" t="s">
        <v>121</v>
      </c>
      <c r="F20" s="397" t="s">
        <v>125</v>
      </c>
      <c r="G20" s="397" t="s">
        <v>44</v>
      </c>
      <c r="H20" s="403" t="s">
        <v>126</v>
      </c>
    </row>
    <row r="21" spans="1:8">
      <c r="D21" s="402" t="str">
        <f t="shared" si="1"/>
        <v>Hora</v>
      </c>
      <c r="E21" s="397" t="s">
        <v>121</v>
      </c>
      <c r="F21" s="397" t="s">
        <v>127</v>
      </c>
      <c r="G21" s="397" t="s">
        <v>45</v>
      </c>
      <c r="H21" s="403" t="s">
        <v>128</v>
      </c>
    </row>
    <row r="22" spans="1:8">
      <c r="A22" s="409"/>
      <c r="D22" s="402" t="str">
        <f t="shared" si="1"/>
        <v>Jor.</v>
      </c>
      <c r="E22" s="397" t="s">
        <v>121</v>
      </c>
      <c r="F22" s="397" t="s">
        <v>129</v>
      </c>
      <c r="G22" s="397" t="s">
        <v>130</v>
      </c>
      <c r="H22" s="403" t="s">
        <v>131</v>
      </c>
    </row>
    <row r="23" spans="1:8">
      <c r="A23" s="410"/>
      <c r="D23" s="402" t="str">
        <f t="shared" si="1"/>
        <v>Equipo Local</v>
      </c>
      <c r="E23" s="397" t="s">
        <v>121</v>
      </c>
      <c r="F23" s="397" t="s">
        <v>132</v>
      </c>
      <c r="G23" s="397" t="s">
        <v>687</v>
      </c>
      <c r="H23" s="403" t="s">
        <v>705</v>
      </c>
    </row>
    <row r="24" spans="1:8">
      <c r="A24" s="410"/>
      <c r="D24" s="402" t="str">
        <f t="shared" si="1"/>
        <v>Gol</v>
      </c>
      <c r="E24" s="397" t="s">
        <v>121</v>
      </c>
      <c r="F24" s="397" t="s">
        <v>133</v>
      </c>
      <c r="G24" s="397" t="s">
        <v>704</v>
      </c>
      <c r="H24" s="403" t="s">
        <v>703</v>
      </c>
    </row>
    <row r="25" spans="1:8">
      <c r="A25" s="410"/>
      <c r="D25" s="402" t="str">
        <f t="shared" si="1"/>
        <v>Gol</v>
      </c>
      <c r="G25" s="397" t="s">
        <v>704</v>
      </c>
      <c r="H25" s="403" t="s">
        <v>703</v>
      </c>
    </row>
    <row r="26" spans="1:8">
      <c r="A26" s="410"/>
      <c r="D26" s="402" t="str">
        <f t="shared" si="1"/>
        <v>Equipo Visitante</v>
      </c>
      <c r="E26" s="397" t="s">
        <v>121</v>
      </c>
      <c r="F26" s="397" t="s">
        <v>134</v>
      </c>
      <c r="G26" s="397" t="s">
        <v>688</v>
      </c>
      <c r="H26" s="403" t="s">
        <v>706</v>
      </c>
    </row>
    <row r="27" spans="1:8">
      <c r="A27" s="410"/>
      <c r="D27" s="402" t="str">
        <f t="shared" si="1"/>
        <v>CAMPEÓN CHAMPIONS 26-27:</v>
      </c>
      <c r="G27" s="397" t="s">
        <v>1000</v>
      </c>
      <c r="H27" s="403" t="s">
        <v>1001</v>
      </c>
    </row>
    <row r="28" spans="1:8">
      <c r="A28" s="411"/>
      <c r="D28" s="402" t="str">
        <f t="shared" si="1"/>
        <v>IR A LAS ELIMINATORIAS</v>
      </c>
      <c r="E28" s="397" t="s">
        <v>121</v>
      </c>
      <c r="F28" s="397" t="s">
        <v>135</v>
      </c>
      <c r="G28" s="397" t="s">
        <v>1025</v>
      </c>
      <c r="H28" s="403" t="s">
        <v>1026</v>
      </c>
    </row>
    <row r="29" spans="1:8">
      <c r="A29" s="410"/>
      <c r="D29" s="412" t="str">
        <f t="shared" si="1"/>
        <v>¡EMPATE! Puedes seleccionar el orden de los empatados.</v>
      </c>
      <c r="E29" s="413" t="s">
        <v>121</v>
      </c>
      <c r="F29" s="413" t="s">
        <v>136</v>
      </c>
      <c r="G29" s="413" t="s">
        <v>137</v>
      </c>
      <c r="H29" s="414" t="s">
        <v>708</v>
      </c>
    </row>
    <row r="30" spans="1:8">
      <c r="A30" s="410"/>
      <c r="D30" s="412" t="str">
        <f t="shared" si="1"/>
        <v>¡EMPATE! Puedes seleccionar el orden de los empatados entre los terceros.</v>
      </c>
      <c r="E30" s="413" t="s">
        <v>121</v>
      </c>
      <c r="F30" s="413" t="s">
        <v>139</v>
      </c>
      <c r="G30" s="413" t="s">
        <v>140</v>
      </c>
      <c r="H30" s="414" t="s">
        <v>138</v>
      </c>
    </row>
    <row r="31" spans="1:8">
      <c r="A31" s="410"/>
      <c r="D31" s="402" t="str">
        <f t="shared" si="1"/>
        <v>Playoffs</v>
      </c>
      <c r="E31" s="397" t="s">
        <v>121</v>
      </c>
      <c r="F31" s="397" t="s">
        <v>141</v>
      </c>
      <c r="G31" s="397" t="s">
        <v>809</v>
      </c>
      <c r="H31" s="403" t="s">
        <v>809</v>
      </c>
    </row>
    <row r="32" spans="1:8">
      <c r="A32" s="410"/>
      <c r="D32" s="402" t="str">
        <f t="shared" si="1"/>
        <v>Octavos de final</v>
      </c>
      <c r="E32" s="397" t="s">
        <v>121</v>
      </c>
      <c r="F32" s="397" t="s">
        <v>142</v>
      </c>
      <c r="G32" s="397" t="s">
        <v>143</v>
      </c>
      <c r="H32" s="403" t="s">
        <v>144</v>
      </c>
    </row>
    <row r="33" spans="1:8">
      <c r="A33" s="410"/>
      <c r="D33" s="402" t="str">
        <f t="shared" si="1"/>
        <v>Cuartos de final</v>
      </c>
      <c r="E33" s="397" t="s">
        <v>121</v>
      </c>
      <c r="F33" s="397" t="s">
        <v>145</v>
      </c>
      <c r="G33" s="397" t="s">
        <v>146</v>
      </c>
      <c r="H33" s="403" t="s">
        <v>147</v>
      </c>
    </row>
    <row r="34" spans="1:8">
      <c r="A34" s="410"/>
      <c r="D34" s="402" t="str">
        <f t="shared" si="1"/>
        <v>Semifinales</v>
      </c>
      <c r="E34" s="397" t="s">
        <v>121</v>
      </c>
      <c r="F34" s="397" t="s">
        <v>148</v>
      </c>
      <c r="G34" s="397" t="s">
        <v>149</v>
      </c>
      <c r="H34" s="403" t="s">
        <v>150</v>
      </c>
    </row>
    <row r="35" spans="1:8">
      <c r="D35" s="402" t="str">
        <f t="shared" si="1"/>
        <v>Final</v>
      </c>
      <c r="E35" s="397" t="s">
        <v>121</v>
      </c>
      <c r="F35" s="397" t="s">
        <v>151</v>
      </c>
      <c r="G35" s="397" t="s">
        <v>152</v>
      </c>
      <c r="H35" s="403" t="s">
        <v>152</v>
      </c>
    </row>
    <row r="36" spans="1:8">
      <c r="D36" s="402" t="str">
        <f t="shared" si="1"/>
        <v>CUADRO DE HONOR</v>
      </c>
      <c r="E36" s="397" t="s">
        <v>121</v>
      </c>
      <c r="F36" s="397" t="s">
        <v>153</v>
      </c>
      <c r="G36" s="397" t="s">
        <v>154</v>
      </c>
      <c r="H36" s="403" t="s">
        <v>155</v>
      </c>
    </row>
    <row r="37" spans="1:8">
      <c r="D37" s="402" t="str">
        <f t="shared" si="1"/>
        <v>Campeón</v>
      </c>
      <c r="E37" s="397" t="s">
        <v>121</v>
      </c>
      <c r="F37" s="397" t="s">
        <v>156</v>
      </c>
      <c r="G37" s="397" t="s">
        <v>55</v>
      </c>
      <c r="H37" s="403" t="s">
        <v>157</v>
      </c>
    </row>
    <row r="38" spans="1:8">
      <c r="D38" s="402" t="str">
        <f t="shared" si="1"/>
        <v>Subcampeón</v>
      </c>
      <c r="E38" s="397" t="s">
        <v>121</v>
      </c>
      <c r="F38" s="397" t="s">
        <v>158</v>
      </c>
      <c r="G38" s="397" t="s">
        <v>159</v>
      </c>
      <c r="H38" s="403" t="s">
        <v>160</v>
      </c>
    </row>
    <row r="39" spans="1:8">
      <c r="D39" s="402" t="str">
        <f t="shared" si="1"/>
        <v>Goleador del torneo</v>
      </c>
      <c r="E39" s="397" t="s">
        <v>121</v>
      </c>
      <c r="F39" s="397" t="s">
        <v>161</v>
      </c>
      <c r="G39" s="397" t="s">
        <v>162</v>
      </c>
      <c r="H39" s="403" t="s">
        <v>163</v>
      </c>
    </row>
    <row r="40" spans="1:8">
      <c r="D40" s="402" t="str">
        <f t="shared" si="1"/>
        <v>Mejor jugador del torneo</v>
      </c>
      <c r="E40" s="397" t="s">
        <v>121</v>
      </c>
      <c r="F40" s="397" t="s">
        <v>164</v>
      </c>
      <c r="G40" s="397" t="s">
        <v>165</v>
      </c>
      <c r="H40" s="403" t="s">
        <v>166</v>
      </c>
    </row>
    <row r="41" spans="1:8">
      <c r="C41" s="397" t="s">
        <v>167</v>
      </c>
      <c r="D41" s="402" t="str">
        <f t="shared" si="1"/>
        <v>Escribe el nombre máximo goleador</v>
      </c>
      <c r="E41" s="397" t="s">
        <v>121</v>
      </c>
      <c r="F41" s="397" t="s">
        <v>168</v>
      </c>
      <c r="G41" s="397" t="s">
        <v>169</v>
      </c>
      <c r="H41" s="403" t="s">
        <v>170</v>
      </c>
    </row>
    <row r="42" spans="1:8">
      <c r="C42" s="397" t="s">
        <v>167</v>
      </c>
      <c r="D42" s="402" t="str">
        <f t="shared" si="1"/>
        <v>Escribe el nombre del mejor jugador</v>
      </c>
      <c r="E42" s="397" t="s">
        <v>121</v>
      </c>
      <c r="F42" s="397" t="s">
        <v>171</v>
      </c>
      <c r="G42" s="397" t="s">
        <v>172</v>
      </c>
      <c r="H42" s="403" t="s">
        <v>173</v>
      </c>
    </row>
    <row r="43" spans="1:8">
      <c r="D43" s="402" t="str">
        <f t="shared" si="1"/>
        <v>Escribe tu nombre -&gt;</v>
      </c>
      <c r="E43" s="397" t="s">
        <v>121</v>
      </c>
      <c r="F43" s="397" t="s">
        <v>174</v>
      </c>
      <c r="G43" s="397" t="s">
        <v>918</v>
      </c>
      <c r="H43" s="403" t="s">
        <v>919</v>
      </c>
    </row>
    <row r="44" spans="1:8">
      <c r="D44" s="402" t="str">
        <f t="shared" si="1"/>
        <v>Nombre</v>
      </c>
      <c r="G44" s="397" t="s">
        <v>215</v>
      </c>
      <c r="H44" s="403" t="s">
        <v>216</v>
      </c>
    </row>
    <row r="45" spans="1:8">
      <c r="C45" s="397" t="s">
        <v>167</v>
      </c>
      <c r="D45" s="402" t="str">
        <f t="shared" si="1"/>
        <v>ADMINISTRADOR</v>
      </c>
      <c r="E45" s="397" t="s">
        <v>121</v>
      </c>
      <c r="F45" s="397" t="s">
        <v>175</v>
      </c>
      <c r="G45" s="397" t="s">
        <v>176</v>
      </c>
      <c r="H45" s="403" t="s">
        <v>177</v>
      </c>
    </row>
    <row r="46" spans="1:8">
      <c r="C46" s="397" t="s">
        <v>167</v>
      </c>
      <c r="D46" s="402" t="str">
        <f t="shared" si="1"/>
        <v>CHAMPIONS EN PROCESO</v>
      </c>
      <c r="E46" s="397" t="s">
        <v>121</v>
      </c>
      <c r="F46" s="397" t="s">
        <v>178</v>
      </c>
      <c r="G46" s="397" t="s">
        <v>709</v>
      </c>
      <c r="H46" s="403" t="s">
        <v>710</v>
      </c>
    </row>
    <row r="47" spans="1:8">
      <c r="C47" s="397" t="s">
        <v>167</v>
      </c>
      <c r="D47" s="402" t="str">
        <f t="shared" si="1"/>
        <v>Todavía queda torneo</v>
      </c>
      <c r="E47" s="397" t="s">
        <v>121</v>
      </c>
      <c r="F47" s="397" t="s">
        <v>179</v>
      </c>
      <c r="G47" s="397" t="s">
        <v>180</v>
      </c>
      <c r="H47" s="403" t="s">
        <v>181</v>
      </c>
    </row>
    <row r="48" spans="1:8">
      <c r="C48" s="397" t="s">
        <v>167</v>
      </c>
      <c r="D48" s="402" t="str">
        <f t="shared" si="1"/>
        <v>CHAMPIONS FINALIZADA</v>
      </c>
      <c r="E48" s="397" t="s">
        <v>121</v>
      </c>
      <c r="F48" s="397" t="s">
        <v>182</v>
      </c>
      <c r="G48" s="397" t="s">
        <v>711</v>
      </c>
      <c r="H48" s="403" t="s">
        <v>712</v>
      </c>
    </row>
    <row r="49" spans="3:8">
      <c r="C49" s="397" t="s">
        <v>167</v>
      </c>
      <c r="D49" s="402" t="str">
        <f t="shared" si="1"/>
        <v>¿Quién habrá ganado?</v>
      </c>
      <c r="E49" s="397" t="s">
        <v>121</v>
      </c>
      <c r="F49" s="397" t="s">
        <v>183</v>
      </c>
      <c r="G49" s="397" t="s">
        <v>184</v>
      </c>
      <c r="H49" s="403" t="s">
        <v>185</v>
      </c>
    </row>
    <row r="50" spans="3:8">
      <c r="D50" s="402" t="str">
        <f t="shared" si="1"/>
        <v>Selecciona un primero</v>
      </c>
      <c r="G50" s="397" t="s">
        <v>724</v>
      </c>
      <c r="H50" s="403" t="s">
        <v>725</v>
      </c>
    </row>
    <row r="51" spans="3:8">
      <c r="D51" s="402" t="str">
        <f t="shared" si="1"/>
        <v>Selecciona un Playoff</v>
      </c>
      <c r="G51" s="397" t="s">
        <v>726</v>
      </c>
      <c r="H51" s="403" t="s">
        <v>727</v>
      </c>
    </row>
    <row r="52" spans="3:8">
      <c r="D52" s="402" t="str">
        <f t="shared" si="1"/>
        <v>Pos</v>
      </c>
      <c r="E52" s="397" t="s">
        <v>717</v>
      </c>
      <c r="F52" s="397" t="s">
        <v>186</v>
      </c>
      <c r="G52" s="397" t="s">
        <v>11</v>
      </c>
      <c r="H52" s="403" t="s">
        <v>11</v>
      </c>
    </row>
    <row r="53" spans="3:8">
      <c r="D53" s="402" t="str">
        <f t="shared" si="1"/>
        <v>Equipo</v>
      </c>
      <c r="E53" s="397" t="s">
        <v>717</v>
      </c>
      <c r="F53" s="397" t="s">
        <v>187</v>
      </c>
      <c r="G53" s="397" t="s">
        <v>3</v>
      </c>
      <c r="H53" s="403" t="s">
        <v>689</v>
      </c>
    </row>
    <row r="54" spans="3:8">
      <c r="D54" s="402" t="str">
        <f t="shared" si="1"/>
        <v>Pts</v>
      </c>
      <c r="E54" s="397" t="s">
        <v>717</v>
      </c>
      <c r="F54" s="397" t="s">
        <v>188</v>
      </c>
      <c r="G54" s="397" t="s">
        <v>24</v>
      </c>
      <c r="H54" s="403" t="s">
        <v>24</v>
      </c>
    </row>
    <row r="55" spans="3:8">
      <c r="D55" s="402" t="str">
        <f t="shared" si="1"/>
        <v>J</v>
      </c>
      <c r="E55" s="397" t="s">
        <v>717</v>
      </c>
      <c r="F55" s="397" t="s">
        <v>189</v>
      </c>
      <c r="G55" s="397" t="s">
        <v>4</v>
      </c>
      <c r="H55" s="403" t="s">
        <v>7</v>
      </c>
    </row>
    <row r="56" spans="3:8">
      <c r="D56" s="402" t="str">
        <f t="shared" si="1"/>
        <v>G</v>
      </c>
      <c r="E56" s="397" t="s">
        <v>717</v>
      </c>
      <c r="F56" s="397" t="s">
        <v>190</v>
      </c>
      <c r="G56" s="397" t="s">
        <v>5</v>
      </c>
      <c r="H56" s="403" t="s">
        <v>191</v>
      </c>
    </row>
    <row r="57" spans="3:8">
      <c r="D57" s="402" t="str">
        <f t="shared" si="1"/>
        <v>E</v>
      </c>
      <c r="E57" s="397" t="s">
        <v>717</v>
      </c>
      <c r="F57" s="397" t="s">
        <v>192</v>
      </c>
      <c r="G57" s="397" t="s">
        <v>6</v>
      </c>
      <c r="H57" s="403" t="s">
        <v>193</v>
      </c>
    </row>
    <row r="58" spans="3:8">
      <c r="D58" s="402" t="str">
        <f t="shared" si="1"/>
        <v>P</v>
      </c>
      <c r="E58" s="397" t="s">
        <v>717</v>
      </c>
      <c r="F58" s="397" t="s">
        <v>194</v>
      </c>
      <c r="G58" s="397" t="s">
        <v>7</v>
      </c>
      <c r="H58" s="403" t="s">
        <v>195</v>
      </c>
    </row>
    <row r="59" spans="3:8">
      <c r="D59" s="402" t="str">
        <f t="shared" si="1"/>
        <v>GF</v>
      </c>
      <c r="E59" s="397" t="s">
        <v>717</v>
      </c>
      <c r="F59" s="397" t="s">
        <v>196</v>
      </c>
      <c r="G59" s="397" t="s">
        <v>8</v>
      </c>
      <c r="H59" s="403" t="s">
        <v>54</v>
      </c>
    </row>
    <row r="60" spans="3:8">
      <c r="D60" s="402" t="str">
        <f t="shared" si="1"/>
        <v>GC</v>
      </c>
      <c r="E60" s="397" t="s">
        <v>717</v>
      </c>
      <c r="F60" s="397" t="s">
        <v>197</v>
      </c>
      <c r="G60" s="397" t="s">
        <v>9</v>
      </c>
      <c r="H60" s="403" t="s">
        <v>1</v>
      </c>
    </row>
    <row r="61" spans="3:8" ht="16" thickBot="1">
      <c r="D61" s="405" t="str">
        <f t="shared" si="1"/>
        <v>DG</v>
      </c>
      <c r="E61" s="397" t="s">
        <v>717</v>
      </c>
      <c r="F61" s="406" t="s">
        <v>198</v>
      </c>
      <c r="G61" s="406" t="s">
        <v>25</v>
      </c>
      <c r="H61" s="415" t="s">
        <v>70</v>
      </c>
    </row>
    <row r="62" spans="3:8">
      <c r="D62" s="397" t="str">
        <f t="shared" si="1"/>
        <v>C</v>
      </c>
      <c r="E62" s="397" t="s">
        <v>717</v>
      </c>
      <c r="G62" s="397" t="s">
        <v>56</v>
      </c>
      <c r="H62" s="397" t="s">
        <v>690</v>
      </c>
    </row>
    <row r="63" spans="3:8">
      <c r="D63" s="397" t="str">
        <f t="shared" si="1"/>
        <v>F</v>
      </c>
      <c r="E63" s="397" t="s">
        <v>717</v>
      </c>
      <c r="G63" s="397" t="s">
        <v>54</v>
      </c>
      <c r="H63" s="397" t="s">
        <v>1</v>
      </c>
    </row>
    <row r="64" spans="3:8">
      <c r="D64" s="397" t="str">
        <f t="shared" si="1"/>
        <v>Puntos penalizados</v>
      </c>
      <c r="E64" s="397" t="s">
        <v>717</v>
      </c>
      <c r="G64" s="397" t="s">
        <v>715</v>
      </c>
      <c r="H64" s="397" t="s">
        <v>716</v>
      </c>
    </row>
    <row r="65" spans="3:16">
      <c r="D65" s="397" t="str">
        <f>IF($B$2,G65,H65)</f>
        <v>Seleccionar el orden de los empatados.</v>
      </c>
      <c r="E65" s="397" t="s">
        <v>717</v>
      </c>
      <c r="G65" s="397" t="s">
        <v>822</v>
      </c>
      <c r="H65" s="403" t="s">
        <v>718</v>
      </c>
    </row>
    <row r="66" spans="3:16">
      <c r="D66" s="397" t="str">
        <f>IF($B$2,G66,H66)</f>
        <v>Clasificado</v>
      </c>
      <c r="G66" s="397" t="s">
        <v>972</v>
      </c>
      <c r="H66" s="397" t="s">
        <v>973</v>
      </c>
    </row>
    <row r="67" spans="3:16" ht="16">
      <c r="D67" s="397" t="str">
        <f>IF($B$2,G67,H67)</f>
        <v>Para ver los enfrentamientos una vez se realice el sorteo de playoffs tendrás que ir a la pestaña Datos → Actualizar todo o volver a descargar el archivo.</v>
      </c>
      <c r="G67" s="140" t="s">
        <v>1074</v>
      </c>
      <c r="H67" s="140" t="s">
        <v>1073</v>
      </c>
    </row>
    <row r="69" spans="3:16" ht="16" thickBot="1"/>
    <row r="70" spans="3:16" ht="15" customHeight="1">
      <c r="D70" s="399" t="str">
        <f>IF($B$2,G70,H70)</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70" s="400" t="s">
        <v>199</v>
      </c>
      <c r="F70" s="400" t="s">
        <v>200</v>
      </c>
      <c r="G70" s="400" t="s">
        <v>15</v>
      </c>
      <c r="H70" s="416" t="s">
        <v>201</v>
      </c>
    </row>
    <row r="71" spans="3:16">
      <c r="D71" s="402" t="str">
        <f>IF($B$2,G71,H71)</f>
        <v>Autor:</v>
      </c>
      <c r="E71" s="397" t="s">
        <v>199</v>
      </c>
      <c r="F71" s="397" t="s">
        <v>202</v>
      </c>
      <c r="G71" s="397" t="s">
        <v>16</v>
      </c>
      <c r="H71" s="403" t="s">
        <v>203</v>
      </c>
    </row>
    <row r="72" spans="3:16">
      <c r="D72" s="402" t="str">
        <f>IF($B$2,G72,H72)</f>
        <v>Útima versión</v>
      </c>
      <c r="E72" s="397" t="s">
        <v>199</v>
      </c>
      <c r="F72" s="397" t="s">
        <v>204</v>
      </c>
      <c r="G72" s="397" t="s">
        <v>205</v>
      </c>
      <c r="H72" s="403" t="s">
        <v>206</v>
      </c>
    </row>
    <row r="73" spans="3:16" ht="16" thickBot="1">
      <c r="D73" s="405" t="str">
        <f>IF($B$2,G73,H73)</f>
        <v>Limitación de responsabilidad:</v>
      </c>
      <c r="E73" s="406" t="s">
        <v>199</v>
      </c>
      <c r="F73" s="406" t="s">
        <v>207</v>
      </c>
      <c r="G73" s="406" t="s">
        <v>14</v>
      </c>
      <c r="H73" s="415" t="s">
        <v>208</v>
      </c>
    </row>
    <row r="75" spans="3:16" ht="16" thickBot="1"/>
    <row r="76" spans="3:16">
      <c r="C76" s="404" t="s">
        <v>209</v>
      </c>
      <c r="D76" s="399" t="str">
        <f t="shared" ref="D76:D121" si="2">IF($B$2,G76,H76)</f>
        <v>Para el administrador de la porra</v>
      </c>
      <c r="E76" s="400" t="s">
        <v>210</v>
      </c>
      <c r="F76" s="400" t="s">
        <v>49</v>
      </c>
      <c r="G76" s="400" t="s">
        <v>211</v>
      </c>
      <c r="H76" s="401" t="s">
        <v>212</v>
      </c>
    </row>
    <row r="77" spans="3:16">
      <c r="D77" s="402" t="str">
        <f t="shared" si="2"/>
        <v>PARTICIPANTE</v>
      </c>
      <c r="E77" s="397" t="s">
        <v>210</v>
      </c>
      <c r="F77" s="397" t="s">
        <v>207</v>
      </c>
      <c r="G77" s="397" t="s">
        <v>213</v>
      </c>
      <c r="H77" s="403" t="s">
        <v>214</v>
      </c>
    </row>
    <row r="78" spans="3:16">
      <c r="D78" s="402" t="str">
        <f t="shared" si="2"/>
        <v>Nombre</v>
      </c>
      <c r="E78" s="397" t="s">
        <v>210</v>
      </c>
      <c r="F78" s="397" t="s">
        <v>200</v>
      </c>
      <c r="G78" s="397" t="s">
        <v>215</v>
      </c>
      <c r="H78" s="403" t="s">
        <v>216</v>
      </c>
    </row>
    <row r="79" spans="3:16">
      <c r="D79" s="402" t="str">
        <f t="shared" si="2"/>
        <v>¡No tocar nada, se rellena solo!</v>
      </c>
      <c r="E79" s="397" t="s">
        <v>210</v>
      </c>
      <c r="F79" s="397" t="s">
        <v>51</v>
      </c>
      <c r="G79" s="397" t="s">
        <v>217</v>
      </c>
      <c r="H79" s="403" t="s">
        <v>218</v>
      </c>
    </row>
    <row r="80" spans="3:16" ht="15" customHeight="1">
      <c r="D80" s="402" t="str">
        <f t="shared" si="2"/>
        <v>EL ADMINISTRADOR DE LA PORRA SEGUIRÁ LAS INSTRUCCIONES DE AQUÍ ABAJO</v>
      </c>
      <c r="E80" s="397" t="s">
        <v>210</v>
      </c>
      <c r="F80" s="397" t="s">
        <v>122</v>
      </c>
      <c r="G80" s="397" t="s">
        <v>219</v>
      </c>
      <c r="H80" s="403" t="s">
        <v>220</v>
      </c>
      <c r="I80" s="417"/>
      <c r="J80" s="417"/>
      <c r="K80" s="417"/>
      <c r="L80" s="417"/>
      <c r="M80" s="417"/>
      <c r="N80" s="417"/>
      <c r="O80" s="417"/>
      <c r="P80" s="417"/>
    </row>
    <row r="81" spans="4:16" ht="15" customHeight="1">
      <c r="D81" s="402" t="str">
        <f t="shared" si="2"/>
        <v>·Si haceis toda la Eurocopa de golpe copiar de la C7 a la 134 y pegar valores en la plantilla de Administrador.</v>
      </c>
      <c r="E81" s="397" t="s">
        <v>210</v>
      </c>
      <c r="F81" s="397" t="s">
        <v>221</v>
      </c>
      <c r="G81" s="397" t="s">
        <v>924</v>
      </c>
      <c r="H81" s="403" t="s">
        <v>925</v>
      </c>
      <c r="I81" s="417"/>
      <c r="J81" s="417"/>
      <c r="K81" s="417"/>
      <c r="L81" s="417"/>
      <c r="M81" s="417"/>
      <c r="N81" s="417"/>
      <c r="O81" s="417"/>
      <c r="P81" s="417"/>
    </row>
    <row r="82" spans="4:16">
      <c r="D82" s="402" t="str">
        <f t="shared" si="2"/>
        <v>·Si haceis toda la fase de grupos de golpe, en vez de jornada a jornada selecciona de la C7 a la C217 y pega valores en la plantilla de Administrador</v>
      </c>
      <c r="E82" s="397" t="s">
        <v>210</v>
      </c>
      <c r="F82" s="397" t="s">
        <v>222</v>
      </c>
      <c r="G82" s="397" t="s">
        <v>967</v>
      </c>
      <c r="H82" s="403" t="s">
        <v>968</v>
      </c>
    </row>
    <row r="83" spans="4:16" ht="15" customHeight="1">
      <c r="D83" s="402" t="str">
        <f t="shared" si="2"/>
        <v>·Si haceis jornada a jornada seguir las instrucciones de cada jornada</v>
      </c>
      <c r="E83" s="397" t="s">
        <v>210</v>
      </c>
      <c r="F83" s="397" t="s">
        <v>223</v>
      </c>
      <c r="G83" s="397" t="s">
        <v>224</v>
      </c>
      <c r="H83" s="403" t="s">
        <v>225</v>
      </c>
      <c r="I83" s="418"/>
      <c r="J83" s="418"/>
      <c r="K83" s="418"/>
      <c r="L83" s="418"/>
    </row>
    <row r="84" spans="4:16">
      <c r="D84" s="402" t="str">
        <f t="shared" si="2"/>
        <v>·Si haceis jornada a jornada, para la primera jornada selecciona de la C6 a la C24 y pega valores en la plantilla de administrador</v>
      </c>
      <c r="E84" s="397" t="s">
        <v>210</v>
      </c>
      <c r="F84" s="397" t="s">
        <v>226</v>
      </c>
      <c r="G84" s="397" t="s">
        <v>849</v>
      </c>
      <c r="H84" s="397" t="s">
        <v>848</v>
      </c>
    </row>
    <row r="85" spans="4:16">
      <c r="D85" s="402" t="str">
        <f t="shared" si="2"/>
        <v>·Para la 2ª jornada selecciona de la C25 a la C42 y pega valores en la plantilla de administrador</v>
      </c>
      <c r="E85" s="397" t="s">
        <v>210</v>
      </c>
      <c r="F85" s="397" t="s">
        <v>227</v>
      </c>
      <c r="G85" s="397" t="s">
        <v>851</v>
      </c>
      <c r="H85" s="403" t="s">
        <v>850</v>
      </c>
    </row>
    <row r="86" spans="4:16">
      <c r="D86" s="402" t="str">
        <f t="shared" si="2"/>
        <v>·Para la 3ª jornada selecciona de la C43 a la C60 y pega valores en la plantilla de administrador</v>
      </c>
      <c r="E86" s="397" t="s">
        <v>210</v>
      </c>
      <c r="F86" s="397" t="s">
        <v>228</v>
      </c>
      <c r="G86" s="397" t="s">
        <v>856</v>
      </c>
      <c r="H86" s="403" t="s">
        <v>857</v>
      </c>
    </row>
    <row r="87" spans="4:16">
      <c r="D87" s="402" t="str">
        <f t="shared" si="2"/>
        <v>·Para la 4ª jornada selecciona de la C61 a la C78 y pega valores en la plantilla de administrador</v>
      </c>
      <c r="E87" s="397" t="s">
        <v>210</v>
      </c>
      <c r="G87" s="397" t="s">
        <v>852</v>
      </c>
      <c r="H87" s="403" t="s">
        <v>858</v>
      </c>
    </row>
    <row r="88" spans="4:16">
      <c r="D88" s="402" t="str">
        <f t="shared" si="2"/>
        <v>·Para la 5ª jornada selecciona de la C79 a la C96 y pega valores en la plantilla de administrador</v>
      </c>
      <c r="E88" s="397" t="s">
        <v>210</v>
      </c>
      <c r="G88" s="397" t="s">
        <v>853</v>
      </c>
      <c r="H88" s="403" t="s">
        <v>859</v>
      </c>
    </row>
    <row r="89" spans="4:16">
      <c r="D89" s="402" t="str">
        <f t="shared" si="2"/>
        <v>·Para la 6ª jornada selecciona de la C97 a la C114 y pega valores en la plantilla de administrador</v>
      </c>
      <c r="E89" s="397" t="s">
        <v>210</v>
      </c>
      <c r="G89" s="397" t="s">
        <v>854</v>
      </c>
      <c r="H89" s="403" t="s">
        <v>860</v>
      </c>
    </row>
    <row r="90" spans="4:16">
      <c r="D90" s="402" t="str">
        <f t="shared" si="2"/>
        <v>·Para la 7ª jornada selecciona de la C115 a la C132 y pega valores en la plantilla de administrador</v>
      </c>
      <c r="E90" s="397" t="s">
        <v>210</v>
      </c>
      <c r="G90" s="397" t="s">
        <v>855</v>
      </c>
      <c r="H90" s="403" t="s">
        <v>861</v>
      </c>
    </row>
    <row r="91" spans="4:16">
      <c r="D91" s="402" t="str">
        <f t="shared" si="2"/>
        <v>·Para la 8ª jornada selecciona de la C133 a la C217 y pega valores en la plantilla de administrador</v>
      </c>
      <c r="E91" s="397" t="s">
        <v>210</v>
      </c>
      <c r="G91" s="397" t="s">
        <v>965</v>
      </c>
      <c r="H91" s="403" t="s">
        <v>966</v>
      </c>
    </row>
    <row r="92" spans="4:16">
      <c r="D92" s="402" t="str">
        <f t="shared" si="2"/>
        <v>·Copiar de la C6 a la C41 y pegarlo en el administrador donde el Predictor</v>
      </c>
      <c r="G92" s="397" t="s">
        <v>867</v>
      </c>
      <c r="H92" s="403" t="s">
        <v>868</v>
      </c>
    </row>
    <row r="93" spans="4:16">
      <c r="D93" s="402"/>
      <c r="H93" s="403"/>
    </row>
    <row r="94" spans="4:16">
      <c r="D94" s="402" t="str">
        <f t="shared" si="2"/>
        <v>·Si haceis todas las eliminatorias de golpe, copiar de la C88 a la C132 y pegar valores en la plantilla de Administrador.</v>
      </c>
      <c r="E94" s="397" t="s">
        <v>210</v>
      </c>
      <c r="F94" s="397" t="s">
        <v>229</v>
      </c>
      <c r="G94" s="397" t="s">
        <v>230</v>
      </c>
      <c r="H94" s="403" t="s">
        <v>231</v>
      </c>
    </row>
    <row r="95" spans="4:16">
      <c r="D95" s="402" t="str">
        <f t="shared" si="2"/>
        <v>·Para los Playoffs selecciona de la C6 a la C31 y pega valores en la plantilla de administrador.</v>
      </c>
      <c r="E95" s="397" t="s">
        <v>210</v>
      </c>
      <c r="F95" s="397" t="s">
        <v>232</v>
      </c>
      <c r="G95" s="397" t="s">
        <v>953</v>
      </c>
      <c r="H95" s="403" t="s">
        <v>954</v>
      </c>
    </row>
    <row r="96" spans="4:16">
      <c r="D96" s="402" t="str">
        <f t="shared" si="2"/>
        <v>·Para los octavos selecciona de la C34 a la C59 y pega valores en la plantilla de administrador.</v>
      </c>
      <c r="E96" s="397" t="s">
        <v>210</v>
      </c>
      <c r="F96" s="397" t="s">
        <v>233</v>
      </c>
      <c r="G96" s="397" t="s">
        <v>955</v>
      </c>
      <c r="H96" s="403" t="s">
        <v>956</v>
      </c>
    </row>
    <row r="97" spans="4:8">
      <c r="D97" s="402" t="str">
        <f t="shared" si="2"/>
        <v>·Para los cuartos selecciona de la C62 a la C75 y pega valores en la plantilla de administrador.</v>
      </c>
      <c r="E97" s="397" t="s">
        <v>210</v>
      </c>
      <c r="F97" s="397" t="s">
        <v>234</v>
      </c>
      <c r="G97" s="397" t="s">
        <v>957</v>
      </c>
      <c r="H97" s="403" t="s">
        <v>958</v>
      </c>
    </row>
    <row r="98" spans="4:8">
      <c r="D98" s="402" t="str">
        <f t="shared" si="2"/>
        <v>·Para las semifinales selecciona de la C78 a la C85 y pega valores en la plantilla de administrador.</v>
      </c>
      <c r="E98" s="397" t="s">
        <v>210</v>
      </c>
      <c r="F98" s="397" t="s">
        <v>235</v>
      </c>
      <c r="G98" s="397" t="s">
        <v>959</v>
      </c>
      <c r="H98" s="403" t="s">
        <v>960</v>
      </c>
    </row>
    <row r="99" spans="4:8">
      <c r="D99" s="402" t="str">
        <f t="shared" si="2"/>
        <v>·Para la final selecciona de la C88 a la C91 y pega valores en la plantilla de administrador.</v>
      </c>
      <c r="E99" s="397" t="s">
        <v>210</v>
      </c>
      <c r="F99" s="397" t="s">
        <v>236</v>
      </c>
      <c r="G99" s="397" t="s">
        <v>961</v>
      </c>
      <c r="H99" s="403" t="s">
        <v>962</v>
      </c>
    </row>
    <row r="100" spans="4:8">
      <c r="D100" s="402" t="str">
        <f t="shared" si="2"/>
        <v>·Al inicio de la competición si se hace por fases copiar de la C132 a la C134 y pegarla al final del jugador en el archivo de administrador.</v>
      </c>
      <c r="E100" s="397" t="s">
        <v>210</v>
      </c>
      <c r="F100" s="397" t="s">
        <v>237</v>
      </c>
      <c r="G100" s="397" t="s">
        <v>238</v>
      </c>
      <c r="H100" s="403" t="s">
        <v>239</v>
      </c>
    </row>
    <row r="101" spans="4:8">
      <c r="D101" s="402" t="str">
        <f t="shared" si="2"/>
        <v>J1</v>
      </c>
      <c r="E101" s="397" t="s">
        <v>210</v>
      </c>
      <c r="F101" s="397" t="s">
        <v>240</v>
      </c>
      <c r="G101" s="397" t="s">
        <v>241</v>
      </c>
      <c r="H101" s="403" t="s">
        <v>242</v>
      </c>
    </row>
    <row r="102" spans="4:8">
      <c r="D102" s="402" t="str">
        <f t="shared" si="2"/>
        <v>J2</v>
      </c>
      <c r="E102" s="397" t="s">
        <v>210</v>
      </c>
      <c r="F102" s="397" t="s">
        <v>243</v>
      </c>
      <c r="G102" s="397" t="s">
        <v>244</v>
      </c>
      <c r="H102" s="403" t="s">
        <v>245</v>
      </c>
    </row>
    <row r="103" spans="4:8">
      <c r="D103" s="402" t="str">
        <f t="shared" si="2"/>
        <v>J3</v>
      </c>
      <c r="E103" s="397" t="s">
        <v>210</v>
      </c>
      <c r="F103" s="397" t="s">
        <v>246</v>
      </c>
      <c r="G103" s="397" t="s">
        <v>247</v>
      </c>
      <c r="H103" s="403" t="s">
        <v>248</v>
      </c>
    </row>
    <row r="104" spans="4:8">
      <c r="D104" s="402" t="str">
        <f t="shared" si="2"/>
        <v>J4</v>
      </c>
      <c r="E104" s="397" t="s">
        <v>210</v>
      </c>
      <c r="G104" s="397" t="s">
        <v>728</v>
      </c>
      <c r="H104" s="403" t="s">
        <v>862</v>
      </c>
    </row>
    <row r="105" spans="4:8">
      <c r="D105" s="402" t="str">
        <f t="shared" si="2"/>
        <v>J5</v>
      </c>
      <c r="E105" s="397" t="s">
        <v>210</v>
      </c>
      <c r="G105" s="397" t="s">
        <v>729</v>
      </c>
      <c r="H105" s="403" t="s">
        <v>187</v>
      </c>
    </row>
    <row r="106" spans="4:8">
      <c r="D106" s="402" t="str">
        <f t="shared" si="2"/>
        <v>J6</v>
      </c>
      <c r="E106" s="397" t="s">
        <v>210</v>
      </c>
      <c r="G106" s="397" t="s">
        <v>730</v>
      </c>
      <c r="H106" s="403" t="s">
        <v>863</v>
      </c>
    </row>
    <row r="107" spans="4:8">
      <c r="D107" s="402" t="str">
        <f t="shared" si="2"/>
        <v>J7</v>
      </c>
      <c r="E107" s="397" t="s">
        <v>210</v>
      </c>
      <c r="G107" s="397" t="s">
        <v>731</v>
      </c>
      <c r="H107" s="403" t="s">
        <v>864</v>
      </c>
    </row>
    <row r="108" spans="4:8">
      <c r="D108" s="402" t="str">
        <f t="shared" si="2"/>
        <v>J8</v>
      </c>
      <c r="E108" s="397" t="s">
        <v>210</v>
      </c>
      <c r="G108" s="397" t="s">
        <v>732</v>
      </c>
      <c r="H108" s="403" t="s">
        <v>865</v>
      </c>
    </row>
    <row r="109" spans="4:8">
      <c r="D109" s="402" t="str">
        <f t="shared" si="2"/>
        <v>FASE DE LIGA</v>
      </c>
      <c r="E109" s="397" t="s">
        <v>210</v>
      </c>
      <c r="F109" s="397" t="s">
        <v>249</v>
      </c>
      <c r="G109" s="397" t="s">
        <v>811</v>
      </c>
      <c r="H109" s="403" t="s">
        <v>847</v>
      </c>
    </row>
    <row r="110" spans="4:8">
      <c r="D110" s="402" t="str">
        <f t="shared" si="2"/>
        <v>POSICIÓN LIGA</v>
      </c>
      <c r="E110" s="397" t="s">
        <v>210</v>
      </c>
      <c r="F110" s="397" t="s">
        <v>250</v>
      </c>
      <c r="G110" s="397" t="s">
        <v>810</v>
      </c>
      <c r="H110" s="403" t="s">
        <v>866</v>
      </c>
    </row>
    <row r="111" spans="4:8">
      <c r="D111" s="402" t="str">
        <f t="shared" si="2"/>
        <v>CLASIFICADOS PARA OCTAVOS</v>
      </c>
      <c r="E111" s="397" t="s">
        <v>210</v>
      </c>
      <c r="F111" s="397" t="s">
        <v>251</v>
      </c>
      <c r="G111" s="397" t="s">
        <v>252</v>
      </c>
      <c r="H111" s="403" t="s">
        <v>253</v>
      </c>
    </row>
    <row r="112" spans="4:8">
      <c r="D112" s="402" t="str">
        <f t="shared" ref="D112" si="3">IF($B$2,G112,H112)</f>
        <v>CLASIFICADOS PARA PLAYOFFS</v>
      </c>
      <c r="E112" s="397" t="s">
        <v>210</v>
      </c>
      <c r="G112" s="397" t="s">
        <v>963</v>
      </c>
      <c r="H112" s="403" t="s">
        <v>964</v>
      </c>
    </row>
    <row r="113" spans="4:8">
      <c r="D113" s="402" t="str">
        <f t="shared" si="2"/>
        <v>OCTAVOS DE FINAL</v>
      </c>
      <c r="E113" s="397" t="s">
        <v>210</v>
      </c>
      <c r="F113" s="397" t="s">
        <v>254</v>
      </c>
      <c r="G113" s="397" t="s">
        <v>46</v>
      </c>
      <c r="H113" s="403" t="s">
        <v>255</v>
      </c>
    </row>
    <row r="114" spans="4:8">
      <c r="D114" s="402" t="str">
        <f t="shared" ref="D114" si="4">IF($B$2,G114,H114)</f>
        <v>CLASIFICADOS PARA CUARTOS DE FINAL</v>
      </c>
      <c r="E114" s="397" t="s">
        <v>210</v>
      </c>
      <c r="F114" s="397" t="s">
        <v>261</v>
      </c>
      <c r="G114" s="397" t="s">
        <v>974</v>
      </c>
      <c r="H114" s="403" t="s">
        <v>975</v>
      </c>
    </row>
    <row r="115" spans="4:8">
      <c r="D115" s="402" t="str">
        <f t="shared" si="2"/>
        <v>CLASIFICADOS PARA CUARTOS</v>
      </c>
      <c r="E115" s="397" t="s">
        <v>210</v>
      </c>
      <c r="F115" s="397" t="s">
        <v>256</v>
      </c>
      <c r="G115" s="397" t="s">
        <v>257</v>
      </c>
      <c r="H115" s="403" t="s">
        <v>258</v>
      </c>
    </row>
    <row r="116" spans="4:8">
      <c r="D116" s="402" t="str">
        <f t="shared" si="2"/>
        <v>CUARTOS DE FINAL</v>
      </c>
      <c r="E116" s="397" t="s">
        <v>210</v>
      </c>
      <c r="F116" s="397" t="s">
        <v>259</v>
      </c>
      <c r="G116" s="397" t="s">
        <v>48</v>
      </c>
      <c r="H116" s="403" t="s">
        <v>260</v>
      </c>
    </row>
    <row r="117" spans="4:8">
      <c r="D117" s="402" t="str">
        <f t="shared" si="2"/>
        <v>CLASIFICADOS PARA SEMIFINALES</v>
      </c>
      <c r="E117" s="397" t="s">
        <v>210</v>
      </c>
      <c r="F117" s="397" t="s">
        <v>261</v>
      </c>
      <c r="G117" s="397" t="s">
        <v>262</v>
      </c>
      <c r="H117" s="403" t="s">
        <v>263</v>
      </c>
    </row>
    <row r="118" spans="4:8">
      <c r="D118" s="402" t="str">
        <f t="shared" si="2"/>
        <v>SEMIFINALES</v>
      </c>
      <c r="E118" s="397" t="s">
        <v>210</v>
      </c>
      <c r="F118" s="397" t="s">
        <v>264</v>
      </c>
      <c r="G118" s="397" t="s">
        <v>52</v>
      </c>
      <c r="H118" s="403" t="s">
        <v>265</v>
      </c>
    </row>
    <row r="119" spans="4:8">
      <c r="D119" s="402" t="str">
        <f t="shared" si="2"/>
        <v>CLASIFICADOS PARA LA FINAL</v>
      </c>
      <c r="E119" s="397" t="s">
        <v>210</v>
      </c>
      <c r="F119" s="397" t="s">
        <v>266</v>
      </c>
      <c r="G119" s="397" t="s">
        <v>267</v>
      </c>
      <c r="H119" s="403" t="s">
        <v>268</v>
      </c>
    </row>
    <row r="120" spans="4:8">
      <c r="D120" s="402" t="str">
        <f t="shared" si="2"/>
        <v>FINAL</v>
      </c>
      <c r="E120" s="397" t="s">
        <v>210</v>
      </c>
      <c r="F120" s="397" t="s">
        <v>269</v>
      </c>
      <c r="G120" s="397" t="s">
        <v>53</v>
      </c>
      <c r="H120" s="403" t="s">
        <v>53</v>
      </c>
    </row>
    <row r="121" spans="4:8" ht="16" thickBot="1">
      <c r="D121" s="405" t="str">
        <f t="shared" si="2"/>
        <v>CUADRO DE HONOR</v>
      </c>
      <c r="E121" s="406" t="s">
        <v>210</v>
      </c>
      <c r="F121" s="406" t="s">
        <v>270</v>
      </c>
      <c r="G121" s="406" t="s">
        <v>154</v>
      </c>
      <c r="H121" s="415" t="s">
        <v>155</v>
      </c>
    </row>
    <row r="122" spans="4:8">
      <c r="D122" s="402" t="str">
        <f t="shared" ref="D122" si="5">IF($B$2,G122,H122)</f>
        <v>Octavofinalista</v>
      </c>
      <c r="E122" s="397" t="s">
        <v>210</v>
      </c>
      <c r="F122" s="397" t="s">
        <v>969</v>
      </c>
      <c r="G122" s="250" t="s">
        <v>628</v>
      </c>
      <c r="H122" s="419" t="s">
        <v>629</v>
      </c>
    </row>
    <row r="123" spans="4:8">
      <c r="D123" s="402" t="str">
        <f t="shared" ref="D123:D125" si="6">IF($B$2,G123,H123)</f>
        <v>Cuartofinalista</v>
      </c>
      <c r="E123" s="397" t="s">
        <v>210</v>
      </c>
      <c r="F123" s="397" t="s">
        <v>970</v>
      </c>
      <c r="G123" s="250" t="s">
        <v>631</v>
      </c>
      <c r="H123" s="419" t="s">
        <v>632</v>
      </c>
    </row>
    <row r="124" spans="4:8">
      <c r="D124" s="402" t="str">
        <f t="shared" si="6"/>
        <v>Semifinalista</v>
      </c>
      <c r="E124" s="397" t="s">
        <v>210</v>
      </c>
      <c r="F124" s="397" t="s">
        <v>971</v>
      </c>
      <c r="G124" s="250" t="s">
        <v>634</v>
      </c>
      <c r="H124" s="419" t="s">
        <v>635</v>
      </c>
    </row>
    <row r="125" spans="4:8" ht="16" thickBot="1">
      <c r="D125" s="405" t="str">
        <f t="shared" si="6"/>
        <v>Finalista</v>
      </c>
      <c r="E125" s="406" t="s">
        <v>210</v>
      </c>
      <c r="F125" s="406" t="s">
        <v>270</v>
      </c>
      <c r="G125" s="420" t="s">
        <v>637</v>
      </c>
      <c r="H125" s="421" t="s">
        <v>638</v>
      </c>
    </row>
    <row r="129" spans="4:8" ht="16" thickBot="1"/>
    <row r="130" spans="4:8">
      <c r="D130" s="400" t="str">
        <f t="shared" ref="D130:D188" si="7">IF($B$2,G130,H130)</f>
        <v>Albania</v>
      </c>
      <c r="E130" s="397" t="s">
        <v>413</v>
      </c>
      <c r="F130" s="400" t="s">
        <v>272</v>
      </c>
      <c r="G130" s="400" t="s">
        <v>35</v>
      </c>
      <c r="H130" s="401" t="s">
        <v>35</v>
      </c>
    </row>
    <row r="131" spans="4:8">
      <c r="D131" s="397" t="str">
        <f t="shared" si="7"/>
        <v>Alemania</v>
      </c>
      <c r="E131" s="397" t="s">
        <v>413</v>
      </c>
      <c r="F131" s="397" t="s">
        <v>133</v>
      </c>
      <c r="G131" s="397" t="s">
        <v>28</v>
      </c>
      <c r="H131" s="403" t="s">
        <v>273</v>
      </c>
    </row>
    <row r="132" spans="4:8">
      <c r="D132" s="397" t="str">
        <f t="shared" si="7"/>
        <v>Andorra</v>
      </c>
      <c r="E132" s="397" t="s">
        <v>413</v>
      </c>
      <c r="F132" s="397" t="s">
        <v>274</v>
      </c>
      <c r="G132" s="397" t="s">
        <v>275</v>
      </c>
      <c r="H132" s="403" t="s">
        <v>275</v>
      </c>
    </row>
    <row r="133" spans="4:8">
      <c r="D133" s="397" t="str">
        <f t="shared" si="7"/>
        <v>Armenia</v>
      </c>
      <c r="E133" s="397" t="s">
        <v>413</v>
      </c>
      <c r="F133" s="397" t="s">
        <v>276</v>
      </c>
      <c r="G133" s="397" t="s">
        <v>277</v>
      </c>
      <c r="H133" s="403" t="s">
        <v>277</v>
      </c>
    </row>
    <row r="134" spans="4:8">
      <c r="D134" s="397" t="str">
        <f t="shared" si="7"/>
        <v>Austria</v>
      </c>
      <c r="E134" s="397" t="s">
        <v>413</v>
      </c>
      <c r="F134" s="397" t="s">
        <v>278</v>
      </c>
      <c r="G134" s="397" t="s">
        <v>42</v>
      </c>
      <c r="H134" s="403" t="s">
        <v>42</v>
      </c>
    </row>
    <row r="135" spans="4:8">
      <c r="D135" s="397" t="str">
        <f t="shared" si="7"/>
        <v>Azerbaiyán</v>
      </c>
      <c r="E135" s="397" t="s">
        <v>413</v>
      </c>
      <c r="F135" s="397" t="s">
        <v>279</v>
      </c>
      <c r="G135" s="397" t="s">
        <v>280</v>
      </c>
      <c r="H135" s="403" t="s">
        <v>281</v>
      </c>
    </row>
    <row r="136" spans="4:8">
      <c r="D136" s="397" t="str">
        <f t="shared" si="7"/>
        <v>Bélgica</v>
      </c>
      <c r="E136" s="397" t="s">
        <v>413</v>
      </c>
      <c r="F136" s="397" t="s">
        <v>282</v>
      </c>
      <c r="G136" s="397" t="s">
        <v>283</v>
      </c>
      <c r="H136" s="403" t="s">
        <v>284</v>
      </c>
    </row>
    <row r="137" spans="4:8">
      <c r="D137" s="397" t="str">
        <f t="shared" si="7"/>
        <v>Bielorrusia</v>
      </c>
      <c r="E137" s="397" t="s">
        <v>413</v>
      </c>
      <c r="F137" s="397" t="s">
        <v>285</v>
      </c>
      <c r="G137" s="397" t="s">
        <v>286</v>
      </c>
      <c r="H137" s="403" t="s">
        <v>287</v>
      </c>
    </row>
    <row r="138" spans="4:8">
      <c r="D138" s="397" t="str">
        <f t="shared" si="7"/>
        <v>Bosnia y Herzegovina</v>
      </c>
      <c r="E138" s="397" t="s">
        <v>413</v>
      </c>
      <c r="F138" s="397" t="s">
        <v>288</v>
      </c>
      <c r="G138" s="397" t="s">
        <v>289</v>
      </c>
      <c r="H138" s="403" t="s">
        <v>290</v>
      </c>
    </row>
    <row r="139" spans="4:8">
      <c r="D139" s="397" t="str">
        <f t="shared" si="7"/>
        <v>Bulgaria</v>
      </c>
      <c r="E139" s="397" t="s">
        <v>413</v>
      </c>
      <c r="F139" s="397" t="s">
        <v>291</v>
      </c>
      <c r="G139" s="397" t="s">
        <v>292</v>
      </c>
      <c r="H139" s="403" t="s">
        <v>293</v>
      </c>
    </row>
    <row r="140" spans="4:8">
      <c r="D140" s="397" t="str">
        <f t="shared" si="7"/>
        <v>Chipre</v>
      </c>
      <c r="E140" s="397" t="s">
        <v>413</v>
      </c>
      <c r="F140" s="397" t="s">
        <v>294</v>
      </c>
      <c r="G140" s="397" t="s">
        <v>295</v>
      </c>
      <c r="H140" s="403" t="s">
        <v>296</v>
      </c>
    </row>
    <row r="141" spans="4:8">
      <c r="D141" s="397" t="str">
        <f t="shared" si="7"/>
        <v>Croacia</v>
      </c>
      <c r="E141" s="397" t="s">
        <v>413</v>
      </c>
      <c r="F141" s="397" t="s">
        <v>297</v>
      </c>
      <c r="G141" s="397" t="s">
        <v>33</v>
      </c>
      <c r="H141" s="403" t="s">
        <v>298</v>
      </c>
    </row>
    <row r="142" spans="4:8">
      <c r="D142" s="397" t="str">
        <f t="shared" si="7"/>
        <v>Dinamarca</v>
      </c>
      <c r="E142" s="397" t="s">
        <v>413</v>
      </c>
      <c r="F142" s="397" t="s">
        <v>299</v>
      </c>
      <c r="G142" s="397" t="s">
        <v>37</v>
      </c>
      <c r="H142" s="403" t="s">
        <v>300</v>
      </c>
    </row>
    <row r="143" spans="4:8">
      <c r="D143" s="397" t="str">
        <f t="shared" si="7"/>
        <v>Escocia</v>
      </c>
      <c r="E143" s="397" t="s">
        <v>413</v>
      </c>
      <c r="F143" s="397" t="s">
        <v>301</v>
      </c>
      <c r="G143" s="397" t="s">
        <v>29</v>
      </c>
      <c r="H143" s="403" t="s">
        <v>302</v>
      </c>
    </row>
    <row r="144" spans="4:8">
      <c r="D144" s="397" t="str">
        <f t="shared" si="7"/>
        <v>Eslovaquia</v>
      </c>
      <c r="E144" s="397" t="s">
        <v>413</v>
      </c>
      <c r="F144" s="397" t="s">
        <v>303</v>
      </c>
      <c r="G144" s="397" t="s">
        <v>304</v>
      </c>
      <c r="H144" s="403" t="s">
        <v>305</v>
      </c>
    </row>
    <row r="145" spans="4:8">
      <c r="D145" s="397" t="str">
        <f t="shared" si="7"/>
        <v>Eslovenia</v>
      </c>
      <c r="E145" s="397" t="s">
        <v>413</v>
      </c>
      <c r="F145" s="397" t="s">
        <v>306</v>
      </c>
      <c r="G145" s="397" t="s">
        <v>36</v>
      </c>
      <c r="H145" s="403" t="s">
        <v>307</v>
      </c>
    </row>
    <row r="146" spans="4:8">
      <c r="D146" s="397" t="str">
        <f t="shared" si="7"/>
        <v>España</v>
      </c>
      <c r="E146" s="397" t="s">
        <v>413</v>
      </c>
      <c r="F146" s="397" t="s">
        <v>308</v>
      </c>
      <c r="G146" s="397" t="s">
        <v>32</v>
      </c>
      <c r="H146" s="403" t="s">
        <v>309</v>
      </c>
    </row>
    <row r="147" spans="4:8">
      <c r="D147" s="397" t="str">
        <f t="shared" si="7"/>
        <v>Estonia</v>
      </c>
      <c r="E147" s="397" t="s">
        <v>413</v>
      </c>
      <c r="F147" s="397" t="s">
        <v>310</v>
      </c>
      <c r="G147" s="397" t="s">
        <v>311</v>
      </c>
      <c r="H147" s="403" t="s">
        <v>311</v>
      </c>
    </row>
    <row r="148" spans="4:8">
      <c r="D148" s="397" t="str">
        <f t="shared" si="7"/>
        <v>Finlandia</v>
      </c>
      <c r="E148" s="397" t="s">
        <v>413</v>
      </c>
      <c r="F148" s="397" t="s">
        <v>312</v>
      </c>
      <c r="G148" s="397" t="s">
        <v>313</v>
      </c>
      <c r="H148" s="403" t="s">
        <v>314</v>
      </c>
    </row>
    <row r="149" spans="4:8">
      <c r="D149" s="397" t="str">
        <f t="shared" si="7"/>
        <v>Francia</v>
      </c>
      <c r="E149" s="397" t="s">
        <v>413</v>
      </c>
      <c r="F149" s="397" t="s">
        <v>315</v>
      </c>
      <c r="G149" s="397" t="s">
        <v>43</v>
      </c>
      <c r="H149" s="403" t="s">
        <v>316</v>
      </c>
    </row>
    <row r="150" spans="4:8">
      <c r="D150" s="397" t="str">
        <f t="shared" si="7"/>
        <v>Gales</v>
      </c>
      <c r="E150" s="397" t="s">
        <v>413</v>
      </c>
      <c r="F150" s="397" t="s">
        <v>317</v>
      </c>
      <c r="G150" s="397" t="s">
        <v>318</v>
      </c>
      <c r="H150" s="403" t="s">
        <v>319</v>
      </c>
    </row>
    <row r="151" spans="4:8">
      <c r="D151" s="397" t="str">
        <f t="shared" si="7"/>
        <v>Georgia</v>
      </c>
      <c r="E151" s="397" t="s">
        <v>413</v>
      </c>
      <c r="F151" s="397" t="s">
        <v>320</v>
      </c>
      <c r="G151" s="397" t="s">
        <v>321</v>
      </c>
      <c r="H151" s="403" t="s">
        <v>321</v>
      </c>
    </row>
    <row r="152" spans="4:8">
      <c r="D152" s="397" t="str">
        <f t="shared" si="7"/>
        <v>Gibraltar</v>
      </c>
      <c r="E152" s="397" t="s">
        <v>413</v>
      </c>
      <c r="F152" s="397" t="s">
        <v>322</v>
      </c>
      <c r="G152" s="397" t="s">
        <v>323</v>
      </c>
      <c r="H152" s="403" t="s">
        <v>323</v>
      </c>
    </row>
    <row r="153" spans="4:8">
      <c r="D153" s="397" t="str">
        <f t="shared" si="7"/>
        <v>Grecia</v>
      </c>
      <c r="E153" s="397" t="s">
        <v>413</v>
      </c>
      <c r="F153" s="397" t="s">
        <v>324</v>
      </c>
      <c r="G153" s="397" t="s">
        <v>325</v>
      </c>
      <c r="H153" s="403" t="s">
        <v>326</v>
      </c>
    </row>
    <row r="154" spans="4:8">
      <c r="D154" s="397" t="str">
        <f t="shared" si="7"/>
        <v>Hungría</v>
      </c>
      <c r="E154" s="397" t="s">
        <v>413</v>
      </c>
      <c r="F154" s="397" t="s">
        <v>327</v>
      </c>
      <c r="G154" s="397" t="s">
        <v>30</v>
      </c>
      <c r="H154" s="403" t="s">
        <v>328</v>
      </c>
    </row>
    <row r="155" spans="4:8">
      <c r="D155" s="397" t="str">
        <f t="shared" si="7"/>
        <v>Inglaterra</v>
      </c>
      <c r="E155" s="397" t="s">
        <v>413</v>
      </c>
      <c r="F155" s="397" t="s">
        <v>329</v>
      </c>
      <c r="G155" s="397" t="s">
        <v>39</v>
      </c>
      <c r="H155" s="403" t="s">
        <v>330</v>
      </c>
    </row>
    <row r="156" spans="4:8">
      <c r="D156" s="397" t="str">
        <f t="shared" si="7"/>
        <v>Irlanda</v>
      </c>
      <c r="E156" s="397" t="s">
        <v>413</v>
      </c>
      <c r="F156" s="397" t="s">
        <v>331</v>
      </c>
      <c r="G156" s="397" t="s">
        <v>332</v>
      </c>
      <c r="H156" s="403" t="s">
        <v>333</v>
      </c>
    </row>
    <row r="157" spans="4:8">
      <c r="D157" s="397" t="str">
        <f t="shared" si="7"/>
        <v>Irlanda del Norte</v>
      </c>
      <c r="E157" s="397" t="s">
        <v>413</v>
      </c>
      <c r="F157" s="397" t="s">
        <v>334</v>
      </c>
      <c r="G157" s="397" t="s">
        <v>335</v>
      </c>
      <c r="H157" s="403" t="s">
        <v>336</v>
      </c>
    </row>
    <row r="158" spans="4:8">
      <c r="D158" s="397" t="str">
        <f t="shared" si="7"/>
        <v>Islandia</v>
      </c>
      <c r="E158" s="397" t="s">
        <v>413</v>
      </c>
      <c r="F158" s="397" t="s">
        <v>337</v>
      </c>
      <c r="G158" s="397" t="s">
        <v>338</v>
      </c>
      <c r="H158" s="403" t="s">
        <v>339</v>
      </c>
    </row>
    <row r="159" spans="4:8">
      <c r="D159" s="397" t="str">
        <f t="shared" si="7"/>
        <v>Islas Feroe</v>
      </c>
      <c r="E159" s="397" t="s">
        <v>413</v>
      </c>
      <c r="F159" s="397" t="s">
        <v>340</v>
      </c>
      <c r="G159" s="397" t="s">
        <v>40</v>
      </c>
      <c r="H159" s="403" t="s">
        <v>341</v>
      </c>
    </row>
    <row r="160" spans="4:8">
      <c r="D160" s="397" t="str">
        <f t="shared" si="7"/>
        <v>Israel</v>
      </c>
      <c r="E160" s="397" t="s">
        <v>413</v>
      </c>
      <c r="F160" s="397" t="s">
        <v>342</v>
      </c>
      <c r="G160" s="397" t="s">
        <v>343</v>
      </c>
      <c r="H160" s="403" t="s">
        <v>343</v>
      </c>
    </row>
    <row r="161" spans="4:8">
      <c r="D161" s="397" t="str">
        <f t="shared" si="7"/>
        <v>Italia</v>
      </c>
      <c r="E161" s="397" t="s">
        <v>413</v>
      </c>
      <c r="F161" s="397" t="s">
        <v>344</v>
      </c>
      <c r="G161" s="397" t="s">
        <v>34</v>
      </c>
      <c r="H161" s="403" t="s">
        <v>345</v>
      </c>
    </row>
    <row r="162" spans="4:8">
      <c r="D162" s="397" t="str">
        <f t="shared" si="7"/>
        <v>Kazajistán</v>
      </c>
      <c r="E162" s="397" t="s">
        <v>413</v>
      </c>
      <c r="F162" s="397" t="s">
        <v>346</v>
      </c>
      <c r="G162" s="397" t="s">
        <v>347</v>
      </c>
      <c r="H162" s="403" t="s">
        <v>348</v>
      </c>
    </row>
    <row r="163" spans="4:8">
      <c r="D163" s="397" t="str">
        <f t="shared" si="7"/>
        <v>Kosovo</v>
      </c>
      <c r="E163" s="397" t="s">
        <v>413</v>
      </c>
      <c r="F163" s="397" t="s">
        <v>349</v>
      </c>
      <c r="G163" s="397" t="s">
        <v>350</v>
      </c>
      <c r="H163" s="403" t="s">
        <v>350</v>
      </c>
    </row>
    <row r="164" spans="4:8">
      <c r="D164" s="397" t="str">
        <f t="shared" si="7"/>
        <v>Letonia</v>
      </c>
      <c r="E164" s="397" t="s">
        <v>413</v>
      </c>
      <c r="F164" s="397" t="s">
        <v>351</v>
      </c>
      <c r="G164" s="397" t="s">
        <v>352</v>
      </c>
      <c r="H164" s="403" t="s">
        <v>353</v>
      </c>
    </row>
    <row r="165" spans="4:8">
      <c r="D165" s="397" t="str">
        <f t="shared" si="7"/>
        <v>Liechtenstein</v>
      </c>
      <c r="E165" s="397" t="s">
        <v>413</v>
      </c>
      <c r="F165" s="397" t="s">
        <v>354</v>
      </c>
      <c r="G165" s="397" t="s">
        <v>355</v>
      </c>
      <c r="H165" s="403" t="s">
        <v>355</v>
      </c>
    </row>
    <row r="166" spans="4:8">
      <c r="D166" s="397" t="str">
        <f t="shared" si="7"/>
        <v>Lituania</v>
      </c>
      <c r="E166" s="397" t="s">
        <v>413</v>
      </c>
      <c r="F166" s="397" t="s">
        <v>356</v>
      </c>
      <c r="G166" s="397" t="s">
        <v>357</v>
      </c>
      <c r="H166" s="403" t="s">
        <v>358</v>
      </c>
    </row>
    <row r="167" spans="4:8">
      <c r="D167" s="397" t="str">
        <f t="shared" si="7"/>
        <v>Luxemburgo</v>
      </c>
      <c r="E167" s="397" t="s">
        <v>413</v>
      </c>
      <c r="F167" s="397" t="s">
        <v>359</v>
      </c>
      <c r="G167" s="397" t="s">
        <v>360</v>
      </c>
      <c r="H167" s="403" t="s">
        <v>361</v>
      </c>
    </row>
    <row r="168" spans="4:8">
      <c r="D168" s="397" t="str">
        <f t="shared" si="7"/>
        <v>Macedonia del Norte</v>
      </c>
      <c r="E168" s="397" t="s">
        <v>413</v>
      </c>
      <c r="F168" s="397" t="s">
        <v>362</v>
      </c>
      <c r="G168" s="397" t="s">
        <v>363</v>
      </c>
      <c r="H168" s="403" t="s">
        <v>364</v>
      </c>
    </row>
    <row r="169" spans="4:8">
      <c r="D169" s="397" t="str">
        <f t="shared" si="7"/>
        <v>Malta</v>
      </c>
      <c r="E169" s="397" t="s">
        <v>413</v>
      </c>
      <c r="F169" s="397" t="s">
        <v>365</v>
      </c>
      <c r="G169" s="397" t="s">
        <v>366</v>
      </c>
      <c r="H169" s="403" t="s">
        <v>366</v>
      </c>
    </row>
    <row r="170" spans="4:8">
      <c r="D170" s="397" t="str">
        <f t="shared" si="7"/>
        <v>Moldavia</v>
      </c>
      <c r="E170" s="397" t="s">
        <v>413</v>
      </c>
      <c r="F170" s="397" t="s">
        <v>367</v>
      </c>
      <c r="G170" s="397" t="s">
        <v>368</v>
      </c>
      <c r="H170" s="403" t="s">
        <v>369</v>
      </c>
    </row>
    <row r="171" spans="4:8">
      <c r="D171" s="397" t="str">
        <f t="shared" si="7"/>
        <v>Montenegro</v>
      </c>
      <c r="E171" s="397" t="s">
        <v>413</v>
      </c>
      <c r="F171" s="397" t="s">
        <v>370</v>
      </c>
      <c r="G171" s="397" t="s">
        <v>371</v>
      </c>
      <c r="H171" s="403" t="s">
        <v>371</v>
      </c>
    </row>
    <row r="172" spans="4:8">
      <c r="D172" s="397" t="str">
        <f t="shared" si="7"/>
        <v>Noruega</v>
      </c>
      <c r="E172" s="397" t="s">
        <v>413</v>
      </c>
      <c r="F172" s="397" t="s">
        <v>372</v>
      </c>
      <c r="G172" s="397" t="s">
        <v>373</v>
      </c>
      <c r="H172" s="403" t="s">
        <v>374</v>
      </c>
    </row>
    <row r="173" spans="4:8">
      <c r="D173" s="397" t="str">
        <f t="shared" si="7"/>
        <v>Países Bajos</v>
      </c>
      <c r="E173" s="397" t="s">
        <v>413</v>
      </c>
      <c r="F173" s="397" t="s">
        <v>375</v>
      </c>
      <c r="G173" s="397" t="s">
        <v>41</v>
      </c>
      <c r="H173" s="403" t="s">
        <v>376</v>
      </c>
    </row>
    <row r="174" spans="4:8">
      <c r="D174" s="397" t="str">
        <f t="shared" si="7"/>
        <v>Polonia</v>
      </c>
      <c r="E174" s="397" t="s">
        <v>413</v>
      </c>
      <c r="F174" s="397" t="s">
        <v>377</v>
      </c>
      <c r="G174" s="397" t="s">
        <v>378</v>
      </c>
      <c r="H174" s="403" t="s">
        <v>379</v>
      </c>
    </row>
    <row r="175" spans="4:8">
      <c r="D175" s="397" t="str">
        <f t="shared" si="7"/>
        <v>Portugal</v>
      </c>
      <c r="E175" s="397" t="s">
        <v>413</v>
      </c>
      <c r="F175" s="397" t="s">
        <v>380</v>
      </c>
      <c r="G175" s="397" t="s">
        <v>381</v>
      </c>
      <c r="H175" s="403" t="s">
        <v>381</v>
      </c>
    </row>
    <row r="176" spans="4:8">
      <c r="D176" s="397" t="str">
        <f t="shared" si="7"/>
        <v>República Checa</v>
      </c>
      <c r="E176" s="397" t="s">
        <v>413</v>
      </c>
      <c r="F176" s="397" t="s">
        <v>382</v>
      </c>
      <c r="G176" s="397" t="s">
        <v>383</v>
      </c>
      <c r="H176" s="403" t="s">
        <v>384</v>
      </c>
    </row>
    <row r="177" spans="1:8">
      <c r="D177" s="397" t="str">
        <f t="shared" si="7"/>
        <v>Rumanía</v>
      </c>
      <c r="E177" s="397" t="s">
        <v>413</v>
      </c>
      <c r="F177" s="397" t="s">
        <v>385</v>
      </c>
      <c r="G177" s="397" t="s">
        <v>386</v>
      </c>
      <c r="H177" s="403" t="s">
        <v>387</v>
      </c>
    </row>
    <row r="178" spans="1:8">
      <c r="D178" s="397" t="str">
        <f t="shared" si="7"/>
        <v>Rusia</v>
      </c>
      <c r="E178" s="397" t="s">
        <v>413</v>
      </c>
      <c r="F178" s="397" t="s">
        <v>388</v>
      </c>
      <c r="G178" s="397" t="s">
        <v>389</v>
      </c>
      <c r="H178" s="403" t="s">
        <v>390</v>
      </c>
    </row>
    <row r="179" spans="1:8">
      <c r="D179" s="397" t="str">
        <f t="shared" si="7"/>
        <v>San Marino</v>
      </c>
      <c r="E179" s="397" t="s">
        <v>413</v>
      </c>
      <c r="F179" s="397" t="s">
        <v>391</v>
      </c>
      <c r="G179" s="397" t="s">
        <v>392</v>
      </c>
      <c r="H179" s="403" t="s">
        <v>392</v>
      </c>
    </row>
    <row r="180" spans="1:8">
      <c r="D180" s="397" t="str">
        <f t="shared" si="7"/>
        <v>Serbia</v>
      </c>
      <c r="E180" s="397" t="s">
        <v>413</v>
      </c>
      <c r="F180" s="397" t="s">
        <v>393</v>
      </c>
      <c r="G180" s="397" t="s">
        <v>38</v>
      </c>
      <c r="H180" s="403" t="s">
        <v>38</v>
      </c>
    </row>
    <row r="181" spans="1:8">
      <c r="D181" s="397" t="str">
        <f t="shared" si="7"/>
        <v>Suecia</v>
      </c>
      <c r="E181" s="397" t="s">
        <v>413</v>
      </c>
      <c r="F181" s="397" t="s">
        <v>394</v>
      </c>
      <c r="G181" s="397" t="s">
        <v>395</v>
      </c>
      <c r="H181" s="403" t="s">
        <v>396</v>
      </c>
    </row>
    <row r="182" spans="1:8">
      <c r="D182" s="397" t="str">
        <f t="shared" si="7"/>
        <v>Suiza</v>
      </c>
      <c r="E182" s="397" t="s">
        <v>413</v>
      </c>
      <c r="F182" s="397" t="s">
        <v>397</v>
      </c>
      <c r="G182" s="397" t="s">
        <v>31</v>
      </c>
      <c r="H182" s="403" t="s">
        <v>398</v>
      </c>
    </row>
    <row r="183" spans="1:8">
      <c r="D183" s="397" t="str">
        <f t="shared" si="7"/>
        <v>Turquía</v>
      </c>
      <c r="E183" s="397" t="s">
        <v>413</v>
      </c>
      <c r="F183" s="397" t="s">
        <v>399</v>
      </c>
      <c r="G183" s="397" t="s">
        <v>400</v>
      </c>
      <c r="H183" s="403" t="s">
        <v>401</v>
      </c>
    </row>
    <row r="184" spans="1:8" ht="16" thickBot="1">
      <c r="D184" s="405" t="str">
        <f t="shared" si="7"/>
        <v>Ucrania</v>
      </c>
      <c r="E184" s="397" t="s">
        <v>413</v>
      </c>
      <c r="F184" s="406" t="s">
        <v>402</v>
      </c>
      <c r="G184" s="406" t="s">
        <v>403</v>
      </c>
      <c r="H184" s="415" t="s">
        <v>404</v>
      </c>
    </row>
    <row r="185" spans="1:8">
      <c r="C185" s="397" t="s">
        <v>405</v>
      </c>
      <c r="D185" s="402" t="str">
        <f t="shared" si="7"/>
        <v>Octavos de final</v>
      </c>
      <c r="E185" s="397" t="s">
        <v>406</v>
      </c>
      <c r="F185" s="397" t="s">
        <v>407</v>
      </c>
      <c r="G185" s="397" t="s">
        <v>143</v>
      </c>
      <c r="H185" s="403" t="s">
        <v>408</v>
      </c>
    </row>
    <row r="186" spans="1:8">
      <c r="C186" s="397" t="s">
        <v>405</v>
      </c>
      <c r="D186" s="402" t="str">
        <f t="shared" si="7"/>
        <v>Cuartos de final</v>
      </c>
      <c r="E186" s="397" t="s">
        <v>406</v>
      </c>
      <c r="F186" s="397" t="s">
        <v>409</v>
      </c>
      <c r="G186" s="397" t="s">
        <v>146</v>
      </c>
      <c r="H186" s="403" t="s">
        <v>147</v>
      </c>
    </row>
    <row r="187" spans="1:8">
      <c r="C187" s="397" t="s">
        <v>405</v>
      </c>
      <c r="D187" s="402" t="str">
        <f t="shared" si="7"/>
        <v>Semifinales</v>
      </c>
      <c r="E187" s="397" t="s">
        <v>406</v>
      </c>
      <c r="F187" s="397" t="s">
        <v>410</v>
      </c>
      <c r="G187" s="397" t="s">
        <v>149</v>
      </c>
      <c r="H187" s="403" t="s">
        <v>150</v>
      </c>
    </row>
    <row r="188" spans="1:8" ht="16" thickBot="1">
      <c r="C188" s="397" t="s">
        <v>405</v>
      </c>
      <c r="D188" s="405" t="str">
        <f t="shared" si="7"/>
        <v>Final</v>
      </c>
      <c r="E188" s="406" t="s">
        <v>406</v>
      </c>
      <c r="F188" s="406" t="s">
        <v>411</v>
      </c>
      <c r="G188" s="406" t="s">
        <v>152</v>
      </c>
      <c r="H188" s="415" t="s">
        <v>152</v>
      </c>
    </row>
    <row r="189" spans="1:8" ht="16" thickBot="1"/>
    <row r="190" spans="1:8" ht="16" thickBot="1">
      <c r="A190" s="404" t="s">
        <v>412</v>
      </c>
      <c r="D190" s="422" t="str">
        <f>IF($B$2,G190,H190)</f>
        <v>Alemania</v>
      </c>
      <c r="E190" s="423" t="s">
        <v>413</v>
      </c>
      <c r="F190" s="423" t="s">
        <v>414</v>
      </c>
      <c r="G190" s="423" t="s">
        <v>28</v>
      </c>
      <c r="H190" s="424" t="s">
        <v>273</v>
      </c>
    </row>
    <row r="193" spans="4:8" ht="16" thickBot="1"/>
    <row r="194" spans="4:8">
      <c r="D194" s="399" t="str">
        <f t="shared" ref="D194:D257" si="8">IF($B$2,G194,H194)</f>
        <v>Selecciona el Nº de Jugadores</v>
      </c>
      <c r="E194" s="400" t="s">
        <v>415</v>
      </c>
      <c r="F194" s="400" t="s">
        <v>50</v>
      </c>
      <c r="G194" s="400" t="s">
        <v>416</v>
      </c>
      <c r="H194" s="401" t="s">
        <v>417</v>
      </c>
    </row>
    <row r="195" spans="4:8">
      <c r="D195" s="402" t="str">
        <f t="shared" si="8"/>
        <v>↓↓ Resultados reales ↓↓</v>
      </c>
      <c r="E195" s="397" t="s">
        <v>415</v>
      </c>
      <c r="F195" s="397" t="s">
        <v>129</v>
      </c>
      <c r="G195" s="397" t="s">
        <v>418</v>
      </c>
      <c r="H195" s="403" t="s">
        <v>419</v>
      </c>
    </row>
    <row r="196" spans="4:8">
      <c r="D196" s="402" t="str">
        <f t="shared" si="8"/>
        <v>Regla*</v>
      </c>
      <c r="E196" s="397" t="s">
        <v>415</v>
      </c>
      <c r="F196" s="397" t="s">
        <v>420</v>
      </c>
      <c r="G196" s="397" t="s">
        <v>421</v>
      </c>
      <c r="H196" s="403" t="s">
        <v>422</v>
      </c>
    </row>
    <row r="197" spans="4:8">
      <c r="D197" s="402" t="str">
        <f t="shared" si="8"/>
        <v>Puntos</v>
      </c>
      <c r="E197" s="397" t="s">
        <v>415</v>
      </c>
      <c r="F197" s="397" t="s">
        <v>423</v>
      </c>
      <c r="G197" s="397" t="s">
        <v>18</v>
      </c>
      <c r="H197" s="403" t="s">
        <v>424</v>
      </c>
    </row>
    <row r="198" spans="4:8">
      <c r="D198" s="402" t="str">
        <f t="shared" si="8"/>
        <v>FASE DE GRUPOS - Signo 1X2* (local, empate, visitante)</v>
      </c>
      <c r="E198" s="397" t="s">
        <v>415</v>
      </c>
      <c r="F198" s="397" t="s">
        <v>425</v>
      </c>
      <c r="G198" s="397" t="s">
        <v>426</v>
      </c>
      <c r="H198" s="403" t="s">
        <v>427</v>
      </c>
    </row>
    <row r="199" spans="4:8">
      <c r="D199" s="402" t="str">
        <f t="shared" si="8"/>
        <v>FASE DE GRUPOS -Diferencia de goles</v>
      </c>
      <c r="E199" s="397" t="s">
        <v>415</v>
      </c>
      <c r="F199" s="397" t="s">
        <v>428</v>
      </c>
      <c r="G199" s="397" t="s">
        <v>429</v>
      </c>
      <c r="H199" s="403" t="s">
        <v>430</v>
      </c>
    </row>
    <row r="200" spans="4:8">
      <c r="D200" s="402" t="str">
        <f t="shared" si="8"/>
        <v>FASE DE GRUPOS - Resultado exacto</v>
      </c>
      <c r="E200" s="397" t="s">
        <v>415</v>
      </c>
      <c r="F200" s="397" t="s">
        <v>431</v>
      </c>
      <c r="G200" s="397" t="s">
        <v>432</v>
      </c>
      <c r="H200" s="403" t="s">
        <v>433</v>
      </c>
    </row>
    <row r="201" spans="4:8">
      <c r="D201" s="402" t="str">
        <f t="shared" si="8"/>
        <v>FASE DE GRUPOS - Posición exacta (1º)</v>
      </c>
      <c r="E201" s="397" t="s">
        <v>415</v>
      </c>
      <c r="F201" s="397" t="s">
        <v>434</v>
      </c>
      <c r="G201" s="397" t="s">
        <v>435</v>
      </c>
      <c r="H201" s="403" t="s">
        <v>436</v>
      </c>
    </row>
    <row r="202" spans="4:8">
      <c r="D202" s="402" t="str">
        <f t="shared" si="8"/>
        <v>FASE DE GRUPOS - Posición exacta (2º)</v>
      </c>
      <c r="E202" s="397" t="s">
        <v>415</v>
      </c>
      <c r="F202" s="397" t="s">
        <v>437</v>
      </c>
      <c r="G202" s="397" t="s">
        <v>438</v>
      </c>
      <c r="H202" s="403" t="s">
        <v>439</v>
      </c>
    </row>
    <row r="203" spans="4:8">
      <c r="D203" s="402" t="str">
        <f t="shared" si="8"/>
        <v>FASE DE GRUPOS - Posición exacta (3º)</v>
      </c>
      <c r="E203" s="397" t="s">
        <v>415</v>
      </c>
      <c r="F203" s="397" t="s">
        <v>440</v>
      </c>
      <c r="G203" s="397" t="s">
        <v>441</v>
      </c>
      <c r="H203" s="403" t="s">
        <v>442</v>
      </c>
    </row>
    <row r="204" spans="4:8">
      <c r="D204" s="402" t="str">
        <f t="shared" si="8"/>
        <v>FASE DE GRUPOS - Posición exacta (4º)</v>
      </c>
      <c r="E204" s="397" t="s">
        <v>415</v>
      </c>
      <c r="F204" s="397" t="s">
        <v>443</v>
      </c>
      <c r="G204" s="397" t="s">
        <v>444</v>
      </c>
      <c r="H204" s="403" t="s">
        <v>445</v>
      </c>
    </row>
    <row r="205" spans="4:8">
      <c r="D205" s="402" t="str">
        <f t="shared" si="8"/>
        <v>Equipo clasificado para OCTAVOS</v>
      </c>
      <c r="E205" s="397" t="s">
        <v>415</v>
      </c>
      <c r="F205" s="397" t="s">
        <v>446</v>
      </c>
      <c r="G205" s="397" t="s">
        <v>447</v>
      </c>
      <c r="H205" s="403" t="s">
        <v>448</v>
      </c>
    </row>
    <row r="206" spans="4:8">
      <c r="D206" s="402" t="str">
        <f t="shared" si="8"/>
        <v>OCTAVOS - Signo 1X2  (local, empate, visitante)</v>
      </c>
      <c r="E206" s="397" t="s">
        <v>415</v>
      </c>
      <c r="F206" s="397" t="s">
        <v>449</v>
      </c>
      <c r="G206" s="397" t="s">
        <v>450</v>
      </c>
      <c r="H206" s="403" t="s">
        <v>451</v>
      </c>
    </row>
    <row r="207" spans="4:8">
      <c r="D207" s="402" t="str">
        <f t="shared" si="8"/>
        <v>OCTAVOS -Diferencia de goles</v>
      </c>
      <c r="E207" s="397" t="s">
        <v>415</v>
      </c>
      <c r="F207" s="397" t="s">
        <v>452</v>
      </c>
      <c r="G207" s="397" t="s">
        <v>453</v>
      </c>
      <c r="H207" s="403" t="s">
        <v>454</v>
      </c>
    </row>
    <row r="208" spans="4:8">
      <c r="D208" s="402" t="str">
        <f t="shared" si="8"/>
        <v>OCTAVOS - Resultado exacto</v>
      </c>
      <c r="E208" s="397" t="s">
        <v>415</v>
      </c>
      <c r="F208" s="397" t="s">
        <v>455</v>
      </c>
      <c r="G208" s="397" t="s">
        <v>456</v>
      </c>
      <c r="H208" s="403" t="s">
        <v>457</v>
      </c>
    </row>
    <row r="209" spans="4:8">
      <c r="D209" s="402" t="str">
        <f t="shared" si="8"/>
        <v>Equipo clasificado para CUARTOS</v>
      </c>
      <c r="E209" s="397" t="s">
        <v>415</v>
      </c>
      <c r="F209" s="397" t="s">
        <v>458</v>
      </c>
      <c r="G209" s="397" t="s">
        <v>459</v>
      </c>
      <c r="H209" s="403" t="s">
        <v>460</v>
      </c>
    </row>
    <row r="210" spans="4:8">
      <c r="D210" s="402" t="str">
        <f t="shared" si="8"/>
        <v>CUARTOS - Signo 1X2  (local, empate, visitante)</v>
      </c>
      <c r="E210" s="397" t="s">
        <v>415</v>
      </c>
      <c r="F210" s="397" t="s">
        <v>461</v>
      </c>
      <c r="G210" s="397" t="s">
        <v>462</v>
      </c>
      <c r="H210" s="403" t="s">
        <v>463</v>
      </c>
    </row>
    <row r="211" spans="4:8">
      <c r="D211" s="402" t="str">
        <f t="shared" si="8"/>
        <v>CUARTOS -Diferencia de goles</v>
      </c>
      <c r="E211" s="397" t="s">
        <v>415</v>
      </c>
      <c r="F211" s="397" t="s">
        <v>464</v>
      </c>
      <c r="G211" s="397" t="s">
        <v>465</v>
      </c>
      <c r="H211" s="403" t="s">
        <v>466</v>
      </c>
    </row>
    <row r="212" spans="4:8">
      <c r="D212" s="402" t="str">
        <f t="shared" si="8"/>
        <v>CUARTOS - Resultado exacto</v>
      </c>
      <c r="E212" s="397" t="s">
        <v>415</v>
      </c>
      <c r="F212" s="397" t="s">
        <v>467</v>
      </c>
      <c r="G212" s="397" t="s">
        <v>468</v>
      </c>
      <c r="H212" s="403" t="s">
        <v>469</v>
      </c>
    </row>
    <row r="213" spans="4:8">
      <c r="D213" s="402" t="str">
        <f t="shared" si="8"/>
        <v>Equipo clasificado para SEMIFINALES</v>
      </c>
      <c r="E213" s="397" t="s">
        <v>415</v>
      </c>
      <c r="F213" s="397" t="s">
        <v>470</v>
      </c>
      <c r="G213" s="397" t="s">
        <v>471</v>
      </c>
      <c r="H213" s="403" t="s">
        <v>472</v>
      </c>
    </row>
    <row r="214" spans="4:8">
      <c r="D214" s="402" t="str">
        <f t="shared" si="8"/>
        <v>SEMIFINALES - Signo 1X2  (local, empate, visitante)</v>
      </c>
      <c r="E214" s="397" t="s">
        <v>415</v>
      </c>
      <c r="F214" s="397" t="s">
        <v>473</v>
      </c>
      <c r="G214" s="397" t="s">
        <v>474</v>
      </c>
      <c r="H214" s="403" t="s">
        <v>475</v>
      </c>
    </row>
    <row r="215" spans="4:8">
      <c r="D215" s="402" t="str">
        <f t="shared" si="8"/>
        <v>SEMIFINALES -Diferencia de goles</v>
      </c>
      <c r="E215" s="397" t="s">
        <v>415</v>
      </c>
      <c r="F215" s="397" t="s">
        <v>476</v>
      </c>
      <c r="G215" s="397" t="s">
        <v>477</v>
      </c>
      <c r="H215" s="403" t="s">
        <v>478</v>
      </c>
    </row>
    <row r="216" spans="4:8">
      <c r="D216" s="402" t="str">
        <f t="shared" si="8"/>
        <v>SEMIFINALES - Resultado exacto</v>
      </c>
      <c r="E216" s="397" t="s">
        <v>415</v>
      </c>
      <c r="F216" s="397" t="s">
        <v>479</v>
      </c>
      <c r="G216" s="397" t="s">
        <v>480</v>
      </c>
      <c r="H216" s="403" t="s">
        <v>481</v>
      </c>
    </row>
    <row r="217" spans="4:8">
      <c r="D217" s="402" t="str">
        <f t="shared" si="8"/>
        <v>Equipo clasificado para LA FINAL</v>
      </c>
      <c r="E217" s="397" t="s">
        <v>415</v>
      </c>
      <c r="F217" s="397" t="s">
        <v>482</v>
      </c>
      <c r="G217" s="397" t="s">
        <v>483</v>
      </c>
      <c r="H217" s="403" t="s">
        <v>484</v>
      </c>
    </row>
    <row r="218" spans="4:8">
      <c r="D218" s="402" t="str">
        <f t="shared" si="8"/>
        <v>FINAL - Signo 1X2  (local, empate, visitante)</v>
      </c>
      <c r="E218" s="397" t="s">
        <v>415</v>
      </c>
      <c r="F218" s="397" t="s">
        <v>485</v>
      </c>
      <c r="G218" s="397" t="s">
        <v>486</v>
      </c>
      <c r="H218" s="403" t="s">
        <v>487</v>
      </c>
    </row>
    <row r="219" spans="4:8">
      <c r="D219" s="402" t="str">
        <f t="shared" si="8"/>
        <v>FINAL - Diferencia de goles</v>
      </c>
      <c r="E219" s="397" t="s">
        <v>415</v>
      </c>
      <c r="F219" s="397" t="s">
        <v>488</v>
      </c>
      <c r="G219" s="397" t="s">
        <v>489</v>
      </c>
      <c r="H219" s="403" t="s">
        <v>490</v>
      </c>
    </row>
    <row r="220" spans="4:8">
      <c r="D220" s="402" t="str">
        <f t="shared" si="8"/>
        <v>FINAL - Resultado exacto</v>
      </c>
      <c r="E220" s="397" t="s">
        <v>415</v>
      </c>
      <c r="F220" s="397" t="s">
        <v>491</v>
      </c>
      <c r="G220" s="397" t="s">
        <v>492</v>
      </c>
      <c r="H220" s="403" t="s">
        <v>493</v>
      </c>
    </row>
    <row r="221" spans="4:8">
      <c r="D221" s="402" t="str">
        <f t="shared" si="8"/>
        <v>Campeón</v>
      </c>
      <c r="E221" s="397" t="s">
        <v>415</v>
      </c>
      <c r="F221" s="397" t="s">
        <v>494</v>
      </c>
      <c r="G221" s="397" t="s">
        <v>55</v>
      </c>
      <c r="H221" s="403" t="s">
        <v>157</v>
      </c>
    </row>
    <row r="222" spans="4:8">
      <c r="D222" s="402" t="str">
        <f t="shared" si="8"/>
        <v>Subcampeón</v>
      </c>
      <c r="E222" s="397" t="s">
        <v>415</v>
      </c>
      <c r="F222" s="397" t="s">
        <v>495</v>
      </c>
      <c r="G222" s="397" t="s">
        <v>159</v>
      </c>
      <c r="H222" s="403" t="s">
        <v>160</v>
      </c>
    </row>
    <row r="223" spans="4:8">
      <c r="D223" s="402" t="str">
        <f t="shared" si="8"/>
        <v>Goleador del torneo</v>
      </c>
      <c r="E223" s="397" t="s">
        <v>415</v>
      </c>
      <c r="F223" s="397" t="s">
        <v>496</v>
      </c>
      <c r="G223" s="397" t="s">
        <v>162</v>
      </c>
      <c r="H223" s="403" t="s">
        <v>497</v>
      </c>
    </row>
    <row r="224" spans="4:8">
      <c r="D224" s="402" t="str">
        <f t="shared" si="8"/>
        <v>Mejor jugador del torneo</v>
      </c>
      <c r="E224" s="397" t="s">
        <v>415</v>
      </c>
      <c r="F224" s="397" t="s">
        <v>498</v>
      </c>
      <c r="G224" s="397" t="s">
        <v>165</v>
      </c>
      <c r="H224" s="403" t="s">
        <v>499</v>
      </c>
    </row>
    <row r="225" spans="3:8">
      <c r="D225" s="402" t="str">
        <f t="shared" si="8"/>
        <v>Fase de grupos</v>
      </c>
      <c r="E225" s="397" t="s">
        <v>415</v>
      </c>
      <c r="F225" s="397" t="s">
        <v>500</v>
      </c>
      <c r="G225" s="397" t="s">
        <v>501</v>
      </c>
      <c r="H225" s="403" t="s">
        <v>502</v>
      </c>
    </row>
    <row r="226" spans="3:8">
      <c r="D226" s="402" t="str">
        <f t="shared" si="8"/>
        <v>Posición grupos</v>
      </c>
      <c r="E226" s="397" t="s">
        <v>415</v>
      </c>
      <c r="F226" s="397" t="s">
        <v>503</v>
      </c>
      <c r="G226" s="397" t="s">
        <v>504</v>
      </c>
      <c r="H226" s="403" t="s">
        <v>505</v>
      </c>
    </row>
    <row r="227" spans="3:8">
      <c r="D227" s="402" t="str">
        <f t="shared" si="8"/>
        <v>Clasificados para Octavos de Final</v>
      </c>
      <c r="E227" s="397" t="s">
        <v>415</v>
      </c>
      <c r="F227" s="397" t="s">
        <v>506</v>
      </c>
      <c r="G227" s="397" t="s">
        <v>507</v>
      </c>
      <c r="H227" s="403" t="s">
        <v>508</v>
      </c>
    </row>
    <row r="228" spans="3:8">
      <c r="C228" s="397" t="s">
        <v>509</v>
      </c>
      <c r="D228" s="402" t="str">
        <f t="shared" si="8"/>
        <v>Enfrentamientos Octavos de Final</v>
      </c>
      <c r="E228" s="397" t="s">
        <v>406</v>
      </c>
      <c r="F228" s="397" t="s">
        <v>510</v>
      </c>
      <c r="G228" s="397" t="s">
        <v>511</v>
      </c>
      <c r="H228" s="403" t="s">
        <v>408</v>
      </c>
    </row>
    <row r="229" spans="3:8">
      <c r="D229" s="402" t="str">
        <f t="shared" si="8"/>
        <v>Clasificados para Cuartos de Final</v>
      </c>
      <c r="E229" s="397" t="s">
        <v>415</v>
      </c>
      <c r="F229" s="397" t="s">
        <v>512</v>
      </c>
      <c r="G229" s="397" t="s">
        <v>513</v>
      </c>
      <c r="H229" s="403" t="s">
        <v>514</v>
      </c>
    </row>
    <row r="230" spans="3:8">
      <c r="C230" s="397" t="s">
        <v>515</v>
      </c>
      <c r="D230" s="402" t="str">
        <f t="shared" si="8"/>
        <v>Enfrentamientos Cuartos de Final</v>
      </c>
      <c r="E230" s="397" t="s">
        <v>406</v>
      </c>
      <c r="F230" s="397" t="s">
        <v>516</v>
      </c>
      <c r="G230" s="397" t="s">
        <v>517</v>
      </c>
      <c r="H230" s="403" t="s">
        <v>147</v>
      </c>
    </row>
    <row r="231" spans="3:8">
      <c r="D231" s="402" t="str">
        <f t="shared" si="8"/>
        <v>Clasificados para Semifinales</v>
      </c>
      <c r="E231" s="397" t="s">
        <v>415</v>
      </c>
      <c r="F231" s="397" t="s">
        <v>518</v>
      </c>
      <c r="G231" s="397" t="s">
        <v>519</v>
      </c>
      <c r="H231" s="403" t="s">
        <v>520</v>
      </c>
    </row>
    <row r="232" spans="3:8">
      <c r="C232" s="397" t="s">
        <v>521</v>
      </c>
      <c r="D232" s="402" t="str">
        <f t="shared" si="8"/>
        <v>Enfrentamientos Semifinales</v>
      </c>
      <c r="E232" s="397" t="s">
        <v>406</v>
      </c>
      <c r="F232" s="397" t="s">
        <v>522</v>
      </c>
      <c r="G232" s="397" t="s">
        <v>523</v>
      </c>
      <c r="H232" s="403" t="s">
        <v>150</v>
      </c>
    </row>
    <row r="233" spans="3:8">
      <c r="D233" s="402" t="str">
        <f t="shared" si="8"/>
        <v>Clasificados para la Final</v>
      </c>
      <c r="E233" s="397" t="s">
        <v>415</v>
      </c>
      <c r="F233" s="397" t="s">
        <v>524</v>
      </c>
      <c r="G233" s="397" t="s">
        <v>525</v>
      </c>
      <c r="H233" s="403" t="s">
        <v>526</v>
      </c>
    </row>
    <row r="234" spans="3:8">
      <c r="C234" s="397" t="s">
        <v>527</v>
      </c>
      <c r="D234" s="402" t="str">
        <f t="shared" si="8"/>
        <v>Partido Final</v>
      </c>
      <c r="E234" s="397" t="s">
        <v>406</v>
      </c>
      <c r="F234" s="397" t="s">
        <v>528</v>
      </c>
      <c r="G234" s="397" t="s">
        <v>529</v>
      </c>
      <c r="H234" s="403" t="s">
        <v>152</v>
      </c>
    </row>
    <row r="235" spans="3:8">
      <c r="D235" s="402" t="str">
        <f t="shared" si="8"/>
        <v>Cuadro de honor</v>
      </c>
      <c r="E235" s="397" t="s">
        <v>415</v>
      </c>
      <c r="F235" s="397" t="s">
        <v>530</v>
      </c>
      <c r="G235" s="397" t="s">
        <v>531</v>
      </c>
      <c r="H235" s="403" t="s">
        <v>532</v>
      </c>
    </row>
    <row r="236" spans="3:8">
      <c r="D236" s="402" t="str">
        <f t="shared" si="8"/>
        <v>Campeón</v>
      </c>
      <c r="E236" s="397" t="s">
        <v>415</v>
      </c>
      <c r="F236" s="397" t="s">
        <v>533</v>
      </c>
      <c r="G236" s="397" t="s">
        <v>55</v>
      </c>
      <c r="H236" s="403" t="s">
        <v>157</v>
      </c>
    </row>
    <row r="237" spans="3:8">
      <c r="D237" s="402" t="str">
        <f t="shared" si="8"/>
        <v>Subcampeón</v>
      </c>
      <c r="E237" s="397" t="s">
        <v>415</v>
      </c>
      <c r="F237" s="397" t="s">
        <v>534</v>
      </c>
      <c r="G237" s="425" t="s">
        <v>159</v>
      </c>
      <c r="H237" s="403" t="s">
        <v>160</v>
      </c>
    </row>
    <row r="238" spans="3:8">
      <c r="D238" s="402" t="str">
        <f t="shared" si="8"/>
        <v>Goleador del torneo</v>
      </c>
      <c r="E238" s="397" t="s">
        <v>415</v>
      </c>
      <c r="F238" s="397" t="s">
        <v>535</v>
      </c>
      <c r="G238" s="425" t="s">
        <v>162</v>
      </c>
      <c r="H238" s="403" t="s">
        <v>163</v>
      </c>
    </row>
    <row r="239" spans="3:8">
      <c r="D239" s="402" t="str">
        <f t="shared" si="8"/>
        <v>Mejor jugador del torneo</v>
      </c>
      <c r="E239" s="397" t="s">
        <v>415</v>
      </c>
      <c r="F239" s="397" t="s">
        <v>536</v>
      </c>
      <c r="G239" s="425" t="s">
        <v>165</v>
      </c>
      <c r="H239" s="403" t="s">
        <v>166</v>
      </c>
    </row>
    <row r="240" spans="3:8">
      <c r="D240" s="402" t="str">
        <f t="shared" si="8"/>
        <v>Nombre J</v>
      </c>
      <c r="E240" s="397" t="s">
        <v>415</v>
      </c>
      <c r="F240" s="397" t="s">
        <v>247</v>
      </c>
      <c r="G240" s="425" t="s">
        <v>537</v>
      </c>
      <c r="H240" s="403" t="s">
        <v>538</v>
      </c>
    </row>
    <row r="241" spans="4:8">
      <c r="D241" s="402" t="str">
        <f t="shared" si="8"/>
        <v>Pegar Valores (J1)</v>
      </c>
      <c r="E241" s="397" t="s">
        <v>415</v>
      </c>
      <c r="G241" s="426" t="s">
        <v>539</v>
      </c>
      <c r="H241" s="403" t="s">
        <v>540</v>
      </c>
    </row>
    <row r="242" spans="4:8">
      <c r="D242" s="402" t="str">
        <f t="shared" si="8"/>
        <v>Pegar Valores (J2)</v>
      </c>
      <c r="E242" s="397" t="s">
        <v>415</v>
      </c>
      <c r="G242" s="427" t="s">
        <v>541</v>
      </c>
      <c r="H242" s="403" t="s">
        <v>542</v>
      </c>
    </row>
    <row r="243" spans="4:8">
      <c r="D243" s="402" t="str">
        <f t="shared" si="8"/>
        <v>Pegar Valores (J3)</v>
      </c>
      <c r="E243" s="397" t="s">
        <v>415</v>
      </c>
      <c r="G243" s="427" t="s">
        <v>543</v>
      </c>
      <c r="H243" s="403" t="s">
        <v>544</v>
      </c>
    </row>
    <row r="244" spans="4:8">
      <c r="D244" s="402" t="str">
        <f t="shared" si="8"/>
        <v>Pegar Valores Octavos</v>
      </c>
      <c r="E244" s="397" t="s">
        <v>415</v>
      </c>
      <c r="G244" s="428" t="s">
        <v>545</v>
      </c>
      <c r="H244" s="429" t="s">
        <v>546</v>
      </c>
    </row>
    <row r="245" spans="4:8">
      <c r="D245" s="402" t="str">
        <f t="shared" si="8"/>
        <v>Pegar valores Cuartos</v>
      </c>
      <c r="E245" s="397" t="s">
        <v>415</v>
      </c>
      <c r="G245" s="428" t="s">
        <v>547</v>
      </c>
      <c r="H245" s="429" t="s">
        <v>548</v>
      </c>
    </row>
    <row r="246" spans="4:8">
      <c r="D246" s="402" t="str">
        <f t="shared" si="8"/>
        <v>Pegar valores Semifinales</v>
      </c>
      <c r="E246" s="397" t="s">
        <v>415</v>
      </c>
      <c r="G246" s="430" t="s">
        <v>549</v>
      </c>
      <c r="H246" s="431" t="s">
        <v>550</v>
      </c>
    </row>
    <row r="247" spans="4:8">
      <c r="D247" s="402" t="str">
        <f t="shared" si="8"/>
        <v>Pegar valores Final</v>
      </c>
      <c r="E247" s="397" t="s">
        <v>415</v>
      </c>
      <c r="G247" s="430" t="s">
        <v>551</v>
      </c>
      <c r="H247" s="431" t="s">
        <v>552</v>
      </c>
    </row>
    <row r="248" spans="4:8">
      <c r="D248" s="402" t="str">
        <f t="shared" si="8"/>
        <v>Pegar valores iniciales</v>
      </c>
      <c r="E248" s="397" t="s">
        <v>415</v>
      </c>
      <c r="G248" s="428" t="s">
        <v>553</v>
      </c>
      <c r="H248" s="429" t="s">
        <v>554</v>
      </c>
    </row>
    <row r="249" spans="4:8">
      <c r="D249" s="402" t="str">
        <f t="shared" si="8"/>
        <v>1º GRUPO A</v>
      </c>
      <c r="E249" s="397" t="s">
        <v>415</v>
      </c>
      <c r="F249" s="397" t="s">
        <v>555</v>
      </c>
      <c r="G249" s="397" t="s">
        <v>556</v>
      </c>
      <c r="H249" s="432" t="s">
        <v>557</v>
      </c>
    </row>
    <row r="250" spans="4:8">
      <c r="D250" s="402" t="str">
        <f t="shared" si="8"/>
        <v>2º GRUPO A</v>
      </c>
      <c r="E250" s="397" t="s">
        <v>415</v>
      </c>
      <c r="F250" s="397" t="s">
        <v>558</v>
      </c>
      <c r="G250" s="397" t="s">
        <v>559</v>
      </c>
      <c r="H250" s="432" t="s">
        <v>560</v>
      </c>
    </row>
    <row r="251" spans="4:8">
      <c r="D251" s="402" t="str">
        <f t="shared" si="8"/>
        <v>3º GRUPO A</v>
      </c>
      <c r="E251" s="397" t="s">
        <v>415</v>
      </c>
      <c r="F251" s="397" t="s">
        <v>561</v>
      </c>
      <c r="G251" s="397" t="s">
        <v>562</v>
      </c>
      <c r="H251" s="432" t="s">
        <v>563</v>
      </c>
    </row>
    <row r="252" spans="4:8">
      <c r="D252" s="402" t="str">
        <f t="shared" si="8"/>
        <v>4º GRUPO A</v>
      </c>
      <c r="E252" s="397" t="s">
        <v>415</v>
      </c>
      <c r="F252" s="397" t="s">
        <v>564</v>
      </c>
      <c r="G252" s="397" t="s">
        <v>565</v>
      </c>
      <c r="H252" s="432" t="s">
        <v>566</v>
      </c>
    </row>
    <row r="253" spans="4:8">
      <c r="D253" s="402" t="str">
        <f t="shared" si="8"/>
        <v>1º GRUPO B</v>
      </c>
      <c r="E253" s="397" t="s">
        <v>415</v>
      </c>
      <c r="F253" s="397" t="s">
        <v>567</v>
      </c>
      <c r="G253" s="397" t="s">
        <v>568</v>
      </c>
      <c r="H253" s="432" t="s">
        <v>569</v>
      </c>
    </row>
    <row r="254" spans="4:8">
      <c r="D254" s="402" t="str">
        <f t="shared" si="8"/>
        <v>2º GRUPO B</v>
      </c>
      <c r="E254" s="397" t="s">
        <v>415</v>
      </c>
      <c r="F254" s="397" t="s">
        <v>570</v>
      </c>
      <c r="G254" s="397" t="s">
        <v>571</v>
      </c>
      <c r="H254" s="432" t="s">
        <v>572</v>
      </c>
    </row>
    <row r="255" spans="4:8">
      <c r="D255" s="402" t="str">
        <f t="shared" si="8"/>
        <v>3º GRUPO B</v>
      </c>
      <c r="E255" s="397" t="s">
        <v>415</v>
      </c>
      <c r="F255" s="397" t="s">
        <v>573</v>
      </c>
      <c r="G255" s="397" t="s">
        <v>574</v>
      </c>
      <c r="H255" s="432" t="s">
        <v>575</v>
      </c>
    </row>
    <row r="256" spans="4:8">
      <c r="D256" s="402" t="str">
        <f t="shared" si="8"/>
        <v>4º GRUPO B</v>
      </c>
      <c r="E256" s="397" t="s">
        <v>415</v>
      </c>
      <c r="F256" s="397" t="s">
        <v>576</v>
      </c>
      <c r="G256" s="397" t="s">
        <v>577</v>
      </c>
      <c r="H256" s="432" t="s">
        <v>578</v>
      </c>
    </row>
    <row r="257" spans="4:8">
      <c r="D257" s="402" t="str">
        <f t="shared" si="8"/>
        <v>1º GRUPO C</v>
      </c>
      <c r="E257" s="397" t="s">
        <v>415</v>
      </c>
      <c r="F257" s="397" t="s">
        <v>579</v>
      </c>
      <c r="G257" s="397" t="s">
        <v>580</v>
      </c>
      <c r="H257" s="432" t="s">
        <v>581</v>
      </c>
    </row>
    <row r="258" spans="4:8">
      <c r="D258" s="402" t="str">
        <f t="shared" ref="D258:D281" si="9">IF($B$2,G258,H258)</f>
        <v>2º GRUPO C</v>
      </c>
      <c r="E258" s="397" t="s">
        <v>415</v>
      </c>
      <c r="F258" s="397" t="s">
        <v>582</v>
      </c>
      <c r="G258" s="397" t="s">
        <v>583</v>
      </c>
      <c r="H258" s="432" t="s">
        <v>584</v>
      </c>
    </row>
    <row r="259" spans="4:8">
      <c r="D259" s="402" t="str">
        <f t="shared" si="9"/>
        <v>3º GRUPO C</v>
      </c>
      <c r="E259" s="397" t="s">
        <v>415</v>
      </c>
      <c r="F259" s="397" t="s">
        <v>585</v>
      </c>
      <c r="G259" s="397" t="s">
        <v>586</v>
      </c>
      <c r="H259" s="432" t="s">
        <v>587</v>
      </c>
    </row>
    <row r="260" spans="4:8">
      <c r="D260" s="402" t="str">
        <f t="shared" si="9"/>
        <v>4º GRUPO C</v>
      </c>
      <c r="E260" s="397" t="s">
        <v>415</v>
      </c>
      <c r="F260" s="397" t="s">
        <v>588</v>
      </c>
      <c r="G260" s="397" t="s">
        <v>589</v>
      </c>
      <c r="H260" s="432" t="s">
        <v>590</v>
      </c>
    </row>
    <row r="261" spans="4:8">
      <c r="D261" s="402" t="str">
        <f t="shared" si="9"/>
        <v>1º GRUPO D</v>
      </c>
      <c r="E261" s="397" t="s">
        <v>415</v>
      </c>
      <c r="F261" s="397" t="s">
        <v>591</v>
      </c>
      <c r="G261" s="397" t="s">
        <v>592</v>
      </c>
      <c r="H261" s="432" t="s">
        <v>593</v>
      </c>
    </row>
    <row r="262" spans="4:8">
      <c r="D262" s="402" t="str">
        <f t="shared" si="9"/>
        <v>2º GRUPO D</v>
      </c>
      <c r="E262" s="397" t="s">
        <v>415</v>
      </c>
      <c r="F262" s="397" t="s">
        <v>594</v>
      </c>
      <c r="G262" s="397" t="s">
        <v>595</v>
      </c>
      <c r="H262" s="432" t="s">
        <v>596</v>
      </c>
    </row>
    <row r="263" spans="4:8">
      <c r="D263" s="402" t="str">
        <f t="shared" si="9"/>
        <v>3º GRUPO D</v>
      </c>
      <c r="E263" s="397" t="s">
        <v>415</v>
      </c>
      <c r="F263" s="397" t="s">
        <v>597</v>
      </c>
      <c r="G263" s="397" t="s">
        <v>598</v>
      </c>
      <c r="H263" s="432" t="s">
        <v>599</v>
      </c>
    </row>
    <row r="264" spans="4:8">
      <c r="D264" s="402" t="str">
        <f t="shared" si="9"/>
        <v>4º GRUPO D</v>
      </c>
      <c r="E264" s="397" t="s">
        <v>415</v>
      </c>
      <c r="F264" s="397" t="s">
        <v>600</v>
      </c>
      <c r="G264" s="397" t="s">
        <v>601</v>
      </c>
      <c r="H264" s="432" t="s">
        <v>602</v>
      </c>
    </row>
    <row r="265" spans="4:8">
      <c r="D265" s="402" t="str">
        <f t="shared" si="9"/>
        <v>1º GRUPO E</v>
      </c>
      <c r="E265" s="397" t="s">
        <v>415</v>
      </c>
      <c r="F265" s="397" t="s">
        <v>603</v>
      </c>
      <c r="G265" s="397" t="s">
        <v>604</v>
      </c>
      <c r="H265" s="432" t="s">
        <v>605</v>
      </c>
    </row>
    <row r="266" spans="4:8">
      <c r="D266" s="402" t="str">
        <f t="shared" si="9"/>
        <v>2º GRUPO E</v>
      </c>
      <c r="E266" s="397" t="s">
        <v>415</v>
      </c>
      <c r="F266" s="397" t="s">
        <v>606</v>
      </c>
      <c r="G266" s="397" t="s">
        <v>607</v>
      </c>
      <c r="H266" s="432" t="s">
        <v>608</v>
      </c>
    </row>
    <row r="267" spans="4:8">
      <c r="D267" s="402" t="str">
        <f t="shared" si="9"/>
        <v>3º GRUPO E</v>
      </c>
      <c r="E267" s="397" t="s">
        <v>415</v>
      </c>
      <c r="F267" s="397" t="s">
        <v>609</v>
      </c>
      <c r="G267" s="397" t="s">
        <v>610</v>
      </c>
      <c r="H267" s="432" t="s">
        <v>611</v>
      </c>
    </row>
    <row r="268" spans="4:8">
      <c r="D268" s="402" t="str">
        <f t="shared" si="9"/>
        <v>4º GRUPO E</v>
      </c>
      <c r="E268" s="397" t="s">
        <v>415</v>
      </c>
      <c r="F268" s="397" t="s">
        <v>612</v>
      </c>
      <c r="G268" s="397" t="s">
        <v>613</v>
      </c>
      <c r="H268" s="432" t="s">
        <v>614</v>
      </c>
    </row>
    <row r="269" spans="4:8">
      <c r="D269" s="402" t="str">
        <f t="shared" si="9"/>
        <v>1º GRUPO F</v>
      </c>
      <c r="E269" s="397" t="s">
        <v>415</v>
      </c>
      <c r="F269" s="397" t="s">
        <v>615</v>
      </c>
      <c r="G269" s="397" t="s">
        <v>616</v>
      </c>
      <c r="H269" s="432" t="s">
        <v>617</v>
      </c>
    </row>
    <row r="270" spans="4:8">
      <c r="D270" s="402" t="str">
        <f t="shared" si="9"/>
        <v>2º GRUPO F</v>
      </c>
      <c r="E270" s="397" t="s">
        <v>415</v>
      </c>
      <c r="F270" s="397" t="s">
        <v>618</v>
      </c>
      <c r="G270" s="397" t="s">
        <v>619</v>
      </c>
      <c r="H270" s="432" t="s">
        <v>620</v>
      </c>
    </row>
    <row r="271" spans="4:8">
      <c r="D271" s="402" t="str">
        <f t="shared" si="9"/>
        <v>3º GRUPO F</v>
      </c>
      <c r="E271" s="397" t="s">
        <v>415</v>
      </c>
      <c r="F271" s="397" t="s">
        <v>621</v>
      </c>
      <c r="G271" s="397" t="s">
        <v>622</v>
      </c>
      <c r="H271" s="432" t="s">
        <v>623</v>
      </c>
    </row>
    <row r="272" spans="4:8">
      <c r="D272" s="402" t="str">
        <f t="shared" si="9"/>
        <v>4º GRUPO F</v>
      </c>
      <c r="E272" s="397" t="s">
        <v>415</v>
      </c>
      <c r="F272" s="397" t="s">
        <v>624</v>
      </c>
      <c r="G272" s="397" t="s">
        <v>625</v>
      </c>
      <c r="H272" s="432" t="s">
        <v>626</v>
      </c>
    </row>
    <row r="273" spans="1:8">
      <c r="D273" s="402" t="str">
        <f t="shared" si="9"/>
        <v>Octavofinalista</v>
      </c>
      <c r="E273" s="397" t="s">
        <v>415</v>
      </c>
      <c r="F273" s="397" t="s">
        <v>627</v>
      </c>
      <c r="G273" s="397" t="s">
        <v>628</v>
      </c>
      <c r="H273" s="432" t="s">
        <v>629</v>
      </c>
    </row>
    <row r="274" spans="1:8">
      <c r="D274" s="402" t="str">
        <f t="shared" si="9"/>
        <v>Cuartofinalista</v>
      </c>
      <c r="E274" s="397" t="s">
        <v>415</v>
      </c>
      <c r="F274" s="397" t="s">
        <v>630</v>
      </c>
      <c r="G274" s="397" t="s">
        <v>631</v>
      </c>
      <c r="H274" s="432" t="s">
        <v>632</v>
      </c>
    </row>
    <row r="275" spans="1:8">
      <c r="D275" s="402" t="str">
        <f t="shared" si="9"/>
        <v>Semifinalista</v>
      </c>
      <c r="E275" s="397" t="s">
        <v>415</v>
      </c>
      <c r="F275" s="397" t="s">
        <v>633</v>
      </c>
      <c r="G275" s="397" t="s">
        <v>634</v>
      </c>
      <c r="H275" s="432" t="s">
        <v>635</v>
      </c>
    </row>
    <row r="276" spans="1:8" ht="16" thickBot="1">
      <c r="D276" s="405" t="str">
        <f t="shared" si="9"/>
        <v>Finalista</v>
      </c>
      <c r="E276" s="406" t="s">
        <v>415</v>
      </c>
      <c r="F276" s="406" t="s">
        <v>636</v>
      </c>
      <c r="G276" s="406" t="s">
        <v>637</v>
      </c>
      <c r="H276" s="433" t="s">
        <v>638</v>
      </c>
    </row>
    <row r="277" spans="1:8">
      <c r="D277" s="402" t="str">
        <f t="shared" si="9"/>
        <v>J1</v>
      </c>
      <c r="E277" s="397" t="s">
        <v>415</v>
      </c>
      <c r="F277" s="397" t="s">
        <v>639</v>
      </c>
      <c r="G277" s="397" t="s">
        <v>241</v>
      </c>
      <c r="H277" s="432" t="s">
        <v>242</v>
      </c>
    </row>
    <row r="278" spans="1:8">
      <c r="D278" s="402" t="str">
        <f t="shared" si="9"/>
        <v>J2</v>
      </c>
      <c r="E278" s="397" t="s">
        <v>415</v>
      </c>
      <c r="F278" s="397" t="s">
        <v>640</v>
      </c>
      <c r="G278" s="397" t="s">
        <v>244</v>
      </c>
      <c r="H278" s="432" t="s">
        <v>245</v>
      </c>
    </row>
    <row r="279" spans="1:8">
      <c r="D279" s="402" t="str">
        <f t="shared" si="9"/>
        <v>J3</v>
      </c>
      <c r="E279" s="397" t="s">
        <v>415</v>
      </c>
      <c r="F279" s="397" t="s">
        <v>641</v>
      </c>
      <c r="G279" s="397" t="s">
        <v>247</v>
      </c>
      <c r="H279" s="432" t="s">
        <v>248</v>
      </c>
    </row>
    <row r="280" spans="1:8">
      <c r="D280" s="402" t="str">
        <f t="shared" si="9"/>
        <v>* Explicación del sistema de puntuación</v>
      </c>
      <c r="E280" s="397" t="s">
        <v>415</v>
      </c>
      <c r="F280" s="397" t="s">
        <v>642</v>
      </c>
      <c r="G280" s="397" t="s">
        <v>643</v>
      </c>
      <c r="H280" s="432" t="s">
        <v>644</v>
      </c>
    </row>
    <row r="281" spans="1:8">
      <c r="A281" s="404" t="s">
        <v>645</v>
      </c>
      <c r="B281" s="404"/>
      <c r="C281" s="404"/>
      <c r="D281" s="402" t="str">
        <f t="shared" si="9"/>
        <v xml:space="preserve">https://matejero.es/puntuaciones-excel-euro-2024/
	</v>
      </c>
      <c r="E281" s="397" t="s">
        <v>415</v>
      </c>
      <c r="F281" s="397" t="s">
        <v>646</v>
      </c>
      <c r="G281" s="397" t="s">
        <v>647</v>
      </c>
      <c r="H281" s="397" t="s">
        <v>648</v>
      </c>
    </row>
    <row r="286" spans="1:8" ht="16" thickBot="1"/>
    <row r="287" spans="1:8">
      <c r="D287" s="399" t="str">
        <f t="shared" ref="D287:D301" si="10">IF($B$2,G287,H287)</f>
        <v>CLASIFICACIÓN EURO 2024</v>
      </c>
      <c r="E287" s="400" t="s">
        <v>13</v>
      </c>
      <c r="F287" s="400" t="s">
        <v>649</v>
      </c>
      <c r="G287" s="434" t="s">
        <v>650</v>
      </c>
      <c r="H287" s="435" t="s">
        <v>651</v>
      </c>
    </row>
    <row r="288" spans="1:8">
      <c r="D288" s="402" t="str">
        <f t="shared" si="10"/>
        <v>Pos</v>
      </c>
      <c r="E288" s="397" t="s">
        <v>13</v>
      </c>
      <c r="F288" s="397" t="s">
        <v>200</v>
      </c>
      <c r="G288" s="428" t="s">
        <v>11</v>
      </c>
      <c r="H288" s="429" t="s">
        <v>11</v>
      </c>
    </row>
    <row r="289" spans="4:8">
      <c r="D289" s="402" t="str">
        <f t="shared" si="10"/>
        <v>Jugador</v>
      </c>
      <c r="E289" s="397" t="s">
        <v>13</v>
      </c>
      <c r="F289" s="397" t="s">
        <v>50</v>
      </c>
      <c r="G289" s="428" t="s">
        <v>652</v>
      </c>
      <c r="H289" s="429" t="s">
        <v>653</v>
      </c>
    </row>
    <row r="290" spans="4:8">
      <c r="D290" s="402" t="str">
        <f t="shared" si="10"/>
        <v>Puntos Totales</v>
      </c>
      <c r="E290" s="397" t="s">
        <v>13</v>
      </c>
      <c r="F290" s="397" t="s">
        <v>654</v>
      </c>
      <c r="G290" s="428" t="s">
        <v>655</v>
      </c>
      <c r="H290" s="429" t="s">
        <v>656</v>
      </c>
    </row>
    <row r="291" spans="4:8">
      <c r="D291" s="402" t="str">
        <f t="shared" si="10"/>
        <v>F. Grupos</v>
      </c>
      <c r="E291" s="397" t="s">
        <v>13</v>
      </c>
      <c r="F291" s="397" t="s">
        <v>221</v>
      </c>
      <c r="G291" s="428" t="s">
        <v>657</v>
      </c>
      <c r="H291" s="429" t="s">
        <v>658</v>
      </c>
    </row>
    <row r="292" spans="4:8">
      <c r="D292" s="402" t="str">
        <f t="shared" si="10"/>
        <v>Pos. Grupos</v>
      </c>
      <c r="E292" s="397" t="s">
        <v>13</v>
      </c>
      <c r="F292" s="397" t="s">
        <v>125</v>
      </c>
      <c r="G292" s="428" t="s">
        <v>659</v>
      </c>
      <c r="H292" s="429" t="s">
        <v>660</v>
      </c>
    </row>
    <row r="293" spans="4:8">
      <c r="D293" s="402" t="str">
        <f t="shared" si="10"/>
        <v>Equipos 1/8</v>
      </c>
      <c r="E293" s="397" t="s">
        <v>13</v>
      </c>
      <c r="F293" s="397" t="s">
        <v>127</v>
      </c>
      <c r="G293" s="428" t="s">
        <v>661</v>
      </c>
      <c r="H293" s="429" t="s">
        <v>662</v>
      </c>
    </row>
    <row r="294" spans="4:8">
      <c r="D294" s="402" t="str">
        <f t="shared" si="10"/>
        <v>Partidos 1/8</v>
      </c>
      <c r="E294" s="397" t="s">
        <v>13</v>
      </c>
      <c r="F294" s="397" t="s">
        <v>129</v>
      </c>
      <c r="G294" s="428" t="s">
        <v>663</v>
      </c>
      <c r="H294" s="429" t="s">
        <v>664</v>
      </c>
    </row>
    <row r="295" spans="4:8">
      <c r="D295" s="402" t="str">
        <f t="shared" si="10"/>
        <v>Equipos 1/4</v>
      </c>
      <c r="E295" s="397" t="s">
        <v>13</v>
      </c>
      <c r="F295" s="397" t="s">
        <v>132</v>
      </c>
      <c r="G295" s="428" t="s">
        <v>665</v>
      </c>
      <c r="H295" s="429" t="s">
        <v>666</v>
      </c>
    </row>
    <row r="296" spans="4:8">
      <c r="D296" s="402" t="str">
        <f t="shared" si="10"/>
        <v>Partidos 1/4</v>
      </c>
      <c r="E296" s="397" t="s">
        <v>13</v>
      </c>
      <c r="F296" s="397" t="s">
        <v>247</v>
      </c>
      <c r="G296" s="428" t="s">
        <v>667</v>
      </c>
      <c r="H296" s="429" t="s">
        <v>668</v>
      </c>
    </row>
    <row r="297" spans="4:8">
      <c r="D297" s="402" t="str">
        <f t="shared" si="10"/>
        <v>Equipos 1/2</v>
      </c>
      <c r="E297" s="397" t="s">
        <v>13</v>
      </c>
      <c r="F297" s="397" t="s">
        <v>133</v>
      </c>
      <c r="G297" s="428" t="s">
        <v>669</v>
      </c>
      <c r="H297" s="429" t="s">
        <v>670</v>
      </c>
    </row>
    <row r="298" spans="4:8">
      <c r="D298" s="402" t="str">
        <f t="shared" si="10"/>
        <v>Partidos 1/2</v>
      </c>
      <c r="E298" s="397" t="s">
        <v>13</v>
      </c>
      <c r="F298" s="397" t="s">
        <v>671</v>
      </c>
      <c r="G298" s="428" t="s">
        <v>672</v>
      </c>
      <c r="H298" s="429" t="s">
        <v>673</v>
      </c>
    </row>
    <row r="299" spans="4:8">
      <c r="D299" s="402" t="str">
        <f t="shared" si="10"/>
        <v>Equipos Final</v>
      </c>
      <c r="E299" s="397" t="s">
        <v>13</v>
      </c>
      <c r="F299" s="397" t="s">
        <v>674</v>
      </c>
      <c r="G299" s="428" t="s">
        <v>675</v>
      </c>
      <c r="H299" s="429" t="s">
        <v>676</v>
      </c>
    </row>
    <row r="300" spans="4:8">
      <c r="D300" s="402" t="str">
        <f t="shared" si="10"/>
        <v>Partido Final</v>
      </c>
      <c r="E300" s="397" t="s">
        <v>13</v>
      </c>
      <c r="F300" s="397" t="s">
        <v>134</v>
      </c>
      <c r="G300" s="428" t="s">
        <v>529</v>
      </c>
      <c r="H300" s="429" t="s">
        <v>677</v>
      </c>
    </row>
    <row r="301" spans="4:8" ht="16" thickBot="1">
      <c r="D301" s="405" t="str">
        <f t="shared" si="10"/>
        <v>Cuadro de Honor</v>
      </c>
      <c r="E301" s="406" t="s">
        <v>13</v>
      </c>
      <c r="F301" s="406" t="s">
        <v>47</v>
      </c>
      <c r="G301" s="436" t="s">
        <v>678</v>
      </c>
      <c r="H301" s="437" t="s">
        <v>532</v>
      </c>
    </row>
    <row r="302" spans="4:8" ht="16" thickBot="1"/>
    <row r="303" spans="4:8">
      <c r="D303" s="399" t="str">
        <f>IF($B$2,G303,H303)</f>
        <v>Selecciona día:</v>
      </c>
      <c r="E303" s="400" t="s">
        <v>679</v>
      </c>
      <c r="F303" s="400" t="s">
        <v>680</v>
      </c>
      <c r="G303" s="400" t="s">
        <v>681</v>
      </c>
      <c r="H303" s="401" t="s">
        <v>682</v>
      </c>
    </row>
    <row r="304" spans="4:8" ht="16" thickBot="1">
      <c r="D304" s="405" t="str">
        <f>IF($B$2,G304,H304)</f>
        <v>Nombre</v>
      </c>
      <c r="E304" s="406" t="s">
        <v>679</v>
      </c>
      <c r="F304" s="406" t="s">
        <v>50</v>
      </c>
      <c r="G304" s="406" t="s">
        <v>215</v>
      </c>
      <c r="H304" s="415" t="s">
        <v>216</v>
      </c>
    </row>
    <row r="305" spans="4:9" ht="16" thickBot="1"/>
    <row r="306" spans="4:9">
      <c r="D306" s="399" t="str">
        <f t="shared" ref="D306:D348" si="11">IF($B$2,G306,H306)</f>
        <v>Selecciona día:</v>
      </c>
      <c r="E306" s="400" t="s">
        <v>683</v>
      </c>
      <c r="F306" s="400" t="s">
        <v>684</v>
      </c>
      <c r="G306" s="400" t="s">
        <v>681</v>
      </c>
      <c r="H306" s="401" t="s">
        <v>682</v>
      </c>
    </row>
    <row r="307" spans="4:9">
      <c r="D307" s="402" t="str">
        <f t="shared" si="11"/>
        <v>Pos</v>
      </c>
      <c r="E307" s="397" t="s">
        <v>683</v>
      </c>
      <c r="F307" s="397" t="s">
        <v>221</v>
      </c>
      <c r="G307" s="397" t="s">
        <v>11</v>
      </c>
      <c r="H307" s="403" t="s">
        <v>11</v>
      </c>
    </row>
    <row r="308" spans="4:9">
      <c r="D308" s="402" t="str">
        <f t="shared" si="11"/>
        <v>Nombre</v>
      </c>
      <c r="E308" s="397" t="s">
        <v>683</v>
      </c>
      <c r="F308" s="397" t="s">
        <v>125</v>
      </c>
      <c r="G308" s="397" t="s">
        <v>215</v>
      </c>
      <c r="H308" s="403" t="s">
        <v>216</v>
      </c>
    </row>
    <row r="309" spans="4:9" ht="16" thickBot="1">
      <c r="D309" s="405" t="str">
        <f t="shared" si="11"/>
        <v>Puntos Día / Eliminatoria</v>
      </c>
      <c r="E309" s="406" t="s">
        <v>683</v>
      </c>
      <c r="F309" s="406" t="s">
        <v>127</v>
      </c>
      <c r="G309" s="406" t="s">
        <v>685</v>
      </c>
      <c r="H309" s="415" t="s">
        <v>686</v>
      </c>
    </row>
    <row r="311" spans="4:9">
      <c r="D311" s="402" t="str">
        <f t="shared" si="11"/>
        <v>NombreEquipo</v>
      </c>
      <c r="E311" s="397" t="s">
        <v>271</v>
      </c>
      <c r="G311" s="397" t="s">
        <v>0</v>
      </c>
      <c r="H311" s="397" t="s">
        <v>713</v>
      </c>
    </row>
    <row r="312" spans="4:9">
      <c r="D312" s="438" t="str">
        <f t="shared" si="11"/>
        <v>Escudo</v>
      </c>
      <c r="E312" s="439" t="s">
        <v>271</v>
      </c>
      <c r="F312" s="439"/>
      <c r="G312" s="439" t="s">
        <v>691</v>
      </c>
      <c r="H312" s="439" t="s">
        <v>714</v>
      </c>
    </row>
    <row r="313" spans="4:9" ht="16">
      <c r="D313" s="402" t="str">
        <f t="shared" si="11"/>
        <v>Ajax</v>
      </c>
      <c r="E313" s="397" t="s">
        <v>271</v>
      </c>
      <c r="G313" s="140" t="s">
        <v>984</v>
      </c>
      <c r="H313" s="140" t="s">
        <v>984</v>
      </c>
      <c r="I313" s="140"/>
    </row>
    <row r="314" spans="4:9" ht="16">
      <c r="D314" s="402" t="str">
        <f t="shared" si="11"/>
        <v>Arsenal</v>
      </c>
      <c r="E314" s="397" t="s">
        <v>271</v>
      </c>
      <c r="G314" s="140" t="s">
        <v>735</v>
      </c>
      <c r="H314" s="140" t="s">
        <v>735</v>
      </c>
      <c r="I314" s="140"/>
    </row>
    <row r="315" spans="4:9" ht="16">
      <c r="D315" s="402" t="str">
        <f t="shared" si="11"/>
        <v>Atalanta</v>
      </c>
      <c r="E315" s="397" t="s">
        <v>271</v>
      </c>
      <c r="G315" s="140" t="s">
        <v>697</v>
      </c>
      <c r="H315" s="140" t="s">
        <v>697</v>
      </c>
      <c r="I315" s="140"/>
    </row>
    <row r="316" spans="4:9" ht="16">
      <c r="D316" s="402" t="str">
        <f t="shared" si="11"/>
        <v>Athletic Bilbao</v>
      </c>
      <c r="E316" s="397" t="s">
        <v>271</v>
      </c>
      <c r="G316" s="140" t="s">
        <v>981</v>
      </c>
      <c r="H316" s="140" t="s">
        <v>981</v>
      </c>
      <c r="I316" s="140"/>
    </row>
    <row r="317" spans="4:9" ht="16">
      <c r="D317" s="402" t="str">
        <f t="shared" si="11"/>
        <v>Atlético Madrid</v>
      </c>
      <c r="E317" s="397" t="s">
        <v>271</v>
      </c>
      <c r="G317" s="140" t="s">
        <v>992</v>
      </c>
      <c r="H317" s="140" t="s">
        <v>992</v>
      </c>
      <c r="I317" s="140"/>
    </row>
    <row r="318" spans="4:9" ht="16">
      <c r="D318" s="402" t="str">
        <f t="shared" si="11"/>
        <v>Barcelona</v>
      </c>
      <c r="E318" s="397" t="s">
        <v>271</v>
      </c>
      <c r="G318" s="140" t="s">
        <v>692</v>
      </c>
      <c r="H318" s="140" t="s">
        <v>692</v>
      </c>
      <c r="I318" s="140"/>
    </row>
    <row r="319" spans="4:9" ht="16">
      <c r="D319" s="402" t="str">
        <f t="shared" si="11"/>
        <v>Bayer Leverkusen</v>
      </c>
      <c r="E319" s="397" t="s">
        <v>271</v>
      </c>
      <c r="G319" s="140" t="s">
        <v>693</v>
      </c>
      <c r="H319" s="140" t="s">
        <v>693</v>
      </c>
      <c r="I319" s="140"/>
    </row>
    <row r="320" spans="4:9" ht="16">
      <c r="D320" s="402" t="str">
        <f t="shared" si="11"/>
        <v>Bayern München</v>
      </c>
      <c r="E320" s="397" t="s">
        <v>271</v>
      </c>
      <c r="G320" s="140" t="s">
        <v>993</v>
      </c>
      <c r="H320" s="140" t="s">
        <v>993</v>
      </c>
      <c r="I320" s="140"/>
    </row>
    <row r="321" spans="4:9" ht="16">
      <c r="D321" s="402" t="str">
        <f t="shared" si="11"/>
        <v>Benfica</v>
      </c>
      <c r="E321" s="397" t="s">
        <v>271</v>
      </c>
      <c r="G321" s="140" t="s">
        <v>814</v>
      </c>
      <c r="H321" s="140" t="s">
        <v>814</v>
      </c>
      <c r="I321" s="140"/>
    </row>
    <row r="322" spans="4:9" ht="16">
      <c r="D322" s="402" t="str">
        <f t="shared" si="11"/>
        <v>Bodø/Glimt</v>
      </c>
      <c r="E322" s="397" t="s">
        <v>271</v>
      </c>
      <c r="G322" s="140" t="s">
        <v>821</v>
      </c>
      <c r="H322" s="140" t="s">
        <v>821</v>
      </c>
      <c r="I322" s="140"/>
    </row>
    <row r="323" spans="4:9" ht="16">
      <c r="D323" s="402" t="str">
        <f t="shared" si="11"/>
        <v>Borussia Dortmund</v>
      </c>
      <c r="E323" s="397" t="s">
        <v>271</v>
      </c>
      <c r="G323" s="140" t="s">
        <v>736</v>
      </c>
      <c r="H323" s="140" t="s">
        <v>736</v>
      </c>
      <c r="I323" s="140"/>
    </row>
    <row r="324" spans="4:9" ht="16">
      <c r="D324" s="402" t="str">
        <f t="shared" si="11"/>
        <v>Brugge</v>
      </c>
      <c r="E324" s="397" t="s">
        <v>271</v>
      </c>
      <c r="G324" s="140" t="s">
        <v>815</v>
      </c>
      <c r="H324" s="140" t="s">
        <v>815</v>
      </c>
      <c r="I324" s="140"/>
    </row>
    <row r="325" spans="4:9" ht="16">
      <c r="D325" s="402" t="str">
        <f t="shared" si="11"/>
        <v>Chelsea</v>
      </c>
      <c r="E325" s="397" t="s">
        <v>271</v>
      </c>
      <c r="G325" s="140" t="s">
        <v>978</v>
      </c>
      <c r="H325" s="140" t="s">
        <v>978</v>
      </c>
      <c r="I325" s="140"/>
    </row>
    <row r="326" spans="4:9" ht="16">
      <c r="D326" s="402" t="str">
        <f t="shared" si="11"/>
        <v>Copenhagen</v>
      </c>
      <c r="E326" s="397" t="s">
        <v>271</v>
      </c>
      <c r="G326" s="140" t="s">
        <v>996</v>
      </c>
      <c r="H326" s="140" t="s">
        <v>996</v>
      </c>
      <c r="I326" s="140"/>
    </row>
    <row r="327" spans="4:9" ht="16">
      <c r="D327" s="402" t="str">
        <f t="shared" si="11"/>
        <v>Eintracht Frankfurt</v>
      </c>
      <c r="E327" s="397" t="s">
        <v>271</v>
      </c>
      <c r="G327" s="140" t="s">
        <v>983</v>
      </c>
      <c r="H327" s="140" t="s">
        <v>983</v>
      </c>
      <c r="I327" s="140"/>
    </row>
    <row r="328" spans="4:9" ht="16">
      <c r="D328" s="402" t="str">
        <f t="shared" si="11"/>
        <v>Galatasaray</v>
      </c>
      <c r="E328" s="397" t="s">
        <v>271</v>
      </c>
      <c r="G328" s="140" t="s">
        <v>986</v>
      </c>
      <c r="H328" s="140" t="s">
        <v>986</v>
      </c>
      <c r="I328" s="140"/>
    </row>
    <row r="329" spans="4:9" ht="16">
      <c r="D329" s="402" t="str">
        <f t="shared" si="11"/>
        <v>Inter Milan</v>
      </c>
      <c r="E329" s="397" t="s">
        <v>271</v>
      </c>
      <c r="G329" s="140" t="s">
        <v>695</v>
      </c>
      <c r="H329" s="140" t="s">
        <v>695</v>
      </c>
      <c r="I329" s="140"/>
    </row>
    <row r="330" spans="4:9" ht="16">
      <c r="D330" s="402" t="str">
        <f t="shared" si="11"/>
        <v>Juventus</v>
      </c>
      <c r="E330" s="397" t="s">
        <v>271</v>
      </c>
      <c r="G330" s="140" t="s">
        <v>696</v>
      </c>
      <c r="H330" s="140" t="s">
        <v>696</v>
      </c>
      <c r="I330" s="140"/>
    </row>
    <row r="331" spans="4:9" ht="20">
      <c r="D331" s="402" t="str">
        <f t="shared" si="11"/>
        <v>Kairat Almaty </v>
      </c>
      <c r="E331" s="397" t="s">
        <v>271</v>
      </c>
      <c r="G331" s="140" t="s">
        <v>999</v>
      </c>
      <c r="H331" s="140" t="s">
        <v>999</v>
      </c>
      <c r="I331" s="140"/>
    </row>
    <row r="332" spans="4:9" ht="16">
      <c r="D332" s="402" t="str">
        <f t="shared" si="11"/>
        <v>Liverpool</v>
      </c>
      <c r="E332" s="397" t="s">
        <v>271</v>
      </c>
      <c r="G332" s="140" t="s">
        <v>739</v>
      </c>
      <c r="H332" s="140" t="s">
        <v>739</v>
      </c>
      <c r="I332" s="140"/>
    </row>
    <row r="333" spans="4:9" ht="16">
      <c r="D333" s="402" t="str">
        <f t="shared" si="11"/>
        <v>Manchester City</v>
      </c>
      <c r="E333" s="397" t="s">
        <v>271</v>
      </c>
      <c r="G333" s="140" t="s">
        <v>740</v>
      </c>
      <c r="H333" s="140" t="s">
        <v>740</v>
      </c>
      <c r="I333" s="140"/>
    </row>
    <row r="334" spans="4:9" ht="16">
      <c r="D334" s="402" t="str">
        <f t="shared" si="11"/>
        <v>Marseille</v>
      </c>
      <c r="E334" s="397" t="s">
        <v>271</v>
      </c>
      <c r="G334" s="140" t="s">
        <v>994</v>
      </c>
      <c r="H334" s="140" t="s">
        <v>994</v>
      </c>
      <c r="I334" s="140"/>
    </row>
    <row r="335" spans="4:9" ht="16">
      <c r="D335" s="402" t="str">
        <f t="shared" si="11"/>
        <v>Monaco</v>
      </c>
      <c r="E335" s="397" t="s">
        <v>271</v>
      </c>
      <c r="G335" s="140" t="s">
        <v>802</v>
      </c>
      <c r="H335" s="140" t="s">
        <v>802</v>
      </c>
      <c r="I335" s="140"/>
    </row>
    <row r="336" spans="4:9" ht="16">
      <c r="D336" s="402" t="str">
        <f t="shared" si="11"/>
        <v>Napoli</v>
      </c>
      <c r="E336" s="397" t="s">
        <v>271</v>
      </c>
      <c r="G336" s="140" t="s">
        <v>980</v>
      </c>
      <c r="H336" s="140" t="s">
        <v>980</v>
      </c>
      <c r="I336" s="140"/>
    </row>
    <row r="337" spans="4:9" ht="16">
      <c r="D337" s="402" t="str">
        <f t="shared" si="11"/>
        <v>Newcastle</v>
      </c>
      <c r="E337" s="397" t="s">
        <v>271</v>
      </c>
      <c r="G337" s="140" t="s">
        <v>979</v>
      </c>
      <c r="H337" s="140" t="s">
        <v>979</v>
      </c>
      <c r="I337" s="140"/>
    </row>
    <row r="338" spans="4:9" ht="16">
      <c r="D338" s="402" t="str">
        <f t="shared" si="11"/>
        <v>Olympiakos</v>
      </c>
      <c r="E338" s="397" t="s">
        <v>271</v>
      </c>
      <c r="G338" s="140" t="s">
        <v>987</v>
      </c>
      <c r="H338" s="140" t="s">
        <v>987</v>
      </c>
      <c r="I338" s="140"/>
    </row>
    <row r="339" spans="4:9" ht="16">
      <c r="D339" s="402" t="str">
        <f t="shared" si="11"/>
        <v>Pafos</v>
      </c>
      <c r="E339" s="397" t="s">
        <v>271</v>
      </c>
      <c r="G339" s="140" t="s">
        <v>989</v>
      </c>
      <c r="H339" s="140" t="s">
        <v>989</v>
      </c>
      <c r="I339" s="140"/>
    </row>
    <row r="340" spans="4:9" ht="16">
      <c r="D340" s="402" t="str">
        <f t="shared" si="11"/>
        <v>PSG</v>
      </c>
      <c r="E340" s="397" t="s">
        <v>271</v>
      </c>
      <c r="G340" s="140" t="s">
        <v>698</v>
      </c>
      <c r="H340" s="140" t="s">
        <v>698</v>
      </c>
      <c r="I340" s="140"/>
    </row>
    <row r="341" spans="4:9" ht="16">
      <c r="D341" s="402" t="str">
        <f t="shared" si="11"/>
        <v>PSV Eindhoven</v>
      </c>
      <c r="E341" s="397" t="s">
        <v>271</v>
      </c>
      <c r="G341" s="140" t="s">
        <v>741</v>
      </c>
      <c r="H341" s="140" t="s">
        <v>741</v>
      </c>
      <c r="I341" s="140"/>
    </row>
    <row r="342" spans="4:9" ht="16">
      <c r="D342" s="402" t="str">
        <f t="shared" si="11"/>
        <v>Qarabağ</v>
      </c>
      <c r="E342" s="397" t="s">
        <v>271</v>
      </c>
      <c r="G342" s="140" t="s">
        <v>990</v>
      </c>
      <c r="H342" s="140" t="s">
        <v>990</v>
      </c>
      <c r="I342" s="140"/>
    </row>
    <row r="343" spans="4:9" ht="16">
      <c r="D343" s="402" t="str">
        <f t="shared" si="11"/>
        <v>Real Madrid</v>
      </c>
      <c r="E343" s="397" t="s">
        <v>271</v>
      </c>
      <c r="G343" s="140" t="s">
        <v>2</v>
      </c>
      <c r="H343" s="140" t="s">
        <v>2</v>
      </c>
      <c r="I343" s="140"/>
    </row>
    <row r="344" spans="4:9" ht="16">
      <c r="D344" s="402" t="str">
        <f t="shared" si="11"/>
        <v>Slavia Praha</v>
      </c>
      <c r="E344" s="397" t="s">
        <v>271</v>
      </c>
      <c r="G344" s="140" t="s">
        <v>995</v>
      </c>
      <c r="H344" s="140" t="s">
        <v>995</v>
      </c>
      <c r="I344" s="140"/>
    </row>
    <row r="345" spans="4:9" ht="16">
      <c r="D345" s="402" t="str">
        <f t="shared" si="11"/>
        <v>Sporting Portugal</v>
      </c>
      <c r="E345" s="397" t="s">
        <v>271</v>
      </c>
      <c r="G345" s="140" t="s">
        <v>803</v>
      </c>
      <c r="H345" s="140" t="s">
        <v>803</v>
      </c>
      <c r="I345" s="140"/>
    </row>
    <row r="346" spans="4:9" ht="16">
      <c r="D346" s="402" t="str">
        <f t="shared" si="11"/>
        <v>Tottenham</v>
      </c>
      <c r="E346" s="397" t="s">
        <v>271</v>
      </c>
      <c r="G346" s="140" t="s">
        <v>991</v>
      </c>
      <c r="H346" s="140" t="s">
        <v>991</v>
      </c>
      <c r="I346" s="140"/>
    </row>
    <row r="347" spans="4:9" ht="16">
      <c r="D347" s="402" t="str">
        <f t="shared" si="11"/>
        <v>Union Saint-Gilloise</v>
      </c>
      <c r="E347" s="397" t="s">
        <v>271</v>
      </c>
      <c r="G347" s="140" t="s">
        <v>985</v>
      </c>
      <c r="H347" s="140" t="s">
        <v>985</v>
      </c>
      <c r="I347" s="140"/>
    </row>
    <row r="348" spans="4:9" ht="16">
      <c r="D348" s="402" t="str">
        <f t="shared" si="11"/>
        <v>Villarreal</v>
      </c>
      <c r="E348" s="397" t="s">
        <v>271</v>
      </c>
      <c r="G348" s="140" t="s">
        <v>982</v>
      </c>
      <c r="H348" s="140" t="s">
        <v>982</v>
      </c>
      <c r="I348" s="140"/>
    </row>
    <row r="356" spans="4:8" ht="16">
      <c r="D356" s="402" t="str">
        <f t="shared" ref="D356:D370" si="12">IF($B$2,G356,H356)</f>
        <v>Campeón</v>
      </c>
      <c r="E356" s="397" t="s">
        <v>827</v>
      </c>
      <c r="G356" s="140" t="s">
        <v>55</v>
      </c>
      <c r="H356" s="397" t="s">
        <v>157</v>
      </c>
    </row>
    <row r="357" spans="4:8" ht="16">
      <c r="D357" s="402" t="str">
        <f t="shared" si="12"/>
        <v>Final</v>
      </c>
      <c r="E357" s="397" t="s">
        <v>827</v>
      </c>
      <c r="G357" s="140" t="s">
        <v>152</v>
      </c>
      <c r="H357" s="397" t="s">
        <v>152</v>
      </c>
    </row>
    <row r="358" spans="4:8" ht="16">
      <c r="D358" s="402" t="str">
        <f t="shared" si="12"/>
        <v>Semifinales</v>
      </c>
      <c r="E358" s="397" t="s">
        <v>827</v>
      </c>
      <c r="G358" s="140" t="s">
        <v>149</v>
      </c>
      <c r="H358" s="397" t="s">
        <v>150</v>
      </c>
    </row>
    <row r="359" spans="4:8" ht="16">
      <c r="D359" s="402" t="str">
        <f t="shared" si="12"/>
        <v>Cuartos de final</v>
      </c>
      <c r="E359" s="397" t="s">
        <v>827</v>
      </c>
      <c r="G359" s="140" t="s">
        <v>146</v>
      </c>
      <c r="H359" s="397" t="s">
        <v>147</v>
      </c>
    </row>
    <row r="360" spans="4:8" ht="16">
      <c r="D360" s="402" t="str">
        <f t="shared" si="12"/>
        <v>Octavos de final</v>
      </c>
      <c r="E360" s="397" t="s">
        <v>827</v>
      </c>
      <c r="G360" s="140" t="s">
        <v>143</v>
      </c>
      <c r="H360" s="397" t="s">
        <v>144</v>
      </c>
    </row>
    <row r="361" spans="4:8" ht="16">
      <c r="D361" s="402" t="str">
        <f t="shared" si="12"/>
        <v>Playoffs</v>
      </c>
      <c r="E361" s="397" t="s">
        <v>827</v>
      </c>
      <c r="G361" s="140" t="s">
        <v>809</v>
      </c>
      <c r="H361" s="140" t="s">
        <v>809</v>
      </c>
    </row>
    <row r="362" spans="4:8" ht="16">
      <c r="D362" s="402" t="str">
        <f t="shared" si="12"/>
        <v>Fase de Liga</v>
      </c>
      <c r="E362" s="397" t="s">
        <v>827</v>
      </c>
      <c r="G362" s="140" t="s">
        <v>807</v>
      </c>
      <c r="H362" s="397" t="s">
        <v>806</v>
      </c>
    </row>
    <row r="363" spans="4:8">
      <c r="D363" s="397" t="str">
        <f t="shared" si="12"/>
        <v>Pronóstica la ronda</v>
      </c>
      <c r="E363" s="397" t="s">
        <v>827</v>
      </c>
      <c r="G363" s="397" t="s">
        <v>817</v>
      </c>
      <c r="H363" s="397" t="s">
        <v>816</v>
      </c>
    </row>
    <row r="364" spans="4:8">
      <c r="D364" s="397" t="str">
        <f t="shared" si="12"/>
        <v>Predice el equipo</v>
      </c>
      <c r="E364" s="397" t="s">
        <v>827</v>
      </c>
      <c r="G364" s="397" t="s">
        <v>825</v>
      </c>
      <c r="H364" s="397" t="s">
        <v>826</v>
      </c>
    </row>
    <row r="365" spans="4:8">
      <c r="D365" s="397" t="str">
        <f t="shared" si="12"/>
        <v>Ronda</v>
      </c>
      <c r="E365" s="397" t="s">
        <v>827</v>
      </c>
      <c r="G365" s="397" t="s">
        <v>828</v>
      </c>
      <c r="H365" s="397" t="s">
        <v>824</v>
      </c>
    </row>
    <row r="366" spans="4:8" ht="16">
      <c r="D366" s="397" t="str">
        <f t="shared" si="12"/>
        <v>·Selecciona para cada ronda el equipo o los equipos que crees que van a llegar hasta esa ronda.</v>
      </c>
      <c r="E366" s="397" t="s">
        <v>827</v>
      </c>
      <c r="G366" s="140" t="s">
        <v>831</v>
      </c>
      <c r="H366" s="397" t="s">
        <v>832</v>
      </c>
    </row>
    <row r="367" spans="4:8" ht="16">
      <c r="D367" s="397" t="str">
        <f t="shared" si="12"/>
        <v>·Una vez selecciones un equipo, dejará de aparecer en el selector</v>
      </c>
      <c r="E367" s="397" t="s">
        <v>827</v>
      </c>
      <c r="G367" s="140" t="s">
        <v>833</v>
      </c>
      <c r="H367" s="397" t="s">
        <v>834</v>
      </c>
    </row>
    <row r="368" spans="4:8" ht="16">
      <c r="D368" s="397" t="str">
        <f t="shared" si="12"/>
        <v xml:space="preserve">·Si has rellenado todos y quieres hacer un cambio, </v>
      </c>
      <c r="E368" s="397" t="s">
        <v>827</v>
      </c>
      <c r="G368" s="140" t="s">
        <v>836</v>
      </c>
      <c r="H368" s="397" t="s">
        <v>835</v>
      </c>
    </row>
    <row r="369" spans="4:8" ht="16">
      <c r="D369" s="397" t="str">
        <f t="shared" si="12"/>
        <v xml:space="preserve"> borra los equipos que quieras cambiar y podrás volver a seleccionarlos</v>
      </c>
      <c r="E369" s="397" t="s">
        <v>827</v>
      </c>
      <c r="G369" s="140" t="s">
        <v>837</v>
      </c>
      <c r="H369" s="397" t="s">
        <v>838</v>
      </c>
    </row>
    <row r="370" spans="4:8" ht="16">
      <c r="D370" s="397" t="str">
        <f t="shared" si="12"/>
        <v>Rellenar antes del comienzo de la Champions</v>
      </c>
      <c r="E370" s="397" t="s">
        <v>827</v>
      </c>
      <c r="G370" s="140" t="s">
        <v>830</v>
      </c>
      <c r="H370" s="397" t="s">
        <v>846</v>
      </c>
    </row>
  </sheetData>
  <sheetProtection algorithmName="SHA-512" hashValue="9Nvg3uGA48mLXqtwBGBjEfAReKmKBabdz12OwqqEslLgD6/A79A/rg9/IjoQ35vQj519ZgREzA9YXYZiWSwQug==" saltValue="gECTHHBi8lXtF3SeoUYh4w==" spinCount="100000" sheet="1" scenarios="1" selectLockedCells="1" selectUnlockedCells="1"/>
  <phoneticPr fontId="8" type="noConversion"/>
  <conditionalFormatting sqref="G313:G327 G329:G332 G334:G341">
    <cfRule type="duplicateValues" dxfId="4" priority="3"/>
  </conditionalFormatting>
  <conditionalFormatting sqref="G343:G345 G347:G348">
    <cfRule type="duplicateValues" dxfId="3" priority="4"/>
  </conditionalFormatting>
  <conditionalFormatting sqref="H313:H327 H329:H332 H334:H341">
    <cfRule type="duplicateValues" dxfId="2" priority="1"/>
  </conditionalFormatting>
  <conditionalFormatting sqref="H343:H345 H347:H348">
    <cfRule type="duplicateValues" dxfId="1" priority="2"/>
  </conditionalFormatting>
  <hyperlinks>
    <hyperlink ref="G281" r:id="rId1" xr:uid="{90729C8E-9CA8-9545-9C98-E9D041C3FE0E}"/>
    <hyperlink ref="H281" r:id="rId2" xr:uid="{B277B91A-6CA3-A544-84E3-FC6D9A365B0D}"/>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45E1-3CFB-4BCC-8EED-BDD46BC31135}">
  <sheetPr codeName="Hoja1"/>
  <dimension ref="A1:AR36"/>
  <sheetViews>
    <sheetView workbookViewId="0">
      <selection activeCell="F4" sqref="F4"/>
    </sheetView>
  </sheetViews>
  <sheetFormatPr baseColWidth="10" defaultRowHeight="16"/>
  <cols>
    <col min="1" max="5" width="10.83203125" bestFit="1" customWidth="1"/>
    <col min="6" max="6" width="18.1640625" bestFit="1" customWidth="1"/>
    <col min="7" max="9" width="10.83203125" bestFit="1" customWidth="1"/>
    <col min="10" max="13" width="11.83203125" bestFit="1" customWidth="1"/>
    <col min="14" max="14" width="17.5" bestFit="1" customWidth="1"/>
    <col min="15" max="21" width="11.83203125" bestFit="1" customWidth="1"/>
    <col min="22" max="22" width="15.83203125" bestFit="1" customWidth="1"/>
    <col min="23" max="29" width="11.83203125" bestFit="1" customWidth="1"/>
    <col min="30" max="30" width="20" bestFit="1" customWidth="1"/>
    <col min="31" max="37" width="11.83203125" bestFit="1" customWidth="1"/>
    <col min="38" max="38" width="6.6640625" bestFit="1" customWidth="1"/>
    <col min="39" max="44" width="11.83203125" bestFit="1" customWidth="1"/>
  </cols>
  <sheetData>
    <row r="1" spans="1:44">
      <c r="A1" t="s">
        <v>1033</v>
      </c>
      <c r="B1" t="s">
        <v>1034</v>
      </c>
      <c r="C1" t="s">
        <v>1035</v>
      </c>
      <c r="D1" t="s">
        <v>1036</v>
      </c>
      <c r="E1" t="s">
        <v>1037</v>
      </c>
      <c r="F1" t="s">
        <v>733</v>
      </c>
      <c r="G1" t="s">
        <v>1038</v>
      </c>
      <c r="H1" t="s">
        <v>1039</v>
      </c>
      <c r="I1" t="s">
        <v>1040</v>
      </c>
      <c r="J1" t="s">
        <v>1041</v>
      </c>
      <c r="K1" t="s">
        <v>1042</v>
      </c>
      <c r="L1" t="s">
        <v>1043</v>
      </c>
      <c r="M1" t="s">
        <v>1044</v>
      </c>
      <c r="N1" t="s">
        <v>734</v>
      </c>
      <c r="O1" t="s">
        <v>1045</v>
      </c>
      <c r="P1" t="s">
        <v>1046</v>
      </c>
      <c r="Q1" t="s">
        <v>1047</v>
      </c>
      <c r="R1" t="s">
        <v>1048</v>
      </c>
      <c r="S1" t="s">
        <v>1049</v>
      </c>
      <c r="T1" t="s">
        <v>1050</v>
      </c>
      <c r="U1" t="s">
        <v>1051</v>
      </c>
      <c r="V1" t="s">
        <v>782</v>
      </c>
      <c r="W1" t="s">
        <v>1052</v>
      </c>
      <c r="X1" t="s">
        <v>1053</v>
      </c>
      <c r="Y1" t="s">
        <v>1054</v>
      </c>
      <c r="Z1" t="s">
        <v>1055</v>
      </c>
      <c r="AA1" t="s">
        <v>1056</v>
      </c>
      <c r="AB1" t="s">
        <v>1057</v>
      </c>
      <c r="AC1" t="s">
        <v>1058</v>
      </c>
      <c r="AD1" t="s">
        <v>783</v>
      </c>
      <c r="AE1" t="s">
        <v>1059</v>
      </c>
      <c r="AF1" t="s">
        <v>1060</v>
      </c>
      <c r="AG1" t="s">
        <v>1061</v>
      </c>
      <c r="AH1" t="s">
        <v>1062</v>
      </c>
      <c r="AI1" t="s">
        <v>1063</v>
      </c>
      <c r="AJ1" t="s">
        <v>1064</v>
      </c>
      <c r="AK1" t="s">
        <v>1065</v>
      </c>
      <c r="AL1" t="s">
        <v>54</v>
      </c>
      <c r="AM1" t="s">
        <v>1066</v>
      </c>
      <c r="AN1" t="s">
        <v>1067</v>
      </c>
      <c r="AO1" t="s">
        <v>1068</v>
      </c>
      <c r="AP1" t="s">
        <v>1069</v>
      </c>
      <c r="AQ1" t="s">
        <v>1070</v>
      </c>
      <c r="AR1" t="s">
        <v>1071</v>
      </c>
    </row>
    <row r="2" spans="1:44">
      <c r="F2" t="s">
        <v>1072</v>
      </c>
      <c r="L2" s="463"/>
      <c r="N2" t="s">
        <v>1011</v>
      </c>
      <c r="V2" t="s">
        <v>1012</v>
      </c>
      <c r="AD2" t="s">
        <v>1013</v>
      </c>
      <c r="AL2" t="s">
        <v>1014</v>
      </c>
    </row>
    <row r="3" spans="1:44">
      <c r="L3" s="463"/>
    </row>
    <row r="4" spans="1:44">
      <c r="F4" t="s">
        <v>757</v>
      </c>
      <c r="L4" s="463"/>
    </row>
    <row r="5" spans="1:44">
      <c r="F5" t="s">
        <v>756</v>
      </c>
      <c r="L5" s="463"/>
      <c r="N5" t="s">
        <v>756</v>
      </c>
    </row>
    <row r="6" spans="1:44">
      <c r="L6" s="463">
        <v>46178</v>
      </c>
      <c r="N6" t="s">
        <v>766</v>
      </c>
    </row>
    <row r="7" spans="1:44">
      <c r="L7" s="463"/>
      <c r="V7">
        <v>46178</v>
      </c>
    </row>
    <row r="8" spans="1:44">
      <c r="A8">
        <v>1</v>
      </c>
      <c r="B8" t="s">
        <v>1075</v>
      </c>
      <c r="F8" t="s">
        <v>759</v>
      </c>
      <c r="L8" s="463"/>
      <c r="V8">
        <v>46115</v>
      </c>
    </row>
    <row r="9" spans="1:44">
      <c r="A9">
        <v>2</v>
      </c>
      <c r="B9" t="s">
        <v>1076</v>
      </c>
      <c r="F9" t="s">
        <v>758</v>
      </c>
      <c r="L9" s="463"/>
      <c r="N9" t="s">
        <v>758</v>
      </c>
    </row>
    <row r="10" spans="1:44">
      <c r="A10">
        <v>3</v>
      </c>
      <c r="B10" t="s">
        <v>1077</v>
      </c>
      <c r="L10" s="463">
        <v>46115</v>
      </c>
      <c r="N10" t="s">
        <v>767</v>
      </c>
    </row>
    <row r="11" spans="1:44">
      <c r="A11">
        <v>4</v>
      </c>
      <c r="B11" t="s">
        <v>1078</v>
      </c>
      <c r="L11" s="463"/>
      <c r="AD11">
        <v>46115</v>
      </c>
    </row>
    <row r="12" spans="1:44">
      <c r="A12">
        <v>5</v>
      </c>
      <c r="B12" t="s">
        <v>1079</v>
      </c>
      <c r="F12" t="s">
        <v>751</v>
      </c>
      <c r="L12" s="463"/>
      <c r="AD12">
        <v>46054</v>
      </c>
    </row>
    <row r="13" spans="1:44">
      <c r="A13">
        <v>6</v>
      </c>
      <c r="B13" t="s">
        <v>1080</v>
      </c>
      <c r="F13" t="s">
        <v>755</v>
      </c>
      <c r="L13" s="463"/>
      <c r="N13" t="s">
        <v>755</v>
      </c>
    </row>
    <row r="14" spans="1:44">
      <c r="A14">
        <v>7</v>
      </c>
      <c r="B14" t="s">
        <v>1081</v>
      </c>
      <c r="L14" s="463">
        <v>46241</v>
      </c>
      <c r="N14" t="s">
        <v>765</v>
      </c>
    </row>
    <row r="15" spans="1:44">
      <c r="A15">
        <v>8</v>
      </c>
      <c r="B15" t="s">
        <v>1082</v>
      </c>
      <c r="L15" s="463"/>
      <c r="V15">
        <v>46241</v>
      </c>
    </row>
    <row r="16" spans="1:44">
      <c r="A16">
        <v>9</v>
      </c>
      <c r="B16" t="s">
        <v>1083</v>
      </c>
      <c r="F16" t="s">
        <v>749</v>
      </c>
      <c r="L16" s="463"/>
      <c r="V16">
        <v>46054</v>
      </c>
    </row>
    <row r="17" spans="1:42">
      <c r="A17">
        <v>10</v>
      </c>
      <c r="B17" t="s">
        <v>1084</v>
      </c>
      <c r="F17" t="s">
        <v>748</v>
      </c>
      <c r="L17" s="463"/>
      <c r="N17" t="s">
        <v>748</v>
      </c>
    </row>
    <row r="18" spans="1:42">
      <c r="A18">
        <v>11</v>
      </c>
      <c r="B18" t="s">
        <v>1085</v>
      </c>
      <c r="L18" s="463">
        <v>46054</v>
      </c>
      <c r="N18" t="s">
        <v>764</v>
      </c>
      <c r="AP18" t="s">
        <v>157</v>
      </c>
    </row>
    <row r="19" spans="1:42">
      <c r="A19">
        <v>12</v>
      </c>
      <c r="B19" t="s">
        <v>1086</v>
      </c>
      <c r="L19" s="463"/>
      <c r="AL19">
        <v>46054</v>
      </c>
    </row>
    <row r="20" spans="1:42">
      <c r="A20">
        <v>13</v>
      </c>
      <c r="B20" t="s">
        <v>1087</v>
      </c>
      <c r="F20" t="s">
        <v>753</v>
      </c>
      <c r="L20" s="463"/>
      <c r="AL20">
        <v>46024</v>
      </c>
    </row>
    <row r="21" spans="1:42">
      <c r="A21">
        <v>14</v>
      </c>
      <c r="B21" t="s">
        <v>1088</v>
      </c>
      <c r="F21" t="s">
        <v>752</v>
      </c>
      <c r="L21" s="463"/>
      <c r="N21" t="s">
        <v>752</v>
      </c>
    </row>
    <row r="22" spans="1:42">
      <c r="A22">
        <v>15</v>
      </c>
      <c r="B22" t="s">
        <v>1089</v>
      </c>
      <c r="L22" s="463">
        <v>46148</v>
      </c>
      <c r="N22" t="s">
        <v>769</v>
      </c>
    </row>
    <row r="23" spans="1:42">
      <c r="A23">
        <v>16</v>
      </c>
      <c r="B23" t="s">
        <v>1090</v>
      </c>
      <c r="L23" s="463"/>
      <c r="V23">
        <v>46148</v>
      </c>
    </row>
    <row r="24" spans="1:42">
      <c r="A24">
        <v>17</v>
      </c>
      <c r="B24" t="s">
        <v>1091</v>
      </c>
      <c r="F24" t="s">
        <v>754</v>
      </c>
      <c r="L24" s="463"/>
      <c r="V24">
        <v>46085</v>
      </c>
    </row>
    <row r="25" spans="1:42">
      <c r="A25">
        <v>18</v>
      </c>
      <c r="B25" t="s">
        <v>1092</v>
      </c>
      <c r="F25" t="s">
        <v>760</v>
      </c>
      <c r="L25" s="463"/>
      <c r="N25" t="s">
        <v>760</v>
      </c>
    </row>
    <row r="26" spans="1:42">
      <c r="A26">
        <v>19</v>
      </c>
      <c r="B26" t="s">
        <v>1093</v>
      </c>
      <c r="L26" s="463">
        <v>46085</v>
      </c>
      <c r="N26" t="s">
        <v>768</v>
      </c>
    </row>
    <row r="27" spans="1:42">
      <c r="A27">
        <v>20</v>
      </c>
      <c r="B27" t="s">
        <v>1094</v>
      </c>
      <c r="L27" s="463"/>
      <c r="AD27">
        <v>46085</v>
      </c>
    </row>
    <row r="28" spans="1:42">
      <c r="A28">
        <v>21</v>
      </c>
      <c r="B28" t="s">
        <v>1095</v>
      </c>
      <c r="F28" t="s">
        <v>761</v>
      </c>
      <c r="L28" s="463"/>
      <c r="AD28">
        <v>46024</v>
      </c>
    </row>
    <row r="29" spans="1:42">
      <c r="A29">
        <v>22</v>
      </c>
      <c r="B29" t="s">
        <v>1096</v>
      </c>
      <c r="F29" t="s">
        <v>750</v>
      </c>
      <c r="L29" s="463"/>
      <c r="N29" t="s">
        <v>750</v>
      </c>
    </row>
    <row r="30" spans="1:42">
      <c r="A30">
        <v>23</v>
      </c>
      <c r="B30" t="s">
        <v>1097</v>
      </c>
      <c r="L30" s="463">
        <v>46211</v>
      </c>
      <c r="N30" t="s">
        <v>770</v>
      </c>
    </row>
    <row r="31" spans="1:42">
      <c r="A31">
        <v>24</v>
      </c>
      <c r="B31" t="s">
        <v>1098</v>
      </c>
      <c r="L31" s="463"/>
      <c r="V31">
        <v>46211</v>
      </c>
    </row>
    <row r="32" spans="1:42">
      <c r="F32" t="s">
        <v>763</v>
      </c>
      <c r="L32" s="463"/>
      <c r="V32">
        <v>46024</v>
      </c>
    </row>
    <row r="33" spans="6:14">
      <c r="F33" t="s">
        <v>762</v>
      </c>
      <c r="L33" s="463"/>
      <c r="N33" t="s">
        <v>762</v>
      </c>
    </row>
    <row r="34" spans="6:14">
      <c r="L34" s="463">
        <v>46024</v>
      </c>
      <c r="N34" t="s">
        <v>771</v>
      </c>
    </row>
    <row r="35" spans="6:14">
      <c r="L35" s="463"/>
    </row>
    <row r="36" spans="6:14">
      <c r="L36" s="46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3E8A16-A6CC-4FD3-A2C3-DE65A1BA5C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8</vt:i4>
      </vt:variant>
      <vt:variant>
        <vt:lpstr>Rangos con nombre</vt:lpstr>
      </vt:variant>
      <vt:variant>
        <vt:i4>10</vt:i4>
      </vt:variant>
    </vt:vector>
  </HeadingPairs>
  <TitlesOfParts>
    <vt:vector size="18" baseType="lpstr">
      <vt:lpstr>Home</vt:lpstr>
      <vt:lpstr>Predictor</vt:lpstr>
      <vt:lpstr>League</vt:lpstr>
      <vt:lpstr>KO</vt:lpstr>
      <vt:lpstr>Pool Predictor</vt:lpstr>
      <vt:lpstr>Pool League</vt:lpstr>
      <vt:lpstr>Pool KO</vt:lpstr>
      <vt:lpstr>Credits</vt:lpstr>
      <vt:lpstr>Equipo_local</vt:lpstr>
      <vt:lpstr>Equipo_visitante</vt:lpstr>
      <vt:lpstr>Ganador</vt:lpstr>
      <vt:lpstr>Goles_local</vt:lpstr>
      <vt:lpstr>Goles_visitante</vt:lpstr>
      <vt:lpstr>Jornada</vt:lpstr>
      <vt:lpstr>'Pool KO'!NombreEquipo</vt:lpstr>
      <vt:lpstr>'Pool Predictor'!NombreEquipo</vt:lpstr>
      <vt:lpstr>Predictor!NombreEquipo</vt:lpstr>
      <vt:lpstr>NombreEquipo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Angel Tejero</dc:creator>
  <cp:lastModifiedBy>Miguel Angel Tejero</cp:lastModifiedBy>
  <dcterms:created xsi:type="dcterms:W3CDTF">2021-07-05T15:34:18Z</dcterms:created>
  <dcterms:modified xsi:type="dcterms:W3CDTF">2026-08-29T11:26:53Z</dcterms:modified>
</cp:coreProperties>
</file>